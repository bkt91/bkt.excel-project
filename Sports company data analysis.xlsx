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Balkrishna\Downloads\"/>
    </mc:Choice>
  </mc:AlternateContent>
  <xr:revisionPtr revIDLastSave="0" documentId="13_ncr:1_{5642E3CB-3D1D-4A67-9EFA-092D979C5B00}" xr6:coauthVersionLast="47" xr6:coauthVersionMax="47" xr10:uidLastSave="{00000000-0000-0000-0000-000000000000}"/>
  <bookViews>
    <workbookView xWindow="-108" yWindow="-108" windowWidth="23256" windowHeight="12456" firstSheet="4" activeTab="7" xr2:uid="{00000000-000D-0000-FFFF-FFFF00000000}"/>
  </bookViews>
  <sheets>
    <sheet name="Sports_details" sheetId="3" r:id="rId1"/>
    <sheet name="Location_details" sheetId="2" r:id="rId2"/>
    <sheet name="Sportsmen" sheetId="1" r:id="rId3"/>
    <sheet name="Sportsperson country and gender" sheetId="4" r:id="rId4"/>
    <sheet name="Salary country and Gender wise" sheetId="5" r:id="rId5"/>
    <sheet name="age vs salary" sheetId="7" r:id="rId6"/>
    <sheet name="Average Weight sports wise" sheetId="10" r:id="rId7"/>
    <sheet name="DASHBOARD" sheetId="11" r:id="rId8"/>
  </sheets>
  <definedNames>
    <definedName name="_xlnm._FilterDatabase" localSheetId="2" hidden="1">Sportsmen!$A$1:$S$51</definedName>
    <definedName name="Slicer_AGE">#N/A</definedName>
    <definedName name="Slicer_COUNTRY_NAME">#N/A</definedName>
    <definedName name="Slicer_GENDER">#N/A</definedName>
    <definedName name="Slicer_SPORTS">#N/A</definedName>
  </definedNames>
  <calcPr calcId="191029"/>
  <pivotCaches>
    <pivotCache cacheId="1" r:id="rId9"/>
    <pivotCache cacheId="7"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2" i="1"/>
  <c r="A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2" i="1"/>
  <c r="O27" i="1"/>
  <c r="O26" i="1"/>
  <c r="O25" i="1"/>
  <c r="O24" i="1"/>
  <c r="O23" i="1"/>
  <c r="O22" i="1"/>
  <c r="O21" i="1"/>
  <c r="O20" i="1"/>
  <c r="O14" i="1"/>
  <c r="O13" i="1"/>
  <c r="O12" i="1"/>
  <c r="O11" i="1"/>
  <c r="O10" i="1"/>
  <c r="O9" i="1"/>
  <c r="O8" i="1"/>
  <c r="O7" i="1"/>
  <c r="O6" i="1"/>
  <c r="O5" i="1"/>
  <c r="O3" i="1"/>
  <c r="O2" i="1"/>
  <c r="O51" i="1"/>
  <c r="O50" i="1"/>
  <c r="O49" i="1"/>
  <c r="O48" i="1"/>
  <c r="O47" i="1"/>
  <c r="O46" i="1"/>
  <c r="O45" i="1"/>
  <c r="O44" i="1"/>
  <c r="O43" i="1"/>
  <c r="O42" i="1"/>
  <c r="O41" i="1"/>
  <c r="O40" i="1"/>
  <c r="O39" i="1"/>
  <c r="O38" i="1"/>
  <c r="O37" i="1"/>
  <c r="O36" i="1"/>
  <c r="O35" i="1"/>
  <c r="O34" i="1"/>
  <c r="O33" i="1"/>
  <c r="O32" i="1"/>
  <c r="O31" i="1"/>
  <c r="O30" i="1"/>
  <c r="O29" i="1"/>
  <c r="O28" i="1"/>
  <c r="O19" i="1"/>
  <c r="O18" i="1"/>
  <c r="O17" i="1"/>
  <c r="O16" i="1"/>
  <c r="O15" i="1"/>
  <c r="O4"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2"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3" i="1"/>
  <c r="M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2" i="1"/>
</calcChain>
</file>

<file path=xl/sharedStrings.xml><?xml version="1.0" encoding="utf-8"?>
<sst xmlns="http://schemas.openxmlformats.org/spreadsheetml/2006/main" count="620" uniqueCount="233">
  <si>
    <t>MEMBER ID</t>
  </si>
  <si>
    <t>FULL NAME</t>
  </si>
  <si>
    <t>PREFIX</t>
  </si>
  <si>
    <t>FIRSTNAME</t>
  </si>
  <si>
    <t>MIDDLENAME</t>
  </si>
  <si>
    <t>LASTNAME</t>
  </si>
  <si>
    <t>BIRTHDATE</t>
  </si>
  <si>
    <t>ZODIAC</t>
  </si>
  <si>
    <t>GENDER</t>
  </si>
  <si>
    <t>COUNTRYCODE</t>
  </si>
  <si>
    <t>COUNTRY NAME</t>
  </si>
  <si>
    <t>LANGUAGE</t>
  </si>
  <si>
    <t>EMAIL</t>
  </si>
  <si>
    <t>BLOODTYPE</t>
  </si>
  <si>
    <t>SPORT LOCATION</t>
  </si>
  <si>
    <t>SPORTS</t>
  </si>
  <si>
    <t>SALARY</t>
  </si>
  <si>
    <t>Ms.</t>
  </si>
  <si>
    <t>Annie</t>
  </si>
  <si>
    <t>Abbott</t>
  </si>
  <si>
    <t>Libra</t>
  </si>
  <si>
    <t>Female</t>
  </si>
  <si>
    <t>US</t>
  </si>
  <si>
    <t>A−</t>
  </si>
  <si>
    <t>Cycling Track</t>
  </si>
  <si>
    <t>Aurelie</t>
  </si>
  <si>
    <t>Liesuchke</t>
  </si>
  <si>
    <t>Aquarius</t>
  </si>
  <si>
    <t>O−</t>
  </si>
  <si>
    <t>Boxing</t>
  </si>
  <si>
    <t>Sr.</t>
  </si>
  <si>
    <t>Tomas</t>
  </si>
  <si>
    <t>Ferreira</t>
  </si>
  <si>
    <t>Filho</t>
  </si>
  <si>
    <t>Cancer</t>
  </si>
  <si>
    <t>Male</t>
  </si>
  <si>
    <t>BR</t>
  </si>
  <si>
    <t>Football</t>
  </si>
  <si>
    <t>Darby</t>
  </si>
  <si>
    <t>Cruickshank</t>
  </si>
  <si>
    <t>Taurus</t>
  </si>
  <si>
    <t>Alpine Skiing</t>
  </si>
  <si>
    <t>Dr.</t>
  </si>
  <si>
    <t>Jaydon</t>
  </si>
  <si>
    <t>Borer</t>
  </si>
  <si>
    <t>B−</t>
  </si>
  <si>
    <t>Water Polo</t>
  </si>
  <si>
    <t>Mr.</t>
  </si>
  <si>
    <t>Moriah</t>
  </si>
  <si>
    <t>Lynch</t>
  </si>
  <si>
    <t>Sagittarius</t>
  </si>
  <si>
    <t>Fencing</t>
  </si>
  <si>
    <t>Amiya</t>
  </si>
  <si>
    <t>Eichmann</t>
  </si>
  <si>
    <t>Leo</t>
  </si>
  <si>
    <t>Cycling Road</t>
  </si>
  <si>
    <t>Pierce</t>
  </si>
  <si>
    <t>Rau</t>
  </si>
  <si>
    <t>A+</t>
  </si>
  <si>
    <t>Curling</t>
  </si>
  <si>
    <t>Amelia</t>
  </si>
  <si>
    <t>Stevens</t>
  </si>
  <si>
    <t>GB</t>
  </si>
  <si>
    <t>Shooting</t>
  </si>
  <si>
    <t>Toby</t>
  </si>
  <si>
    <t>Simpson</t>
  </si>
  <si>
    <t>O+</t>
  </si>
  <si>
    <t>Sir</t>
  </si>
  <si>
    <t>Ethan</t>
  </si>
  <si>
    <t>Murphy</t>
  </si>
  <si>
    <t>Scorpio</t>
  </si>
  <si>
    <t>Freestyle Skiing</t>
  </si>
  <si>
    <t>Mrs.</t>
  </si>
  <si>
    <t>Ashley</t>
  </si>
  <si>
    <t>Wood</t>
  </si>
  <si>
    <t>Archery</t>
  </si>
  <si>
    <t>Megan</t>
  </si>
  <si>
    <t>Scott</t>
  </si>
  <si>
    <t>Rugby</t>
  </si>
  <si>
    <t>Hr.</t>
  </si>
  <si>
    <t>Helmut</t>
  </si>
  <si>
    <t>Weinhae</t>
  </si>
  <si>
    <t>Virgo</t>
  </si>
  <si>
    <t>DE</t>
  </si>
  <si>
    <t>Canoe Sprint</t>
  </si>
  <si>
    <t>Prof.</t>
  </si>
  <si>
    <t>Milena</t>
  </si>
  <si>
    <t>Schotin</t>
  </si>
  <si>
    <t>Pisces</t>
  </si>
  <si>
    <t>Cycling BMX</t>
  </si>
  <si>
    <t>Lothar</t>
  </si>
  <si>
    <t>Birnbaum</t>
  </si>
  <si>
    <t>Pietro</t>
  </si>
  <si>
    <t>Stolze</t>
  </si>
  <si>
    <t>Handball</t>
  </si>
  <si>
    <t>Richard</t>
  </si>
  <si>
    <t>Tlustek</t>
  </si>
  <si>
    <t>Cycling Mountain Bike</t>
  </si>
  <si>
    <t>Earnestine</t>
  </si>
  <si>
    <t>Raynor</t>
  </si>
  <si>
    <t>OZ</t>
  </si>
  <si>
    <t>Short Track Speed Skating</t>
  </si>
  <si>
    <t>Jason</t>
  </si>
  <si>
    <t>Gaylord</t>
  </si>
  <si>
    <t>Capricorn</t>
  </si>
  <si>
    <t>Basketball</t>
  </si>
  <si>
    <t>Kendrick</t>
  </si>
  <si>
    <t>Sauer</t>
  </si>
  <si>
    <t>Triathlon</t>
  </si>
  <si>
    <t>Annabell</t>
  </si>
  <si>
    <t>Olson</t>
  </si>
  <si>
    <t>Aries</t>
  </si>
  <si>
    <t>Equestrian / Dressage</t>
  </si>
  <si>
    <t>Jena</t>
  </si>
  <si>
    <t>Upton</t>
  </si>
  <si>
    <t>Beach Volleyball</t>
  </si>
  <si>
    <t>Shanny</t>
  </si>
  <si>
    <t>Bins</t>
  </si>
  <si>
    <t>Canoe Slalom</t>
  </si>
  <si>
    <t>Tia</t>
  </si>
  <si>
    <t>Abshire</t>
  </si>
  <si>
    <t>Isabel</t>
  </si>
  <si>
    <t>Runolfsdottir</t>
  </si>
  <si>
    <t>B+</t>
  </si>
  <si>
    <t>Barney</t>
  </si>
  <si>
    <t>Wesack</t>
  </si>
  <si>
    <t>AU</t>
  </si>
  <si>
    <t>Volleyball</t>
  </si>
  <si>
    <t>Baruch</t>
  </si>
  <si>
    <t>Kade</t>
  </si>
  <si>
    <t>Liesbeth</t>
  </si>
  <si>
    <t>Rosemann</t>
  </si>
  <si>
    <t>Mme.</t>
  </si>
  <si>
    <t>Valentine</t>
  </si>
  <si>
    <t>Moreau</t>
  </si>
  <si>
    <t>FR</t>
  </si>
  <si>
    <t>Golf</t>
  </si>
  <si>
    <t>Paulette</t>
  </si>
  <si>
    <t>Durand</t>
  </si>
  <si>
    <t>Laure-Alix</t>
  </si>
  <si>
    <t>Chevalier</t>
  </si>
  <si>
    <t>M.</t>
  </si>
  <si>
    <t>Claude</t>
  </si>
  <si>
    <t>Toussaint</t>
  </si>
  <si>
    <t>Diving</t>
  </si>
  <si>
    <t>Victor</t>
  </si>
  <si>
    <t>Lenoir</t>
  </si>
  <si>
    <t>Arthur</t>
  </si>
  <si>
    <t>Hockey</t>
  </si>
  <si>
    <t>Benjamin</t>
  </si>
  <si>
    <t>Lebrun-Brun</t>
  </si>
  <si>
    <t>Antoine</t>
  </si>
  <si>
    <t>Maillard</t>
  </si>
  <si>
    <t>Sailing</t>
  </si>
  <si>
    <t>Bernard</t>
  </si>
  <si>
    <t>Hoarau-Guyon</t>
  </si>
  <si>
    <t>Hidalgo</t>
  </si>
  <si>
    <t>Cantu</t>
  </si>
  <si>
    <t>Tercero</t>
  </si>
  <si>
    <t>AG</t>
  </si>
  <si>
    <t>Hadalgo</t>
  </si>
  <si>
    <t>Polanco</t>
  </si>
  <si>
    <t>Gemini</t>
  </si>
  <si>
    <t>Sra.</t>
  </si>
  <si>
    <t>Laura</t>
  </si>
  <si>
    <t>Oliviera</t>
  </si>
  <si>
    <t>Athletics</t>
  </si>
  <si>
    <t>Ainhoa</t>
  </si>
  <si>
    <t>Garza</t>
  </si>
  <si>
    <t>ES</t>
  </si>
  <si>
    <t>Gymnastics Artistic</t>
  </si>
  <si>
    <t>Banda</t>
  </si>
  <si>
    <t>Carolota</t>
  </si>
  <si>
    <t>Mateos</t>
  </si>
  <si>
    <t>Mw.</t>
  </si>
  <si>
    <t>Elize</t>
  </si>
  <si>
    <t>Prins</t>
  </si>
  <si>
    <t>DU</t>
  </si>
  <si>
    <t>Judo</t>
  </si>
  <si>
    <t>dhr.</t>
  </si>
  <si>
    <t>Ryan</t>
  </si>
  <si>
    <t>Pham</t>
  </si>
  <si>
    <t>Mw</t>
  </si>
  <si>
    <t>Elise</t>
  </si>
  <si>
    <t>Rotteveel</t>
  </si>
  <si>
    <t>Fru.</t>
  </si>
  <si>
    <t>Mirjam</t>
  </si>
  <si>
    <t>Soderberg</t>
  </si>
  <si>
    <t>SV</t>
  </si>
  <si>
    <t>H.</t>
  </si>
  <si>
    <t>Berndt</t>
  </si>
  <si>
    <t>Palsson</t>
  </si>
  <si>
    <t>Biathlon</t>
  </si>
  <si>
    <t>Adriano</t>
  </si>
  <si>
    <t>Pontes</t>
  </si>
  <si>
    <t>Sobrinho</t>
  </si>
  <si>
    <t>PR</t>
  </si>
  <si>
    <t>Swimming</t>
  </si>
  <si>
    <t>English</t>
  </si>
  <si>
    <t>Portuguese</t>
  </si>
  <si>
    <t>German</t>
  </si>
  <si>
    <t>French</t>
  </si>
  <si>
    <t>Spanish</t>
  </si>
  <si>
    <t>Dutch</t>
  </si>
  <si>
    <t>Swedish</t>
  </si>
  <si>
    <t>USA</t>
  </si>
  <si>
    <t>BRAZIL</t>
  </si>
  <si>
    <t>UK</t>
  </si>
  <si>
    <t>GERMANY</t>
  </si>
  <si>
    <t>AUSTRALIA</t>
  </si>
  <si>
    <t>AUSTRIA</t>
  </si>
  <si>
    <t>FRANCE</t>
  </si>
  <si>
    <t>ARGENTINA</t>
  </si>
  <si>
    <t>SPAIN</t>
  </si>
  <si>
    <t>NETHERLANDS</t>
  </si>
  <si>
    <t>SWEDEN</t>
  </si>
  <si>
    <t>SPORTS TYPE</t>
  </si>
  <si>
    <t>INDOOR</t>
  </si>
  <si>
    <t>OUTDOOR</t>
  </si>
  <si>
    <t>BIRTH DATE</t>
  </si>
  <si>
    <t>Row Labels</t>
  </si>
  <si>
    <t>Grand Total</t>
  </si>
  <si>
    <t>Count of MEMBER ID</t>
  </si>
  <si>
    <t>Column Labels</t>
  </si>
  <si>
    <t>Sum of SALARY</t>
  </si>
  <si>
    <t>AGE</t>
  </si>
  <si>
    <t>Formula1</t>
  </si>
  <si>
    <t>Formula2</t>
  </si>
  <si>
    <t>Formula3</t>
  </si>
  <si>
    <t>Formula4</t>
  </si>
  <si>
    <t>Formula5</t>
  </si>
  <si>
    <t>wt.</t>
  </si>
  <si>
    <t>Average of wt.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</si>
</sst>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0"/>
    <numFmt numFmtId="165" formatCode="000"/>
    <numFmt numFmtId="166" formatCode="[$-F800]dddd\,\ mmmm\ dd\,\ yyyy"/>
    <numFmt numFmtId="167" formatCode="00&quot; KG&quot;"/>
    <numFmt numFmtId="168" formatCode="[$$-409]#,##0.00_ ;\-[$$-409]#,##0.00\ "/>
    <numFmt numFmtId="169" formatCode="[$$-409]\ #,##0.00\ &quot;K&quot;"/>
  </numFmts>
  <fonts count="8" x14ac:knownFonts="1">
    <font>
      <sz val="10"/>
      <color rgb="FF000000"/>
      <name val="Arial"/>
      <scheme val="minor"/>
    </font>
    <font>
      <b/>
      <sz val="10"/>
      <color rgb="FFFFFFFF"/>
      <name val="Arial"/>
      <scheme val="minor"/>
    </font>
    <font>
      <sz val="10"/>
      <color theme="1"/>
      <name val="Arial"/>
      <scheme val="minor"/>
    </font>
    <font>
      <b/>
      <sz val="10"/>
      <color rgb="FFFFFFFF"/>
      <name val="Calibri"/>
    </font>
    <font>
      <sz val="11"/>
      <color theme="1"/>
      <name val="Calibri"/>
    </font>
    <font>
      <sz val="10"/>
      <color rgb="FF000000"/>
      <name val="Arial"/>
      <scheme val="minor"/>
    </font>
    <font>
      <b/>
      <sz val="10"/>
      <color rgb="FFFFFFFF"/>
      <name val="Arial"/>
      <family val="2"/>
      <scheme val="minor"/>
    </font>
    <font>
      <sz val="10"/>
      <color theme="5" tint="0.39997558519241921"/>
      <name val="Arial"/>
      <family val="2"/>
      <scheme val="minor"/>
    </font>
  </fonts>
  <fills count="5">
    <fill>
      <patternFill patternType="none"/>
    </fill>
    <fill>
      <patternFill patternType="gray125"/>
    </fill>
    <fill>
      <patternFill patternType="solid">
        <fgColor rgb="FF5B0F00"/>
        <bgColor rgb="FF5B0F00"/>
      </patternFill>
    </fill>
    <fill>
      <patternFill patternType="solid">
        <fgColor theme="4"/>
        <bgColor rgb="FF5B0F00"/>
      </patternFill>
    </fill>
    <fill>
      <patternFill patternType="solid">
        <fgColor theme="7" tint="-0.249977111117893"/>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right style="thin">
        <color rgb="FFA5A5A5"/>
      </right>
      <top/>
      <bottom style="thin">
        <color rgb="FFA5A5A5"/>
      </bottom>
      <diagonal/>
    </border>
  </borders>
  <cellStyleXfs count="2">
    <xf numFmtId="0" fontId="0" fillId="0" borderId="0"/>
    <xf numFmtId="44" fontId="5" fillId="0" borderId="0" applyFont="0" applyFill="0" applyBorder="0" applyAlignment="0" applyProtection="0"/>
  </cellStyleXfs>
  <cellXfs count="29">
    <xf numFmtId="0" fontId="0" fillId="0" borderId="0" xfId="0"/>
    <xf numFmtId="0" fontId="1" fillId="2" borderId="0" xfId="0" applyFont="1" applyFill="1" applyAlignment="1">
      <alignment horizontal="center"/>
    </xf>
    <xf numFmtId="0" fontId="2" fillId="0" borderId="0" xfId="0" applyFont="1"/>
    <xf numFmtId="0" fontId="3" fillId="2" borderId="1" xfId="0" applyFont="1" applyFill="1" applyBorder="1"/>
    <xf numFmtId="0" fontId="4" fillId="0" borderId="2" xfId="0" applyFont="1" applyBorder="1"/>
    <xf numFmtId="0" fontId="3" fillId="2" borderId="3" xfId="0" applyFont="1" applyFill="1" applyBorder="1"/>
    <xf numFmtId="0" fontId="4" fillId="0" borderId="4" xfId="0" applyFont="1" applyBorder="1"/>
    <xf numFmtId="0" fontId="3" fillId="2" borderId="5" xfId="0" applyFont="1" applyFill="1" applyBorder="1"/>
    <xf numFmtId="0" fontId="3" fillId="2" borderId="6" xfId="0" applyFont="1" applyFill="1" applyBorder="1"/>
    <xf numFmtId="0" fontId="4" fillId="0" borderId="7" xfId="0" applyFont="1" applyBorder="1"/>
    <xf numFmtId="0" fontId="4" fillId="0" borderId="8" xfId="0" applyFont="1" applyBorder="1"/>
    <xf numFmtId="0" fontId="1" fillId="3" borderId="0" xfId="0" applyFont="1" applyFill="1" applyAlignment="1">
      <alignment horizontal="center"/>
    </xf>
    <xf numFmtId="164" fontId="1" fillId="2" borderId="0" xfId="0" applyNumberFormat="1" applyFont="1" applyFill="1" applyAlignment="1">
      <alignment horizontal="center"/>
    </xf>
    <xf numFmtId="164" fontId="0" fillId="0" borderId="0" xfId="0" applyNumberFormat="1"/>
    <xf numFmtId="165" fontId="2" fillId="0" borderId="0" xfId="0" applyNumberFormat="1" applyFont="1"/>
    <xf numFmtId="166" fontId="2" fillId="0" borderId="0" xfId="0" applyNumberFormat="1" applyFont="1"/>
    <xf numFmtId="0" fontId="0" fillId="0" borderId="0" xfId="0" pivotButton="1"/>
    <xf numFmtId="0" fontId="0" fillId="0" borderId="0" xfId="0" applyAlignment="1">
      <alignment horizontal="left"/>
    </xf>
    <xf numFmtId="168" fontId="1" fillId="2" borderId="0" xfId="1" applyNumberFormat="1" applyFont="1" applyFill="1" applyAlignment="1">
      <alignment horizontal="center"/>
    </xf>
    <xf numFmtId="168" fontId="0" fillId="0" borderId="0" xfId="1" applyNumberFormat="1" applyFont="1"/>
    <xf numFmtId="169" fontId="2" fillId="0" borderId="0" xfId="1" applyNumberFormat="1" applyFont="1"/>
    <xf numFmtId="0" fontId="6" fillId="2" borderId="0" xfId="0" applyFont="1" applyFill="1" applyAlignment="1">
      <alignment horizontal="center"/>
    </xf>
    <xf numFmtId="169" fontId="0" fillId="0" borderId="0" xfId="0" applyNumberFormat="1"/>
    <xf numFmtId="1" fontId="0" fillId="0" borderId="0" xfId="0" applyNumberFormat="1"/>
    <xf numFmtId="0" fontId="2" fillId="0" borderId="0" xfId="0" applyFont="1" applyAlignment="1">
      <alignment horizontal="center"/>
    </xf>
    <xf numFmtId="0" fontId="0" fillId="0" borderId="0" xfId="0" applyAlignment="1">
      <alignment horizontal="center"/>
    </xf>
    <xf numFmtId="1" fontId="2" fillId="0" borderId="0" xfId="0" applyNumberFormat="1" applyFont="1" applyAlignment="1">
      <alignment horizontal="center"/>
    </xf>
    <xf numFmtId="0" fontId="0" fillId="0" borderId="0" xfId="0" applyNumberFormat="1"/>
    <xf numFmtId="0" fontId="7" fillId="4" borderId="0" xfId="0" applyFont="1" applyFill="1"/>
  </cellXfs>
  <cellStyles count="2">
    <cellStyle name="Currency" xfId="1" builtinId="4"/>
    <cellStyle name="Normal" xfId="0" builtinId="0"/>
  </cellStyles>
  <dxfs count="4">
    <dxf>
      <font>
        <color rgb="FFC00000"/>
      </font>
      <fill>
        <patternFill>
          <fgColor theme="7" tint="0.39994506668294322"/>
          <bgColor theme="7" tint="0.39994506668294322"/>
        </patternFill>
      </fill>
      <border>
        <left style="thin">
          <color auto="1"/>
        </left>
        <right style="thin">
          <color auto="1"/>
        </right>
        <top style="thin">
          <color auto="1"/>
        </top>
        <bottom style="thin">
          <color auto="1"/>
        </bottom>
      </border>
    </dxf>
    <dxf>
      <font>
        <color rgb="FFC00000"/>
      </font>
      <fill>
        <patternFill>
          <fgColor theme="7" tint="-0.499984740745262"/>
          <bgColor theme="7" tint="-0.499984740745262"/>
        </patternFill>
      </fill>
      <border diagonalDown="1">
        <left style="thin">
          <color theme="7" tint="-0.499984740745262"/>
        </left>
        <right style="thin">
          <color theme="7" tint="-0.499984740745262"/>
        </right>
        <top style="thin">
          <color theme="7" tint="-0.499984740745262"/>
        </top>
        <bottom style="thin">
          <color theme="7" tint="-0.499984740745262"/>
        </bottom>
        <diagonal style="thin">
          <color theme="7" tint="-0.499984740745262"/>
        </diagonal>
      </border>
    </dxf>
    <dxf>
      <font>
        <color rgb="FFC00000"/>
      </font>
      <fill>
        <patternFill>
          <fgColor theme="7"/>
          <bgColor theme="7" tint="-0.24994659260841701"/>
        </patternFill>
      </fill>
      <border>
        <left style="thin">
          <color auto="1"/>
        </left>
        <right style="thin">
          <color auto="1"/>
        </right>
        <top style="thin">
          <color auto="1"/>
        </top>
        <bottom style="thin">
          <color auto="1"/>
        </bottom>
      </border>
    </dxf>
    <dxf>
      <font>
        <color rgb="FFC00000"/>
      </font>
      <fill>
        <patternFill>
          <fgColor theme="7"/>
        </patternFill>
      </fill>
      <border>
        <left style="thin">
          <color auto="1"/>
        </left>
        <right style="thin">
          <color auto="1"/>
        </right>
        <top style="thin">
          <color auto="1"/>
        </top>
        <bottom style="thin">
          <color auto="1"/>
        </bottom>
      </border>
    </dxf>
  </dxfs>
  <tableStyles count="4" defaultTableStyle="TableStyleMedium2" defaultPivotStyle="PivotStyleLight16">
    <tableStyle name="Slicer Style 1" pivot="0" table="0" count="1" xr9:uid="{F755069F-2D5C-442B-8270-F5C7EE5626AE}">
      <tableStyleElement type="headerRow" dxfId="3"/>
    </tableStyle>
    <tableStyle name="Slicer Style 2" pivot="0" table="0" count="1" xr9:uid="{92267F5D-7FF3-4DB6-8937-1E3402EF4F0E}">
      <tableStyleElement type="headerRow" dxfId="2"/>
    </tableStyle>
    <tableStyle name="Slicer Style 3" pivot="0" table="0" count="1" xr9:uid="{BA32A51E-E72B-4F76-88CC-2B3E90619A22}">
      <tableStyleElement type="wholeTable" dxfId="1"/>
    </tableStyle>
    <tableStyle name="Slicer Style 4" pivot="0" table="0" count="1" xr9:uid="{426D1D57-D4C4-4483-99D4-9111822C5ED9}">
      <tableStyleElement type="wholeTable" dxfId="0"/>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[Activity _ Dataset.xlsx]Sportsperson country and gender!PivotTable1</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Sportsperson Country and Gender wise</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'Sportsperson country and gender'!$B$3:$B$4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'Sportsperson country and gender'!$A$5:$A$16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'Sportsperson country and gender'!$B$5:$B$16</c:f>
              <c:numCache>
                <c:formatCode>General</c:formatCode>
                <c:ptCount val="11"/>
                <c:pt idx="0">
                  <c:v>1</c:v>
                </c:pt>
                <c:pt idx="1">
                  <c:v>6</c:v>
                </c:pt>
                <c:pt idx="2">
                  <c:v>1</c:v>
                </c:pt>
                <c:pt idx="4">
                  <c:v>3</c:v>
                </c:pt>
                <c:pt idx="5">
                  <c:v>1</c:v>
                </c:pt>
                <c:pt idx="6">
                  <c:v>2</c:v>
                </c:pt>
                <c:pt idx="7">
                  <c:v>3</c:v>
                </c:pt>
                <c:pt idx="8">
                  <c:v>1</c:v>
                </c:pt>
                <c:pt idx="9">
                  <c:v>3</c:v>
                </c:pt>
                <c:pt idx="10">
                  <c:v>4</c:v>
                </c:pt>
              </c:numCache>
            </c:numRef>
          </c:val>
          <c:extLst>
            <c:ext xmlns:c16="http://schemas.microsoft.com/office/drawing/2014/chart" uri="{C3380CC4-5D6E-409C-BE32-E72D297353CC}">
              <c16:uniqueId val="{00000000-BF88-49C3-BCE8-B90A2B297817}"/>
            </c:ext>
          </c:extLst>
        </c:ser>
        <c:ser>
          <c:idx val="1"/>
          <c:order val="1"/>
          <c:tx>
            <c:strRef>
              <c:f>'Sportsperson country and gender'!$C$3:$C$4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'Sportsperson country and gender'!$A$5:$A$16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'Sportsperson country and gender'!$C$5:$C$16</c:f>
              <c:numCache>
                <c:formatCode>General</c:formatCode>
                <c:ptCount val="11"/>
                <c:pt idx="0">
                  <c:v>2</c:v>
                </c:pt>
                <c:pt idx="1">
                  <c:v>2</c:v>
                </c:pt>
                <c:pt idx="2">
                  <c:v>2</c:v>
                </c:pt>
                <c:pt idx="3">
                  <c:v>2</c:v>
                </c:pt>
                <c:pt idx="4">
                  <c:v>6</c:v>
                </c:pt>
                <c:pt idx="5">
                  <c:v>4</c:v>
                </c:pt>
                <c:pt idx="6">
                  <c:v>1</c:v>
                </c:pt>
                <c:pt idx="8">
                  <c:v>1</c:v>
                </c:pt>
                <c:pt idx="9">
                  <c:v>2</c:v>
                </c:pt>
                <c:pt idx="10">
                  <c:v>3</c:v>
                </c:pt>
              </c:numCache>
            </c:numRef>
          </c:val>
          <c:extLst>
            <c:ext xmlns:c16="http://schemas.microsoft.com/office/drawing/2014/chart" uri="{C3380CC4-5D6E-409C-BE32-E72D297353CC}">
              <c16:uniqueId val="{00000002-BCD5-4093-8E70-2C71C6147725}"/>
            </c:ext>
          </c:extLst>
        </c:ser>
        <c:dLbls>
          <c:dLblPos val="outEnd"/>
          <c:showLegendKey val="0"/>
          <c:showVal val="1"/>
          <c:showCatName val="0"/>
          <c:showSerName val="0"/>
          <c:showPercent val="0"/>
          <c:showBubbleSize val="0"/>
        </c:dLbls>
        <c:gapWidth val="219"/>
        <c:overlap val="-27"/>
        <c:axId val="1254801951"/>
        <c:axId val="1647060591"/>
      </c:barChart>
      <c:catAx>
        <c:axId val="125480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060591"/>
        <c:crosses val="autoZero"/>
        <c:auto val="1"/>
        <c:lblAlgn val="ctr"/>
        <c:lblOffset val="100"/>
        <c:noMultiLvlLbl val="0"/>
      </c:catAx>
      <c:valAx>
        <c:axId val="1647060591"/>
        <c:scaling>
          <c:orientation val="minMax"/>
        </c:scaling>
        <c:delete val="1"/>
        <c:axPos val="l"/>
        <c:numFmt formatCode="General" sourceLinked="1"/>
        <c:majorTickMark val="none"/>
        <c:minorTickMark val="none"/>
        <c:tickLblPos val="nextTo"/>
        <c:crossAx val="125480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[Activity _ Dataset.xlsx]Salary country and Gender wise!PivotTable4</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Salary Country and Gender wise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'Salary country and Gender wise'!$B$3:$B$4</c:f>
              <c:strCache>
                <c:ptCount val="1"/>
                <c:pt idx="0">
                  <c:v>Female</c:v>
                </c:pt>
              </c:strCache>
            </c:strRef>
          </c:tx>
          <c:spPr>
            <a:solidFill>
              <a:schemeClr val="accent1"/>
            </a:solidFill>
            <a:ln>
              <a:noFill/>
            </a:ln>
            <a:effectLst/>
          </c:spPr>
          <c:invertIfNegative val="0"/>
          <c:cat>
            <c:strRef>
              <c:f>'Salary country and Gender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'Salary country and Gender wise'!$B$5:$B$16</c:f>
              <c:numCache>
                <c:formatCode>General</c:formatCode>
                <c:ptCount val="11"/>
                <c:pt idx="0">
                  <c:v>79.87</c:v>
                </c:pt>
                <c:pt idx="1">
                  <c:v>350.20000000000005</c:v>
                </c:pt>
                <c:pt idx="2">
                  <c:v>55.01</c:v>
                </c:pt>
                <c:pt idx="4">
                  <c:v>174.53</c:v>
                </c:pt>
                <c:pt idx="5">
                  <c:v>10.24</c:v>
                </c:pt>
                <c:pt idx="6">
                  <c:v>130.42000000000002</c:v>
                </c:pt>
                <c:pt idx="7">
                  <c:v>210.88</c:v>
                </c:pt>
                <c:pt idx="8">
                  <c:v>38.97</c:v>
                </c:pt>
                <c:pt idx="9">
                  <c:v>234.06</c:v>
                </c:pt>
                <c:pt idx="10">
                  <c:v>344.47</c:v>
                </c:pt>
              </c:numCache>
            </c:numRef>
          </c:val>
          <c:extLst>
            <c:ext xmlns:c16="http://schemas.microsoft.com/office/drawing/2014/chart" uri="{C3380CC4-5D6E-409C-BE32-E72D297353CC}">
              <c16:uniqueId val="{00000000-F5C2-41B6-9090-7AC14A6EA3B8}"/>
            </c:ext>
          </c:extLst>
        </c:ser>
        <c:ser>
          <c:idx val="1"/>
          <c:order val="1"/>
          <c:tx>
            <c:strRef>
              <c:f>'Salary country and Gender wise'!$C$3:$C$4</c:f>
              <c:strCache>
                <c:ptCount val="1"/>
                <c:pt idx="0">
                  <c:v>Male</c:v>
                </c:pt>
              </c:strCache>
            </c:strRef>
          </c:tx>
          <c:spPr>
            <a:solidFill>
              <a:schemeClr val="accent2"/>
            </a:solidFill>
            <a:ln>
              <a:noFill/>
            </a:ln>
            <a:effectLst/>
          </c:spPr>
          <c:invertIfNegative val="0"/>
          <c:cat>
            <c:strRef>
              <c:f>'Salary country and Gender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'Salary country and Gender wise'!$C$5:$C$16</c:f>
              <c:numCache>
                <c:formatCode>General</c:formatCode>
                <c:ptCount val="11"/>
                <c:pt idx="0">
                  <c:v>230.5</c:v>
                </c:pt>
                <c:pt idx="1">
                  <c:v>153.15</c:v>
                </c:pt>
                <c:pt idx="2">
                  <c:v>69.5</c:v>
                </c:pt>
                <c:pt idx="3">
                  <c:v>85.25</c:v>
                </c:pt>
                <c:pt idx="4">
                  <c:v>437.87</c:v>
                </c:pt>
                <c:pt idx="5">
                  <c:v>323.17</c:v>
                </c:pt>
                <c:pt idx="6">
                  <c:v>44.87</c:v>
                </c:pt>
                <c:pt idx="8">
                  <c:v>35.39</c:v>
                </c:pt>
                <c:pt idx="9">
                  <c:v>132.37</c:v>
                </c:pt>
                <c:pt idx="10">
                  <c:v>217.95000000000002</c:v>
                </c:pt>
              </c:numCache>
            </c:numRef>
          </c:val>
          <c:extLst>
            <c:ext xmlns:c16="http://schemas.microsoft.com/office/drawing/2014/chart" uri="{C3380CC4-5D6E-409C-BE32-E72D297353CC}">
              <c16:uniqueId val="{00000002-64B6-4180-A2FE-8495E271C9F8}"/>
            </c:ext>
          </c:extLst>
        </c:ser>
        <c:dLbls>
          <c:showLegendKey val="0"/>
          <c:showVal val="0"/>
          <c:showCatName val="0"/>
          <c:showSerName val="0"/>
          <c:showPercent val="0"/>
          <c:showBubbleSize val="0"/>
        </c:dLbls>
        <c:gapWidth val="150"/>
        <c:overlap val="100"/>
        <c:axId val="1846367311"/>
        <c:axId val="1647014031"/>
      </c:barChart>
      <c:catAx>
        <c:axId val="184636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014031"/>
        <c:crosses val="autoZero"/>
        <c:auto val="1"/>
        <c:lblAlgn val="ctr"/>
        <c:lblOffset val="100"/>
        <c:noMultiLvlLbl val="0"/>
      </c:catAx>
      <c:valAx>
        <c:axId val="1647014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36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Age VS Salary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'age vs salary'!$E$4:$E$38</c:f>
              <c:numCache>
                <c:formatCode>General</c:formatCode>
                <c:ptCount val="35"/>
                <c:pt idx="0">
                  <c:v>27</c:v>
                </c:pt>
                <c:pt idx="1">
                  <c:v>29</c:v>
                </c:pt>
                <c:pt idx="2">
                  <c:v>30</c:v>
                </c:pt>
                <c:pt idx="3">
                  <c:v>32</c:v>
                </c:pt>
                <c:pt idx="4">
                  <c:v>33</c:v>
                </c:pt>
                <c:pt idx="5">
                  <c:v>34</c:v>
                </c:pt>
                <c:pt idx="6">
                  <c:v>36</c:v>
                </c:pt>
                <c:pt idx="7">
                  <c:v>37</c:v>
                </c:pt>
                <c:pt idx="8">
                  <c:v>38</c:v>
                </c:pt>
                <c:pt idx="9">
                  <c:v>39</c:v>
                </c:pt>
                <c:pt idx="10">
                  <c:v>40</c:v>
                </c:pt>
                <c:pt idx="11">
                  <c:v>42</c:v>
                </c:pt>
                <c:pt idx="12">
                  <c:v>43</c:v>
                </c:pt>
                <c:pt idx="13">
                  <c:v>44</c:v>
                </c:pt>
                <c:pt idx="14">
                  <c:v>45</c:v>
                </c:pt>
                <c:pt idx="15">
                  <c:v>46</c:v>
                </c:pt>
                <c:pt idx="16">
                  <c:v>47</c:v>
                </c:pt>
                <c:pt idx="17">
                  <c:v>48</c:v>
                </c:pt>
                <c:pt idx="18">
                  <c:v>49</c:v>
                </c:pt>
                <c:pt idx="19">
                  <c:v>50</c:v>
                </c:pt>
                <c:pt idx="20">
                  <c:v>51</c:v>
                </c:pt>
                <c:pt idx="21">
                  <c:v>52</c:v>
                </c:pt>
                <c:pt idx="22">
                  <c:v>53</c:v>
                </c:pt>
                <c:pt idx="23">
                  <c:v>54</c:v>
                </c:pt>
                <c:pt idx="24">
                  <c:v>55</c:v>
                </c:pt>
                <c:pt idx="25">
                  <c:v>56</c:v>
                </c:pt>
                <c:pt idx="26">
                  <c:v>57</c:v>
                </c:pt>
                <c:pt idx="27">
                  <c:v>58</c:v>
                </c:pt>
                <c:pt idx="28">
                  <c:v>60</c:v>
                </c:pt>
                <c:pt idx="29">
                  <c:v>61</c:v>
                </c:pt>
                <c:pt idx="30">
                  <c:v>62</c:v>
                </c:pt>
                <c:pt idx="31">
                  <c:v>63</c:v>
                </c:pt>
                <c:pt idx="32">
                  <c:v>66</c:v>
                </c:pt>
                <c:pt idx="33">
                  <c:v>67</c:v>
                </c:pt>
                <c:pt idx="34">
                  <c:v>71</c:v>
                </c:pt>
              </c:numCache>
            </c:numRef>
          </c:xVal>
          <c:yVal>
            <c:numRef>
              <c:f>'age vs salary'!$F$4:$F$38</c:f>
              <c:numCache>
                <c:formatCode>[$$-409]\ #,##0.00\ "K"</c:formatCode>
                <c:ptCount val="35"/>
                <c:pt idx="0">
                  <c:v>87.36</c:v>
                </c:pt>
                <c:pt idx="1">
                  <c:v>119.7</c:v>
                </c:pt>
                <c:pt idx="2">
                  <c:v>106.8</c:v>
                </c:pt>
                <c:pt idx="3">
                  <c:v>55.01</c:v>
                </c:pt>
                <c:pt idx="4">
                  <c:v>20.53</c:v>
                </c:pt>
                <c:pt idx="5">
                  <c:v>138.6</c:v>
                </c:pt>
                <c:pt idx="6">
                  <c:v>102</c:v>
                </c:pt>
                <c:pt idx="7">
                  <c:v>86.26</c:v>
                </c:pt>
                <c:pt idx="8">
                  <c:v>114.1</c:v>
                </c:pt>
                <c:pt idx="9">
                  <c:v>35.39</c:v>
                </c:pt>
                <c:pt idx="10">
                  <c:v>133.57999999999998</c:v>
                </c:pt>
                <c:pt idx="11">
                  <c:v>116.4</c:v>
                </c:pt>
                <c:pt idx="12">
                  <c:v>71.349999999999994</c:v>
                </c:pt>
                <c:pt idx="13">
                  <c:v>28.46</c:v>
                </c:pt>
                <c:pt idx="14">
                  <c:v>62.76</c:v>
                </c:pt>
                <c:pt idx="15">
                  <c:v>95.12</c:v>
                </c:pt>
                <c:pt idx="16">
                  <c:v>69.040000000000006</c:v>
                </c:pt>
                <c:pt idx="17">
                  <c:v>89.74</c:v>
                </c:pt>
                <c:pt idx="18">
                  <c:v>237.53</c:v>
                </c:pt>
                <c:pt idx="19">
                  <c:v>46.35</c:v>
                </c:pt>
                <c:pt idx="20">
                  <c:v>177.07</c:v>
                </c:pt>
                <c:pt idx="21">
                  <c:v>79.87</c:v>
                </c:pt>
                <c:pt idx="22">
                  <c:v>44.87</c:v>
                </c:pt>
                <c:pt idx="23">
                  <c:v>80.760000000000005</c:v>
                </c:pt>
                <c:pt idx="24">
                  <c:v>60.06</c:v>
                </c:pt>
                <c:pt idx="25">
                  <c:v>117.19000000000001</c:v>
                </c:pt>
                <c:pt idx="26">
                  <c:v>153.48000000000002</c:v>
                </c:pt>
                <c:pt idx="27">
                  <c:v>90.48</c:v>
                </c:pt>
                <c:pt idx="28">
                  <c:v>62.04</c:v>
                </c:pt>
                <c:pt idx="29">
                  <c:v>68.459999999999994</c:v>
                </c:pt>
                <c:pt idx="30">
                  <c:v>129.22999999999999</c:v>
                </c:pt>
                <c:pt idx="31">
                  <c:v>109.9</c:v>
                </c:pt>
                <c:pt idx="32">
                  <c:v>90.6</c:v>
                </c:pt>
                <c:pt idx="33">
                  <c:v>153.65</c:v>
                </c:pt>
                <c:pt idx="34">
                  <c:v>124.93</c:v>
                </c:pt>
              </c:numCache>
            </c:numRef>
          </c:yVal>
          <c:smooth val="0"/>
          <c:extLst>
            <c:ext xmlns:c16="http://schemas.microsoft.com/office/drawing/2014/chart" uri="{C3380CC4-5D6E-409C-BE32-E72D297353CC}">
              <c16:uniqueId val="{00000000-67C3-49E7-A325-9077CEBC91F6}"/>
            </c:ext>
          </c:extLst>
        </c:ser>
        <c:dLbls>
          <c:showLegendKey val="0"/>
          <c:showVal val="0"/>
          <c:showCatName val="0"/>
          <c:showSerName val="0"/>
          <c:showPercent val="0"/>
          <c:showBubbleSize val="0"/>
        </c:dLbls>
        <c:axId val="1874312943"/>
        <c:axId val="1939974319"/>
      </c:scatterChart>
      <c:valAx>
        <c:axId val="1874312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974319"/>
        <c:crosses val="autoZero"/>
        <c:crossBetween val="midCat"/>
      </c:valAx>
      <c:valAx>
        <c:axId val="1939974319"/>
        <c:scaling>
          <c:orientation val="minMax"/>
        </c:scaling>
        <c:delete val="0"/>
        <c:axPos val="l"/>
        <c:majorGridlines>
          <c:spPr>
            <a:ln w="9525" cap="flat" cmpd="sng" algn="ctr">
              <a:solidFill>
                <a:schemeClr val="tx1">
                  <a:lumMod val="15000"/>
                  <a:lumOff val="85000"/>
                </a:schemeClr>
              </a:solidFill>
              <a:round/>
            </a:ln>
            <a:effectLst/>
          </c:spPr>
        </c:majorGridlines>
        <c:numFmt formatCode="[$$-409]\ #,##0.00\ &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3129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[Activity _ Dataset.xlsx]Average Weight sports wise!PivotTable4</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Average</a:t>
            </a:r>
            <a:r>
              <a:rPr lang="en-IN" sz="1200" baseline="0"/>
              <a:t> weight country_sports wise</a:t>
            </a:r>
            <a:endParaRPr lang="en-IN"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'Average Weight sports wise'!$B$3:$B$4</c:f>
              <c:strCache>
                <c:ptCount val="1"/>
                <c:pt idx="0">
                  <c:v>Alpine Skiing</c:v>
                </c:pt>
              </c:strCache>
            </c:strRef>
          </c:tx>
          <c:spPr>
            <a:solidFill>
              <a:schemeClr val="accent1"/>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wise'!$B$5:$B$16</c:f>
              <c:numCache>
                <c:formatCode>0</c:formatCode>
                <c:ptCount val="11"/>
                <c:pt idx="5">
                  <c:v>49</c:v>
                </c:pt>
                <c:pt idx="10">
                  <c:v>49</c:v>
                </c:pt>
              </c:numCache>
            </c:numRef>
          </c:val>
          <c:extLst>
            <c:ext xmlns:c16="http://schemas.microsoft.com/office/drawing/2014/chart" uri="{C3380CC4-5D6E-409C-BE32-E72D297353CC}">
              <c16:uniqueId val="{00000000-23F8-4F5E-8186-C3A4DC741F0B}"/>
            </c:ext>
          </c:extLst>
        </c:ser>
        <c:ser>
          <c:idx val="1"/>
          <c:order val="1"/>
          <c:tx>
            <c:strRef>
              <c:f>'Average Weight sports wise'!$C$3:$C$4</c:f>
              <c:strCache>
                <c:ptCount val="1"/>
                <c:pt idx="0">
                  <c:v>Archery</c:v>
                </c:pt>
              </c:strCache>
            </c:strRef>
          </c:tx>
          <c:spPr>
            <a:solidFill>
              <a:schemeClr val="accent2"/>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wise'!$C$5:$C$16</c:f>
              <c:numCache>
                <c:formatCode>0</c:formatCode>
                <c:ptCount val="11"/>
                <c:pt idx="9">
                  <c:v>101</c:v>
                </c:pt>
              </c:numCache>
            </c:numRef>
          </c:val>
          <c:extLst>
            <c:ext xmlns:c16="http://schemas.microsoft.com/office/drawing/2014/chart" uri="{C3380CC4-5D6E-409C-BE32-E72D297353CC}">
              <c16:uniqueId val="{0000000C-23F8-4F5E-8186-C3A4DC741F0B}"/>
            </c:ext>
          </c:extLst>
        </c:ser>
        <c:ser>
          <c:idx val="2"/>
          <c:order val="2"/>
          <c:tx>
            <c:strRef>
              <c:f>'Average Weight sports wise'!$D$3:$D$4</c:f>
              <c:strCache>
                <c:ptCount val="1"/>
                <c:pt idx="0">
                  <c:v>Athletics</c:v>
                </c:pt>
              </c:strCache>
            </c:strRef>
          </c:tx>
          <c:spPr>
            <a:solidFill>
              <a:schemeClr val="accent3"/>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wise'!$D$5:$D$16</c:f>
              <c:numCache>
                <c:formatCode>0</c:formatCode>
                <c:ptCount val="11"/>
                <c:pt idx="0">
                  <c:v>52</c:v>
                </c:pt>
                <c:pt idx="7">
                  <c:v>59</c:v>
                </c:pt>
              </c:numCache>
            </c:numRef>
          </c:val>
          <c:extLst>
            <c:ext xmlns:c16="http://schemas.microsoft.com/office/drawing/2014/chart" uri="{C3380CC4-5D6E-409C-BE32-E72D297353CC}">
              <c16:uniqueId val="{0000000D-23F8-4F5E-8186-C3A4DC741F0B}"/>
            </c:ext>
          </c:extLst>
        </c:ser>
        <c:ser>
          <c:idx val="3"/>
          <c:order val="3"/>
          <c:tx>
            <c:strRef>
              <c:f>'Average Weight sports wise'!$E$3:$E$4</c:f>
              <c:strCache>
                <c:ptCount val="1"/>
                <c:pt idx="0">
                  <c:v>Basketball</c:v>
                </c:pt>
              </c:strCache>
            </c:strRef>
          </c:tx>
          <c:spPr>
            <a:solidFill>
              <a:schemeClr val="accent4"/>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wise'!$E$5:$E$16</c:f>
              <c:numCache>
                <c:formatCode>0</c:formatCode>
                <c:ptCount val="11"/>
                <c:pt idx="1">
                  <c:v>55</c:v>
                </c:pt>
              </c:numCache>
            </c:numRef>
          </c:val>
          <c:extLst>
            <c:ext xmlns:c16="http://schemas.microsoft.com/office/drawing/2014/chart" uri="{C3380CC4-5D6E-409C-BE32-E72D297353CC}">
              <c16:uniqueId val="{0000000E-23F8-4F5E-8186-C3A4DC741F0B}"/>
            </c:ext>
          </c:extLst>
        </c:ser>
        <c:ser>
          <c:idx val="4"/>
          <c:order val="4"/>
          <c:tx>
            <c:strRef>
              <c:f>'Average Weight sports wise'!$F$3:$F$4</c:f>
              <c:strCache>
                <c:ptCount val="1"/>
                <c:pt idx="0">
                  <c:v>Beach Volleyball</c:v>
                </c:pt>
              </c:strCache>
            </c:strRef>
          </c:tx>
          <c:spPr>
            <a:solidFill>
              <a:schemeClr val="accent5"/>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wise'!$F$5:$F$16</c:f>
              <c:numCache>
                <c:formatCode>0</c:formatCode>
                <c:ptCount val="11"/>
                <c:pt idx="0">
                  <c:v>98</c:v>
                </c:pt>
                <c:pt idx="1">
                  <c:v>67</c:v>
                </c:pt>
                <c:pt idx="4">
                  <c:v>78</c:v>
                </c:pt>
                <c:pt idx="6">
                  <c:v>80.5</c:v>
                </c:pt>
              </c:numCache>
            </c:numRef>
          </c:val>
          <c:extLst>
            <c:ext xmlns:c16="http://schemas.microsoft.com/office/drawing/2014/chart" uri="{C3380CC4-5D6E-409C-BE32-E72D297353CC}">
              <c16:uniqueId val="{0000000F-23F8-4F5E-8186-C3A4DC741F0B}"/>
            </c:ext>
          </c:extLst>
        </c:ser>
        <c:ser>
          <c:idx val="5"/>
          <c:order val="5"/>
          <c:tx>
            <c:strRef>
              <c:f>'Average Weight sports wise'!$G$3:$G$4</c:f>
              <c:strCache>
                <c:ptCount val="1"/>
                <c:pt idx="0">
                  <c:v>Biathlon</c:v>
                </c:pt>
              </c:strCache>
            </c:strRef>
          </c:tx>
          <c:spPr>
            <a:solidFill>
              <a:schemeClr val="accent6"/>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wise'!$G$5:$G$16</c:f>
              <c:numCache>
                <c:formatCode>0</c:formatCode>
                <c:ptCount val="11"/>
                <c:pt idx="8">
                  <c:v>46</c:v>
                </c:pt>
              </c:numCache>
            </c:numRef>
          </c:val>
          <c:extLst>
            <c:ext xmlns:c16="http://schemas.microsoft.com/office/drawing/2014/chart" uri="{C3380CC4-5D6E-409C-BE32-E72D297353CC}">
              <c16:uniqueId val="{00000010-23F8-4F5E-8186-C3A4DC741F0B}"/>
            </c:ext>
          </c:extLst>
        </c:ser>
        <c:ser>
          <c:idx val="6"/>
          <c:order val="6"/>
          <c:tx>
            <c:strRef>
              <c:f>'Average Weight sports wise'!$H$3:$H$4</c:f>
              <c:strCache>
                <c:ptCount val="1"/>
                <c:pt idx="0">
                  <c:v>Boxing</c:v>
                </c:pt>
              </c:strCache>
            </c:strRef>
          </c:tx>
          <c:spPr>
            <a:solidFill>
              <a:schemeClr val="accent1">
                <a:lumMod val="6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wise'!$H$5:$H$16</c:f>
              <c:numCache>
                <c:formatCode>0</c:formatCode>
                <c:ptCount val="11"/>
                <c:pt idx="10">
                  <c:v>84</c:v>
                </c:pt>
              </c:numCache>
            </c:numRef>
          </c:val>
          <c:extLst>
            <c:ext xmlns:c16="http://schemas.microsoft.com/office/drawing/2014/chart" uri="{C3380CC4-5D6E-409C-BE32-E72D297353CC}">
              <c16:uniqueId val="{00000011-23F8-4F5E-8186-C3A4DC741F0B}"/>
            </c:ext>
          </c:extLst>
        </c:ser>
        <c:ser>
          <c:idx val="7"/>
          <c:order val="7"/>
          <c:tx>
            <c:strRef>
              <c:f>'Average Weight sports wise'!$I$3:$I$4</c:f>
              <c:strCache>
                <c:ptCount val="1"/>
                <c:pt idx="0">
                  <c:v>Canoe Slalom</c:v>
                </c:pt>
              </c:strCache>
            </c:strRef>
          </c:tx>
          <c:spPr>
            <a:solidFill>
              <a:schemeClr val="accent2">
                <a:lumMod val="6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wise'!$I$5:$I$16</c:f>
              <c:numCache>
                <c:formatCode>0</c:formatCode>
                <c:ptCount val="11"/>
                <c:pt idx="0">
                  <c:v>78</c:v>
                </c:pt>
                <c:pt idx="1">
                  <c:v>59</c:v>
                </c:pt>
                <c:pt idx="7">
                  <c:v>102</c:v>
                </c:pt>
              </c:numCache>
            </c:numRef>
          </c:val>
          <c:extLst>
            <c:ext xmlns:c16="http://schemas.microsoft.com/office/drawing/2014/chart" uri="{C3380CC4-5D6E-409C-BE32-E72D297353CC}">
              <c16:uniqueId val="{00000012-23F8-4F5E-8186-C3A4DC741F0B}"/>
            </c:ext>
          </c:extLst>
        </c:ser>
        <c:ser>
          <c:idx val="8"/>
          <c:order val="8"/>
          <c:tx>
            <c:strRef>
              <c:f>'Average Weight sports wise'!$J$3:$J$4</c:f>
              <c:strCache>
                <c:ptCount val="1"/>
                <c:pt idx="0">
                  <c:v>Canoe Sprint</c:v>
                </c:pt>
              </c:strCache>
            </c:strRef>
          </c:tx>
          <c:spPr>
            <a:solidFill>
              <a:schemeClr val="accent3">
                <a:lumMod val="6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wise'!$J$5:$J$16</c:f>
              <c:numCache>
                <c:formatCode>0</c:formatCode>
                <c:ptCount val="11"/>
                <c:pt idx="5">
                  <c:v>68</c:v>
                </c:pt>
              </c:numCache>
            </c:numRef>
          </c:val>
          <c:extLst>
            <c:ext xmlns:c16="http://schemas.microsoft.com/office/drawing/2014/chart" uri="{C3380CC4-5D6E-409C-BE32-E72D297353CC}">
              <c16:uniqueId val="{00000013-23F8-4F5E-8186-C3A4DC741F0B}"/>
            </c:ext>
          </c:extLst>
        </c:ser>
        <c:ser>
          <c:idx val="9"/>
          <c:order val="9"/>
          <c:tx>
            <c:strRef>
              <c:f>'Average Weight sports wise'!$K$3:$K$4</c:f>
              <c:strCache>
                <c:ptCount val="1"/>
                <c:pt idx="0">
                  <c:v>Curling</c:v>
                </c:pt>
              </c:strCache>
            </c:strRef>
          </c:tx>
          <c:spPr>
            <a:solidFill>
              <a:schemeClr val="accent4">
                <a:lumMod val="6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wise'!$K$5:$K$16</c:f>
              <c:numCache>
                <c:formatCode>0</c:formatCode>
                <c:ptCount val="11"/>
                <c:pt idx="10">
                  <c:v>106</c:v>
                </c:pt>
              </c:numCache>
            </c:numRef>
          </c:val>
          <c:extLst>
            <c:ext xmlns:c16="http://schemas.microsoft.com/office/drawing/2014/chart" uri="{C3380CC4-5D6E-409C-BE32-E72D297353CC}">
              <c16:uniqueId val="{00000014-23F8-4F5E-8186-C3A4DC741F0B}"/>
            </c:ext>
          </c:extLst>
        </c:ser>
        <c:ser>
          <c:idx val="10"/>
          <c:order val="10"/>
          <c:tx>
            <c:strRef>
              <c:f>'Average Weight sports wise'!$L$3:$L$4</c:f>
              <c:strCache>
                <c:ptCount val="1"/>
                <c:pt idx="0">
                  <c:v>Cycling BMX</c:v>
                </c:pt>
              </c:strCache>
            </c:strRef>
          </c:tx>
          <c:spPr>
            <a:solidFill>
              <a:schemeClr val="accent5">
                <a:lumMod val="6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wise'!$L$5:$L$16</c:f>
              <c:numCache>
                <c:formatCode>0</c:formatCode>
                <c:ptCount val="11"/>
                <c:pt idx="5">
                  <c:v>105</c:v>
                </c:pt>
              </c:numCache>
            </c:numRef>
          </c:val>
          <c:extLst>
            <c:ext xmlns:c16="http://schemas.microsoft.com/office/drawing/2014/chart" uri="{C3380CC4-5D6E-409C-BE32-E72D297353CC}">
              <c16:uniqueId val="{00000015-23F8-4F5E-8186-C3A4DC741F0B}"/>
            </c:ext>
          </c:extLst>
        </c:ser>
        <c:ser>
          <c:idx val="11"/>
          <c:order val="11"/>
          <c:tx>
            <c:strRef>
              <c:f>'Average Weight sports wise'!$M$3:$M$4</c:f>
              <c:strCache>
                <c:ptCount val="1"/>
                <c:pt idx="0">
                  <c:v>Cycling Mountain Bike</c:v>
                </c:pt>
              </c:strCache>
            </c:strRef>
          </c:tx>
          <c:spPr>
            <a:solidFill>
              <a:schemeClr val="accent6">
                <a:lumMod val="6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wise'!$M$5:$M$16</c:f>
              <c:numCache>
                <c:formatCode>0</c:formatCode>
                <c:ptCount val="11"/>
                <c:pt idx="5">
                  <c:v>71</c:v>
                </c:pt>
              </c:numCache>
            </c:numRef>
          </c:val>
          <c:extLst>
            <c:ext xmlns:c16="http://schemas.microsoft.com/office/drawing/2014/chart" uri="{C3380CC4-5D6E-409C-BE32-E72D297353CC}">
              <c16:uniqueId val="{00000016-23F8-4F5E-8186-C3A4DC741F0B}"/>
            </c:ext>
          </c:extLst>
        </c:ser>
        <c:ser>
          <c:idx val="12"/>
          <c:order val="12"/>
          <c:tx>
            <c:strRef>
              <c:f>'Average Weight sports wise'!$N$3:$N$4</c:f>
              <c:strCache>
                <c:ptCount val="1"/>
                <c:pt idx="0">
                  <c:v>Cycling Road</c:v>
                </c:pt>
              </c:strCache>
            </c:strRef>
          </c:tx>
          <c:spPr>
            <a:solidFill>
              <a:schemeClr val="accent1">
                <a:lumMod val="80000"/>
                <a:lumOff val="2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wise'!$N$5:$N$16</c:f>
              <c:numCache>
                <c:formatCode>0</c:formatCode>
                <c:ptCount val="11"/>
                <c:pt idx="1">
                  <c:v>78</c:v>
                </c:pt>
                <c:pt idx="2">
                  <c:v>52</c:v>
                </c:pt>
                <c:pt idx="9">
                  <c:v>63</c:v>
                </c:pt>
                <c:pt idx="10">
                  <c:v>61</c:v>
                </c:pt>
              </c:numCache>
            </c:numRef>
          </c:val>
          <c:extLst>
            <c:ext xmlns:c16="http://schemas.microsoft.com/office/drawing/2014/chart" uri="{C3380CC4-5D6E-409C-BE32-E72D297353CC}">
              <c16:uniqueId val="{00000017-23F8-4F5E-8186-C3A4DC741F0B}"/>
            </c:ext>
          </c:extLst>
        </c:ser>
        <c:ser>
          <c:idx val="13"/>
          <c:order val="13"/>
          <c:tx>
            <c:strRef>
              <c:f>'Average Weight sports wise'!$O$3:$O$4</c:f>
              <c:strCache>
                <c:ptCount val="1"/>
                <c:pt idx="0">
                  <c:v>Cycling Track</c:v>
                </c:pt>
              </c:strCache>
            </c:strRef>
          </c:tx>
          <c:spPr>
            <a:solidFill>
              <a:schemeClr val="accent2">
                <a:lumMod val="80000"/>
                <a:lumOff val="2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wise'!$O$5:$O$16</c:f>
              <c:numCache>
                <c:formatCode>0</c:formatCode>
                <c:ptCount val="11"/>
                <c:pt idx="1">
                  <c:v>86</c:v>
                </c:pt>
                <c:pt idx="4">
                  <c:v>60</c:v>
                </c:pt>
                <c:pt idx="10">
                  <c:v>94</c:v>
                </c:pt>
              </c:numCache>
            </c:numRef>
          </c:val>
          <c:extLst>
            <c:ext xmlns:c16="http://schemas.microsoft.com/office/drawing/2014/chart" uri="{C3380CC4-5D6E-409C-BE32-E72D297353CC}">
              <c16:uniqueId val="{00000018-23F8-4F5E-8186-C3A4DC741F0B}"/>
            </c:ext>
          </c:extLst>
        </c:ser>
        <c:ser>
          <c:idx val="14"/>
          <c:order val="14"/>
          <c:tx>
            <c:strRef>
              <c:f>'Average Weight sports wise'!$P$3:$P$4</c:f>
              <c:strCache>
                <c:ptCount val="1"/>
                <c:pt idx="0">
                  <c:v>Diving</c:v>
                </c:pt>
              </c:strCache>
            </c:strRef>
          </c:tx>
          <c:spPr>
            <a:solidFill>
              <a:schemeClr val="accent3">
                <a:lumMod val="80000"/>
                <a:lumOff val="2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wise'!$P$5:$P$16</c:f>
              <c:numCache>
                <c:formatCode>0</c:formatCode>
                <c:ptCount val="11"/>
                <c:pt idx="4">
                  <c:v>57</c:v>
                </c:pt>
              </c:numCache>
            </c:numRef>
          </c:val>
          <c:extLst>
            <c:ext xmlns:c16="http://schemas.microsoft.com/office/drawing/2014/chart" uri="{C3380CC4-5D6E-409C-BE32-E72D297353CC}">
              <c16:uniqueId val="{00000019-23F8-4F5E-8186-C3A4DC741F0B}"/>
            </c:ext>
          </c:extLst>
        </c:ser>
        <c:ser>
          <c:idx val="15"/>
          <c:order val="15"/>
          <c:tx>
            <c:strRef>
              <c:f>'Average Weight sports wise'!$Q$3:$Q$4</c:f>
              <c:strCache>
                <c:ptCount val="1"/>
                <c:pt idx="0">
                  <c:v>Equestrian / Dressage</c:v>
                </c:pt>
              </c:strCache>
            </c:strRef>
          </c:tx>
          <c:spPr>
            <a:solidFill>
              <a:schemeClr val="accent4">
                <a:lumMod val="80000"/>
                <a:lumOff val="2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wise'!$Q$5:$Q$16</c:f>
              <c:numCache>
                <c:formatCode>0</c:formatCode>
                <c:ptCount val="11"/>
                <c:pt idx="1">
                  <c:v>84</c:v>
                </c:pt>
              </c:numCache>
            </c:numRef>
          </c:val>
          <c:extLst>
            <c:ext xmlns:c16="http://schemas.microsoft.com/office/drawing/2014/chart" uri="{C3380CC4-5D6E-409C-BE32-E72D297353CC}">
              <c16:uniqueId val="{0000001A-23F8-4F5E-8186-C3A4DC741F0B}"/>
            </c:ext>
          </c:extLst>
        </c:ser>
        <c:ser>
          <c:idx val="16"/>
          <c:order val="16"/>
          <c:tx>
            <c:strRef>
              <c:f>'Average Weight sports wise'!$R$3:$R$4</c:f>
              <c:strCache>
                <c:ptCount val="1"/>
                <c:pt idx="0">
                  <c:v>Fencing</c:v>
                </c:pt>
              </c:strCache>
            </c:strRef>
          </c:tx>
          <c:spPr>
            <a:solidFill>
              <a:schemeClr val="accent5">
                <a:lumMod val="80000"/>
                <a:lumOff val="2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wise'!$R$5:$R$16</c:f>
              <c:numCache>
                <c:formatCode>0</c:formatCode>
                <c:ptCount val="11"/>
                <c:pt idx="10">
                  <c:v>83</c:v>
                </c:pt>
              </c:numCache>
            </c:numRef>
          </c:val>
          <c:extLst>
            <c:ext xmlns:c16="http://schemas.microsoft.com/office/drawing/2014/chart" uri="{C3380CC4-5D6E-409C-BE32-E72D297353CC}">
              <c16:uniqueId val="{0000001B-23F8-4F5E-8186-C3A4DC741F0B}"/>
            </c:ext>
          </c:extLst>
        </c:ser>
        <c:ser>
          <c:idx val="17"/>
          <c:order val="17"/>
          <c:tx>
            <c:strRef>
              <c:f>'Average Weight sports wise'!$S$3:$S$4</c:f>
              <c:strCache>
                <c:ptCount val="1"/>
                <c:pt idx="0">
                  <c:v>Football</c:v>
                </c:pt>
              </c:strCache>
            </c:strRef>
          </c:tx>
          <c:spPr>
            <a:solidFill>
              <a:schemeClr val="accent6">
                <a:lumMod val="80000"/>
                <a:lumOff val="2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wise'!$S$5:$S$16</c:f>
              <c:numCache>
                <c:formatCode>0</c:formatCode>
                <c:ptCount val="11"/>
                <c:pt idx="3">
                  <c:v>53</c:v>
                </c:pt>
                <c:pt idx="8">
                  <c:v>50</c:v>
                </c:pt>
              </c:numCache>
            </c:numRef>
          </c:val>
          <c:extLst>
            <c:ext xmlns:c16="http://schemas.microsoft.com/office/drawing/2014/chart" uri="{C3380CC4-5D6E-409C-BE32-E72D297353CC}">
              <c16:uniqueId val="{0000001C-23F8-4F5E-8186-C3A4DC741F0B}"/>
            </c:ext>
          </c:extLst>
        </c:ser>
        <c:ser>
          <c:idx val="18"/>
          <c:order val="18"/>
          <c:tx>
            <c:strRef>
              <c:f>'Average Weight sports wise'!$T$3:$T$4</c:f>
              <c:strCache>
                <c:ptCount val="1"/>
                <c:pt idx="0">
                  <c:v>Freestyle Skiing</c:v>
                </c:pt>
              </c:strCache>
            </c:strRef>
          </c:tx>
          <c:spPr>
            <a:solidFill>
              <a:schemeClr val="accent1">
                <a:lumMod val="8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wise'!$T$5:$T$16</c:f>
              <c:numCache>
                <c:formatCode>0</c:formatCode>
                <c:ptCount val="11"/>
                <c:pt idx="9">
                  <c:v>104</c:v>
                </c:pt>
              </c:numCache>
            </c:numRef>
          </c:val>
          <c:extLst>
            <c:ext xmlns:c16="http://schemas.microsoft.com/office/drawing/2014/chart" uri="{C3380CC4-5D6E-409C-BE32-E72D297353CC}">
              <c16:uniqueId val="{0000001D-23F8-4F5E-8186-C3A4DC741F0B}"/>
            </c:ext>
          </c:extLst>
        </c:ser>
        <c:ser>
          <c:idx val="19"/>
          <c:order val="19"/>
          <c:tx>
            <c:strRef>
              <c:f>'Average Weight sports wise'!$U$3:$U$4</c:f>
              <c:strCache>
                <c:ptCount val="1"/>
                <c:pt idx="0">
                  <c:v>Golf</c:v>
                </c:pt>
              </c:strCache>
            </c:strRef>
          </c:tx>
          <c:spPr>
            <a:solidFill>
              <a:schemeClr val="accent2">
                <a:lumMod val="8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wise'!$U$5:$U$16</c:f>
              <c:numCache>
                <c:formatCode>0</c:formatCode>
                <c:ptCount val="11"/>
                <c:pt idx="4">
                  <c:v>75</c:v>
                </c:pt>
              </c:numCache>
            </c:numRef>
          </c:val>
          <c:extLst>
            <c:ext xmlns:c16="http://schemas.microsoft.com/office/drawing/2014/chart" uri="{C3380CC4-5D6E-409C-BE32-E72D297353CC}">
              <c16:uniqueId val="{0000001E-23F8-4F5E-8186-C3A4DC741F0B}"/>
            </c:ext>
          </c:extLst>
        </c:ser>
        <c:ser>
          <c:idx val="20"/>
          <c:order val="20"/>
          <c:tx>
            <c:strRef>
              <c:f>'Average Weight sports wise'!$V$3:$V$4</c:f>
              <c:strCache>
                <c:ptCount val="1"/>
                <c:pt idx="0">
                  <c:v>Gymnastics Artistic</c:v>
                </c:pt>
              </c:strCache>
            </c:strRef>
          </c:tx>
          <c:spPr>
            <a:solidFill>
              <a:schemeClr val="accent3">
                <a:lumMod val="8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wise'!$V$5:$V$16</c:f>
              <c:numCache>
                <c:formatCode>0</c:formatCode>
                <c:ptCount val="11"/>
                <c:pt idx="7">
                  <c:v>56</c:v>
                </c:pt>
              </c:numCache>
            </c:numRef>
          </c:val>
          <c:extLst>
            <c:ext xmlns:c16="http://schemas.microsoft.com/office/drawing/2014/chart" uri="{C3380CC4-5D6E-409C-BE32-E72D297353CC}">
              <c16:uniqueId val="{0000001F-23F8-4F5E-8186-C3A4DC741F0B}"/>
            </c:ext>
          </c:extLst>
        </c:ser>
        <c:ser>
          <c:idx val="21"/>
          <c:order val="21"/>
          <c:tx>
            <c:strRef>
              <c:f>'Average Weight sports wise'!$W$3:$W$4</c:f>
              <c:strCache>
                <c:ptCount val="1"/>
                <c:pt idx="0">
                  <c:v>Handball</c:v>
                </c:pt>
              </c:strCache>
            </c:strRef>
          </c:tx>
          <c:spPr>
            <a:solidFill>
              <a:schemeClr val="accent4">
                <a:lumMod val="8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wise'!$W$5:$W$16</c:f>
              <c:numCache>
                <c:formatCode>0</c:formatCode>
                <c:ptCount val="11"/>
                <c:pt idx="5">
                  <c:v>106</c:v>
                </c:pt>
              </c:numCache>
            </c:numRef>
          </c:val>
          <c:extLst>
            <c:ext xmlns:c16="http://schemas.microsoft.com/office/drawing/2014/chart" uri="{C3380CC4-5D6E-409C-BE32-E72D297353CC}">
              <c16:uniqueId val="{00000020-23F8-4F5E-8186-C3A4DC741F0B}"/>
            </c:ext>
          </c:extLst>
        </c:ser>
        <c:ser>
          <c:idx val="22"/>
          <c:order val="22"/>
          <c:tx>
            <c:strRef>
              <c:f>'Average Weight sports wise'!$X$3:$X$4</c:f>
              <c:strCache>
                <c:ptCount val="1"/>
                <c:pt idx="0">
                  <c:v>Hockey</c:v>
                </c:pt>
              </c:strCache>
            </c:strRef>
          </c:tx>
          <c:spPr>
            <a:solidFill>
              <a:schemeClr val="accent5">
                <a:lumMod val="8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wise'!$X$5:$X$16</c:f>
              <c:numCache>
                <c:formatCode>0</c:formatCode>
                <c:ptCount val="11"/>
                <c:pt idx="4">
                  <c:v>89</c:v>
                </c:pt>
              </c:numCache>
            </c:numRef>
          </c:val>
          <c:extLst>
            <c:ext xmlns:c16="http://schemas.microsoft.com/office/drawing/2014/chart" uri="{C3380CC4-5D6E-409C-BE32-E72D297353CC}">
              <c16:uniqueId val="{00000021-23F8-4F5E-8186-C3A4DC741F0B}"/>
            </c:ext>
          </c:extLst>
        </c:ser>
        <c:ser>
          <c:idx val="23"/>
          <c:order val="23"/>
          <c:tx>
            <c:strRef>
              <c:f>'Average Weight sports wise'!$Y$3:$Y$4</c:f>
              <c:strCache>
                <c:ptCount val="1"/>
                <c:pt idx="0">
                  <c:v>Judo</c:v>
                </c:pt>
              </c:strCache>
            </c:strRef>
          </c:tx>
          <c:spPr>
            <a:solidFill>
              <a:schemeClr val="accent6">
                <a:lumMod val="8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wise'!$Y$5:$Y$16</c:f>
              <c:numCache>
                <c:formatCode>0</c:formatCode>
                <c:ptCount val="11"/>
                <c:pt idx="6">
                  <c:v>64</c:v>
                </c:pt>
              </c:numCache>
            </c:numRef>
          </c:val>
          <c:extLst>
            <c:ext xmlns:c16="http://schemas.microsoft.com/office/drawing/2014/chart" uri="{C3380CC4-5D6E-409C-BE32-E72D297353CC}">
              <c16:uniqueId val="{00000022-23F8-4F5E-8186-C3A4DC741F0B}"/>
            </c:ext>
          </c:extLst>
        </c:ser>
        <c:ser>
          <c:idx val="24"/>
          <c:order val="24"/>
          <c:tx>
            <c:strRef>
              <c:f>'Average Weight sports wise'!$Z$3:$Z$4</c:f>
              <c:strCache>
                <c:ptCount val="1"/>
                <c:pt idx="0">
                  <c:v>Rugby</c:v>
                </c:pt>
              </c:strCache>
            </c:strRef>
          </c:tx>
          <c:spPr>
            <a:solidFill>
              <a:schemeClr val="accent1">
                <a:lumMod val="60000"/>
                <a:lumOff val="4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wise'!$Z$5:$Z$16</c:f>
              <c:numCache>
                <c:formatCode>0</c:formatCode>
                <c:ptCount val="11"/>
                <c:pt idx="2">
                  <c:v>96</c:v>
                </c:pt>
                <c:pt idx="9">
                  <c:v>71</c:v>
                </c:pt>
              </c:numCache>
            </c:numRef>
          </c:val>
          <c:extLst>
            <c:ext xmlns:c16="http://schemas.microsoft.com/office/drawing/2014/chart" uri="{C3380CC4-5D6E-409C-BE32-E72D297353CC}">
              <c16:uniqueId val="{00000023-23F8-4F5E-8186-C3A4DC741F0B}"/>
            </c:ext>
          </c:extLst>
        </c:ser>
        <c:ser>
          <c:idx val="25"/>
          <c:order val="25"/>
          <c:tx>
            <c:strRef>
              <c:f>'Average Weight sports wise'!$AA$3:$AA$4</c:f>
              <c:strCache>
                <c:ptCount val="1"/>
                <c:pt idx="0">
                  <c:v>Sailing</c:v>
                </c:pt>
              </c:strCache>
            </c:strRef>
          </c:tx>
          <c:spPr>
            <a:solidFill>
              <a:schemeClr val="accent2">
                <a:lumMod val="60000"/>
                <a:lumOff val="4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wise'!$AA$5:$AA$16</c:f>
              <c:numCache>
                <c:formatCode>0</c:formatCode>
                <c:ptCount val="11"/>
                <c:pt idx="4">
                  <c:v>96</c:v>
                </c:pt>
              </c:numCache>
            </c:numRef>
          </c:val>
          <c:extLst>
            <c:ext xmlns:c16="http://schemas.microsoft.com/office/drawing/2014/chart" uri="{C3380CC4-5D6E-409C-BE32-E72D297353CC}">
              <c16:uniqueId val="{00000024-23F8-4F5E-8186-C3A4DC741F0B}"/>
            </c:ext>
          </c:extLst>
        </c:ser>
        <c:ser>
          <c:idx val="26"/>
          <c:order val="26"/>
          <c:tx>
            <c:strRef>
              <c:f>'Average Weight sports wise'!$AB$3:$AB$4</c:f>
              <c:strCache>
                <c:ptCount val="1"/>
                <c:pt idx="0">
                  <c:v>Shooting</c:v>
                </c:pt>
              </c:strCache>
            </c:strRef>
          </c:tx>
          <c:spPr>
            <a:solidFill>
              <a:schemeClr val="accent3">
                <a:lumMod val="60000"/>
                <a:lumOff val="4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wise'!$AB$5:$AB$16</c:f>
              <c:numCache>
                <c:formatCode>0</c:formatCode>
                <c:ptCount val="11"/>
                <c:pt idx="9">
                  <c:v>65</c:v>
                </c:pt>
              </c:numCache>
            </c:numRef>
          </c:val>
          <c:extLst>
            <c:ext xmlns:c16="http://schemas.microsoft.com/office/drawing/2014/chart" uri="{C3380CC4-5D6E-409C-BE32-E72D297353CC}">
              <c16:uniqueId val="{00000025-23F8-4F5E-8186-C3A4DC741F0B}"/>
            </c:ext>
          </c:extLst>
        </c:ser>
        <c:ser>
          <c:idx val="27"/>
          <c:order val="27"/>
          <c:tx>
            <c:strRef>
              <c:f>'Average Weight sports wise'!$AC$3:$AC$4</c:f>
              <c:strCache>
                <c:ptCount val="1"/>
                <c:pt idx="0">
                  <c:v>Short Track Speed Skating</c:v>
                </c:pt>
              </c:strCache>
            </c:strRef>
          </c:tx>
          <c:spPr>
            <a:solidFill>
              <a:schemeClr val="accent4">
                <a:lumMod val="60000"/>
                <a:lumOff val="4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wise'!$AC$5:$AC$16</c:f>
              <c:numCache>
                <c:formatCode>0</c:formatCode>
                <c:ptCount val="11"/>
                <c:pt idx="1">
                  <c:v>70</c:v>
                </c:pt>
              </c:numCache>
            </c:numRef>
          </c:val>
          <c:extLst>
            <c:ext xmlns:c16="http://schemas.microsoft.com/office/drawing/2014/chart" uri="{C3380CC4-5D6E-409C-BE32-E72D297353CC}">
              <c16:uniqueId val="{00000026-23F8-4F5E-8186-C3A4DC741F0B}"/>
            </c:ext>
          </c:extLst>
        </c:ser>
        <c:ser>
          <c:idx val="28"/>
          <c:order val="28"/>
          <c:tx>
            <c:strRef>
              <c:f>'Average Weight sports wise'!$AD$3:$AD$4</c:f>
              <c:strCache>
                <c:ptCount val="1"/>
                <c:pt idx="0">
                  <c:v>Swimming</c:v>
                </c:pt>
              </c:strCache>
            </c:strRef>
          </c:tx>
          <c:spPr>
            <a:solidFill>
              <a:schemeClr val="accent5">
                <a:lumMod val="60000"/>
                <a:lumOff val="4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wise'!$AD$5:$AD$16</c:f>
              <c:numCache>
                <c:formatCode>0</c:formatCode>
                <c:ptCount val="11"/>
                <c:pt idx="3">
                  <c:v>93</c:v>
                </c:pt>
              </c:numCache>
            </c:numRef>
          </c:val>
          <c:extLst>
            <c:ext xmlns:c16="http://schemas.microsoft.com/office/drawing/2014/chart" uri="{C3380CC4-5D6E-409C-BE32-E72D297353CC}">
              <c16:uniqueId val="{00000027-23F8-4F5E-8186-C3A4DC741F0B}"/>
            </c:ext>
          </c:extLst>
        </c:ser>
        <c:ser>
          <c:idx val="29"/>
          <c:order val="29"/>
          <c:tx>
            <c:strRef>
              <c:f>'Average Weight sports wise'!$AE$3:$AE$4</c:f>
              <c:strCache>
                <c:ptCount val="1"/>
                <c:pt idx="0">
                  <c:v>Triathlon</c:v>
                </c:pt>
              </c:strCache>
            </c:strRef>
          </c:tx>
          <c:spPr>
            <a:solidFill>
              <a:schemeClr val="accent6">
                <a:lumMod val="60000"/>
                <a:lumOff val="4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wise'!$AE$5:$AE$16</c:f>
              <c:numCache>
                <c:formatCode>0</c:formatCode>
                <c:ptCount val="11"/>
                <c:pt idx="1">
                  <c:v>101</c:v>
                </c:pt>
                <c:pt idx="4">
                  <c:v>67</c:v>
                </c:pt>
              </c:numCache>
            </c:numRef>
          </c:val>
          <c:extLst>
            <c:ext xmlns:c16="http://schemas.microsoft.com/office/drawing/2014/chart" uri="{C3380CC4-5D6E-409C-BE32-E72D297353CC}">
              <c16:uniqueId val="{00000028-23F8-4F5E-8186-C3A4DC741F0B}"/>
            </c:ext>
          </c:extLst>
        </c:ser>
        <c:ser>
          <c:idx val="30"/>
          <c:order val="30"/>
          <c:tx>
            <c:strRef>
              <c:f>'Average Weight sports wise'!$AF$3:$AF$4</c:f>
              <c:strCache>
                <c:ptCount val="1"/>
                <c:pt idx="0">
                  <c:v>Volleyball</c:v>
                </c:pt>
              </c:strCache>
            </c:strRef>
          </c:tx>
          <c:spPr>
            <a:solidFill>
              <a:schemeClr val="accent1">
                <a:lumMod val="5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wise'!$AF$5:$AF$16</c:f>
              <c:numCache>
                <c:formatCode>0</c:formatCode>
                <c:ptCount val="11"/>
                <c:pt idx="2">
                  <c:v>93</c:v>
                </c:pt>
                <c:pt idx="4">
                  <c:v>82</c:v>
                </c:pt>
              </c:numCache>
            </c:numRef>
          </c:val>
          <c:extLst>
            <c:ext xmlns:c16="http://schemas.microsoft.com/office/drawing/2014/chart" uri="{C3380CC4-5D6E-409C-BE32-E72D297353CC}">
              <c16:uniqueId val="{00000029-23F8-4F5E-8186-C3A4DC741F0B}"/>
            </c:ext>
          </c:extLst>
        </c:ser>
        <c:ser>
          <c:idx val="31"/>
          <c:order val="31"/>
          <c:tx>
            <c:strRef>
              <c:f>'Average Weight sports wise'!$AG$3:$AG$4</c:f>
              <c:strCache>
                <c:ptCount val="1"/>
                <c:pt idx="0">
                  <c:v>Water Polo</c:v>
                </c:pt>
              </c:strCache>
            </c:strRef>
          </c:tx>
          <c:spPr>
            <a:solidFill>
              <a:schemeClr val="accent2">
                <a:lumMod val="5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wise'!$AG$5:$AG$16</c:f>
              <c:numCache>
                <c:formatCode>0</c:formatCode>
                <c:ptCount val="11"/>
                <c:pt idx="10">
                  <c:v>85</c:v>
                </c:pt>
              </c:numCache>
            </c:numRef>
          </c:val>
          <c:extLst>
            <c:ext xmlns:c16="http://schemas.microsoft.com/office/drawing/2014/chart" uri="{C3380CC4-5D6E-409C-BE32-E72D297353CC}">
              <c16:uniqueId val="{0000002A-23F8-4F5E-8186-C3A4DC741F0B}"/>
            </c:ext>
          </c:extLst>
        </c:ser>
        <c:dLbls>
          <c:showLegendKey val="0"/>
          <c:showVal val="0"/>
          <c:showCatName val="0"/>
          <c:showSerName val="0"/>
          <c:showPercent val="0"/>
          <c:showBubbleSize val="0"/>
        </c:dLbls>
        <c:gapWidth val="150"/>
        <c:overlap val="100"/>
        <c:axId val="834631584"/>
        <c:axId val="707593104"/>
      </c:barChart>
      <c:catAx>
        <c:axId val="83463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593104"/>
        <c:crosses val="autoZero"/>
        <c:auto val="1"/>
        <c:lblAlgn val="ctr"/>
        <c:lblOffset val="100"/>
        <c:noMultiLvlLbl val="0"/>
      </c:catAx>
      <c:valAx>
        <c:axId val="7075931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3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[Activity _ Dataset.xlsx]Sportsperson country and gender!PivotTable1</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400" b="1">
                <a:solidFill>
                  <a:srgbClr val="C00000"/>
                </a:solidFill>
              </a:rPr>
              <a:t>Sportsperson Country and Gender wise</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73946143472397E-2"/>
          <c:y val="0.13765088207985143"/>
          <c:w val="0.78540787546584301"/>
          <c:h val="0.61820820447583325"/>
        </c:manualLayout>
      </c:layout>
      <c:barChart>
        <c:barDir val="col"/>
        <c:grouping val="clustered"/>
        <c:varyColors val="0"/>
        <c:ser>
          <c:idx val="0"/>
          <c:order val="0"/>
          <c:tx>
            <c:strRef>
              <c:f>'Sportsperson country and gender'!$B$3:$B$4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'Sportsperson country and gender'!$A$5:$A$16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'Sportsperson country and gender'!$B$5:$B$16</c:f>
              <c:numCache>
                <c:formatCode>General</c:formatCode>
                <c:ptCount val="11"/>
                <c:pt idx="0">
                  <c:v>1</c:v>
                </c:pt>
                <c:pt idx="1">
                  <c:v>6</c:v>
                </c:pt>
                <c:pt idx="2">
                  <c:v>1</c:v>
                </c:pt>
                <c:pt idx="4">
                  <c:v>3</c:v>
                </c:pt>
                <c:pt idx="5">
                  <c:v>1</c:v>
                </c:pt>
                <c:pt idx="6">
                  <c:v>2</c:v>
                </c:pt>
                <c:pt idx="7">
                  <c:v>3</c:v>
                </c:pt>
                <c:pt idx="8">
                  <c:v>1</c:v>
                </c:pt>
                <c:pt idx="9">
                  <c:v>3</c:v>
                </c:pt>
                <c:pt idx="10">
                  <c:v>4</c:v>
                </c:pt>
              </c:numCache>
            </c:numRef>
          </c:val>
          <c:extLst>
            <c:ext xmlns:c16="http://schemas.microsoft.com/office/drawing/2014/chart" uri="{C3380CC4-5D6E-409C-BE32-E72D297353CC}">
              <c16:uniqueId val="{00000000-B8E1-4BE2-88DC-E1B8905B2614}"/>
            </c:ext>
          </c:extLst>
        </c:ser>
        <c:ser>
          <c:idx val="1"/>
          <c:order val="1"/>
          <c:tx>
            <c:strRef>
              <c:f>'Sportsperson country and gender'!$C$3:$C$4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'Sportsperson country and gender'!$A$5:$A$16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'Sportsperson country and gender'!$C$5:$C$16</c:f>
              <c:numCache>
                <c:formatCode>General</c:formatCode>
                <c:ptCount val="11"/>
                <c:pt idx="0">
                  <c:v>2</c:v>
                </c:pt>
                <c:pt idx="1">
                  <c:v>2</c:v>
                </c:pt>
                <c:pt idx="2">
                  <c:v>2</c:v>
                </c:pt>
                <c:pt idx="3">
                  <c:v>2</c:v>
                </c:pt>
                <c:pt idx="4">
                  <c:v>6</c:v>
                </c:pt>
                <c:pt idx="5">
                  <c:v>4</c:v>
                </c:pt>
                <c:pt idx="6">
                  <c:v>1</c:v>
                </c:pt>
                <c:pt idx="8">
                  <c:v>1</c:v>
                </c:pt>
                <c:pt idx="9">
                  <c:v>2</c:v>
                </c:pt>
                <c:pt idx="10">
                  <c:v>3</c:v>
                </c:pt>
              </c:numCache>
            </c:numRef>
          </c:val>
          <c:extLst>
            <c:ext xmlns:c16="http://schemas.microsoft.com/office/drawing/2014/chart" uri="{C3380CC4-5D6E-409C-BE32-E72D297353CC}">
              <c16:uniqueId val="{00000005-B8E1-4BE2-88DC-E1B8905B2614}"/>
            </c:ext>
          </c:extLst>
        </c:ser>
        <c:dLbls>
          <c:dLblPos val="outEnd"/>
          <c:showLegendKey val="0"/>
          <c:showVal val="1"/>
          <c:showCatName val="0"/>
          <c:showSerName val="0"/>
          <c:showPercent val="0"/>
          <c:showBubbleSize val="0"/>
        </c:dLbls>
        <c:gapWidth val="219"/>
        <c:overlap val="-27"/>
        <c:axId val="1254801951"/>
        <c:axId val="1647060591"/>
      </c:barChart>
      <c:catAx>
        <c:axId val="125480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647060591"/>
        <c:crosses val="autoZero"/>
        <c:auto val="1"/>
        <c:lblAlgn val="ctr"/>
        <c:lblOffset val="100"/>
        <c:noMultiLvlLbl val="0"/>
      </c:catAx>
      <c:valAx>
        <c:axId val="1647060591"/>
        <c:scaling>
          <c:orientation val="minMax"/>
        </c:scaling>
        <c:delete val="1"/>
        <c:axPos val="l"/>
        <c:numFmt formatCode="General" sourceLinked="1"/>
        <c:majorTickMark val="none"/>
        <c:minorTickMark val="none"/>
        <c:tickLblPos val="nextTo"/>
        <c:crossAx val="125480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[Activity _ Dataset.xlsx]Salary country and Gender wise!PivotTable4</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400" b="1">
                <a:solidFill>
                  <a:srgbClr val="C00000"/>
                </a:solidFill>
              </a:rPr>
              <a:t>Salary Country and Gender wise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554473806212327E-2"/>
          <c:y val="0.14341266000967753"/>
          <c:w val="0.82300603419009344"/>
          <c:h val="0.57059890907491317"/>
        </c:manualLayout>
      </c:layout>
      <c:barChart>
        <c:barDir val="col"/>
        <c:grouping val="stacked"/>
        <c:varyColors val="0"/>
        <c:ser>
          <c:idx val="0"/>
          <c:order val="0"/>
          <c:tx>
            <c:strRef>
              <c:f>'Salary country and Gender wise'!$B$3:$B$4</c:f>
              <c:strCache>
                <c:ptCount val="1"/>
                <c:pt idx="0">
                  <c:v>Female</c:v>
                </c:pt>
              </c:strCache>
            </c:strRef>
          </c:tx>
          <c:spPr>
            <a:solidFill>
              <a:schemeClr val="accent1"/>
            </a:solidFill>
            <a:ln>
              <a:noFill/>
            </a:ln>
            <a:effectLst/>
          </c:spPr>
          <c:invertIfNegative val="0"/>
          <c:cat>
            <c:strRef>
              <c:f>'Salary country and Gender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'Salary country and Gender wise'!$B$5:$B$16</c:f>
              <c:numCache>
                <c:formatCode>General</c:formatCode>
                <c:ptCount val="11"/>
                <c:pt idx="0">
                  <c:v>79.87</c:v>
                </c:pt>
                <c:pt idx="1">
                  <c:v>350.20000000000005</c:v>
                </c:pt>
                <c:pt idx="2">
                  <c:v>55.01</c:v>
                </c:pt>
                <c:pt idx="4">
                  <c:v>174.53</c:v>
                </c:pt>
                <c:pt idx="5">
                  <c:v>10.24</c:v>
                </c:pt>
                <c:pt idx="6">
                  <c:v>130.42000000000002</c:v>
                </c:pt>
                <c:pt idx="7">
                  <c:v>210.88</c:v>
                </c:pt>
                <c:pt idx="8">
                  <c:v>38.97</c:v>
                </c:pt>
                <c:pt idx="9">
                  <c:v>234.06</c:v>
                </c:pt>
                <c:pt idx="10">
                  <c:v>344.47</c:v>
                </c:pt>
              </c:numCache>
            </c:numRef>
          </c:val>
          <c:extLst>
            <c:ext xmlns:c16="http://schemas.microsoft.com/office/drawing/2014/chart" uri="{C3380CC4-5D6E-409C-BE32-E72D297353CC}">
              <c16:uniqueId val="{00000000-0829-4063-A880-2FE8A2BD57FB}"/>
            </c:ext>
          </c:extLst>
        </c:ser>
        <c:ser>
          <c:idx val="1"/>
          <c:order val="1"/>
          <c:tx>
            <c:strRef>
              <c:f>'Salary country and Gender wise'!$C$3:$C$4</c:f>
              <c:strCache>
                <c:ptCount val="1"/>
                <c:pt idx="0">
                  <c:v>Male</c:v>
                </c:pt>
              </c:strCache>
            </c:strRef>
          </c:tx>
          <c:spPr>
            <a:solidFill>
              <a:schemeClr val="accent2"/>
            </a:solidFill>
            <a:ln>
              <a:noFill/>
            </a:ln>
            <a:effectLst/>
          </c:spPr>
          <c:invertIfNegative val="0"/>
          <c:cat>
            <c:strRef>
              <c:f>'Salary country and Gender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'Salary country and Gender wise'!$C$5:$C$16</c:f>
              <c:numCache>
                <c:formatCode>General</c:formatCode>
                <c:ptCount val="11"/>
                <c:pt idx="0">
                  <c:v>230.5</c:v>
                </c:pt>
                <c:pt idx="1">
                  <c:v>153.15</c:v>
                </c:pt>
                <c:pt idx="2">
                  <c:v>69.5</c:v>
                </c:pt>
                <c:pt idx="3">
                  <c:v>85.25</c:v>
                </c:pt>
                <c:pt idx="4">
                  <c:v>437.87</c:v>
                </c:pt>
                <c:pt idx="5">
                  <c:v>323.17</c:v>
                </c:pt>
                <c:pt idx="6">
                  <c:v>44.87</c:v>
                </c:pt>
                <c:pt idx="8">
                  <c:v>35.39</c:v>
                </c:pt>
                <c:pt idx="9">
                  <c:v>132.37</c:v>
                </c:pt>
                <c:pt idx="10">
                  <c:v>217.95000000000002</c:v>
                </c:pt>
              </c:numCache>
            </c:numRef>
          </c:val>
          <c:extLst>
            <c:ext xmlns:c16="http://schemas.microsoft.com/office/drawing/2014/chart" uri="{C3380CC4-5D6E-409C-BE32-E72D297353CC}">
              <c16:uniqueId val="{00000005-0829-4063-A880-2FE8A2BD57FB}"/>
            </c:ext>
          </c:extLst>
        </c:ser>
        <c:dLbls>
          <c:showLegendKey val="0"/>
          <c:showVal val="0"/>
          <c:showCatName val="0"/>
          <c:showSerName val="0"/>
          <c:showPercent val="0"/>
          <c:showBubbleSize val="0"/>
        </c:dLbls>
        <c:gapWidth val="150"/>
        <c:overlap val="100"/>
        <c:axId val="1846367311"/>
        <c:axId val="1647014031"/>
      </c:barChart>
      <c:catAx>
        <c:axId val="184636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647014031"/>
        <c:crosses val="autoZero"/>
        <c:auto val="1"/>
        <c:lblAlgn val="ctr"/>
        <c:lblOffset val="100"/>
        <c:noMultiLvlLbl val="0"/>
      </c:catAx>
      <c:valAx>
        <c:axId val="1647014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84636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C00000"/>
                </a:solidFill>
                <a:latin typeface="+mn-lt"/>
                <a:ea typeface="+mn-ea"/>
                <a:cs typeface="+mn-cs"/>
              </a:defRPr>
            </a:pPr>
            <a:r>
              <a:rPr lang="en-US" sz="1400" b="1">
                <a:solidFill>
                  <a:srgbClr val="C00000"/>
                </a:solidFill>
              </a:rPr>
              <a:t>Age vs Salary</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C00000"/>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2"/>
              </a:solidFill>
              <a:ln w="9525">
                <a:solidFill>
                  <a:schemeClr val="accent1"/>
                </a:solidFill>
              </a:ln>
              <a:effectLst/>
            </c:spPr>
          </c:marker>
          <c:xVal>
            <c:numRef>
              <c:f>'age vs salary'!$E$4:$E$38</c:f>
              <c:numCache>
                <c:formatCode>General</c:formatCode>
                <c:ptCount val="35"/>
                <c:pt idx="0">
                  <c:v>27</c:v>
                </c:pt>
                <c:pt idx="1">
                  <c:v>29</c:v>
                </c:pt>
                <c:pt idx="2">
                  <c:v>30</c:v>
                </c:pt>
                <c:pt idx="3">
                  <c:v>32</c:v>
                </c:pt>
                <c:pt idx="4">
                  <c:v>33</c:v>
                </c:pt>
                <c:pt idx="5">
                  <c:v>34</c:v>
                </c:pt>
                <c:pt idx="6">
                  <c:v>36</c:v>
                </c:pt>
                <c:pt idx="7">
                  <c:v>37</c:v>
                </c:pt>
                <c:pt idx="8">
                  <c:v>38</c:v>
                </c:pt>
                <c:pt idx="9">
                  <c:v>39</c:v>
                </c:pt>
                <c:pt idx="10">
                  <c:v>40</c:v>
                </c:pt>
                <c:pt idx="11">
                  <c:v>42</c:v>
                </c:pt>
                <c:pt idx="12">
                  <c:v>43</c:v>
                </c:pt>
                <c:pt idx="13">
                  <c:v>44</c:v>
                </c:pt>
                <c:pt idx="14">
                  <c:v>45</c:v>
                </c:pt>
                <c:pt idx="15">
                  <c:v>46</c:v>
                </c:pt>
                <c:pt idx="16">
                  <c:v>47</c:v>
                </c:pt>
                <c:pt idx="17">
                  <c:v>48</c:v>
                </c:pt>
                <c:pt idx="18">
                  <c:v>49</c:v>
                </c:pt>
                <c:pt idx="19">
                  <c:v>50</c:v>
                </c:pt>
                <c:pt idx="20">
                  <c:v>51</c:v>
                </c:pt>
                <c:pt idx="21">
                  <c:v>52</c:v>
                </c:pt>
                <c:pt idx="22">
                  <c:v>53</c:v>
                </c:pt>
                <c:pt idx="23">
                  <c:v>54</c:v>
                </c:pt>
                <c:pt idx="24">
                  <c:v>55</c:v>
                </c:pt>
                <c:pt idx="25">
                  <c:v>56</c:v>
                </c:pt>
                <c:pt idx="26">
                  <c:v>57</c:v>
                </c:pt>
                <c:pt idx="27">
                  <c:v>58</c:v>
                </c:pt>
                <c:pt idx="28">
                  <c:v>60</c:v>
                </c:pt>
                <c:pt idx="29">
                  <c:v>61</c:v>
                </c:pt>
                <c:pt idx="30">
                  <c:v>62</c:v>
                </c:pt>
                <c:pt idx="31">
                  <c:v>63</c:v>
                </c:pt>
                <c:pt idx="32">
                  <c:v>66</c:v>
                </c:pt>
                <c:pt idx="33">
                  <c:v>67</c:v>
                </c:pt>
                <c:pt idx="34">
                  <c:v>71</c:v>
                </c:pt>
              </c:numCache>
            </c:numRef>
          </c:xVal>
          <c:yVal>
            <c:numRef>
              <c:f>'age vs salary'!$F$4:$F$38</c:f>
              <c:numCache>
                <c:formatCode>[$$-409]\ #,##0.00\ "K"</c:formatCode>
                <c:ptCount val="35"/>
                <c:pt idx="0">
                  <c:v>87.36</c:v>
                </c:pt>
                <c:pt idx="1">
                  <c:v>119.7</c:v>
                </c:pt>
                <c:pt idx="2">
                  <c:v>106.8</c:v>
                </c:pt>
                <c:pt idx="3">
                  <c:v>55.01</c:v>
                </c:pt>
                <c:pt idx="4">
                  <c:v>20.53</c:v>
                </c:pt>
                <c:pt idx="5">
                  <c:v>138.6</c:v>
                </c:pt>
                <c:pt idx="6">
                  <c:v>102</c:v>
                </c:pt>
                <c:pt idx="7">
                  <c:v>86.26</c:v>
                </c:pt>
                <c:pt idx="8">
                  <c:v>114.1</c:v>
                </c:pt>
                <c:pt idx="9">
                  <c:v>35.39</c:v>
                </c:pt>
                <c:pt idx="10">
                  <c:v>133.57999999999998</c:v>
                </c:pt>
                <c:pt idx="11">
                  <c:v>116.4</c:v>
                </c:pt>
                <c:pt idx="12">
                  <c:v>71.349999999999994</c:v>
                </c:pt>
                <c:pt idx="13">
                  <c:v>28.46</c:v>
                </c:pt>
                <c:pt idx="14">
                  <c:v>62.76</c:v>
                </c:pt>
                <c:pt idx="15">
                  <c:v>95.12</c:v>
                </c:pt>
                <c:pt idx="16">
                  <c:v>69.040000000000006</c:v>
                </c:pt>
                <c:pt idx="17">
                  <c:v>89.74</c:v>
                </c:pt>
                <c:pt idx="18">
                  <c:v>237.53</c:v>
                </c:pt>
                <c:pt idx="19">
                  <c:v>46.35</c:v>
                </c:pt>
                <c:pt idx="20">
                  <c:v>177.07</c:v>
                </c:pt>
                <c:pt idx="21">
                  <c:v>79.87</c:v>
                </c:pt>
                <c:pt idx="22">
                  <c:v>44.87</c:v>
                </c:pt>
                <c:pt idx="23">
                  <c:v>80.760000000000005</c:v>
                </c:pt>
                <c:pt idx="24">
                  <c:v>60.06</c:v>
                </c:pt>
                <c:pt idx="25">
                  <c:v>117.19000000000001</c:v>
                </c:pt>
                <c:pt idx="26">
                  <c:v>153.48000000000002</c:v>
                </c:pt>
                <c:pt idx="27">
                  <c:v>90.48</c:v>
                </c:pt>
                <c:pt idx="28">
                  <c:v>62.04</c:v>
                </c:pt>
                <c:pt idx="29">
                  <c:v>68.459999999999994</c:v>
                </c:pt>
                <c:pt idx="30">
                  <c:v>129.22999999999999</c:v>
                </c:pt>
                <c:pt idx="31">
                  <c:v>109.9</c:v>
                </c:pt>
                <c:pt idx="32">
                  <c:v>90.6</c:v>
                </c:pt>
                <c:pt idx="33">
                  <c:v>153.65</c:v>
                </c:pt>
                <c:pt idx="34">
                  <c:v>124.93</c:v>
                </c:pt>
              </c:numCache>
            </c:numRef>
          </c:yVal>
          <c:smooth val="0"/>
          <c:extLst>
            <c:ext xmlns:c16="http://schemas.microsoft.com/office/drawing/2014/chart" uri="{C3380CC4-5D6E-409C-BE32-E72D297353CC}">
              <c16:uniqueId val="{00000000-9EC9-4CC3-BF41-56295F42C8A7}"/>
            </c:ext>
          </c:extLst>
        </c:ser>
        <c:dLbls>
          <c:showLegendKey val="0"/>
          <c:showVal val="0"/>
          <c:showCatName val="0"/>
          <c:showSerName val="0"/>
          <c:showPercent val="0"/>
          <c:showBubbleSize val="0"/>
        </c:dLbls>
        <c:axId val="1874312943"/>
        <c:axId val="1939974319"/>
      </c:scatterChart>
      <c:valAx>
        <c:axId val="187431294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939974319"/>
        <c:crosses val="autoZero"/>
        <c:crossBetween val="midCat"/>
      </c:valAx>
      <c:valAx>
        <c:axId val="1939974319"/>
        <c:scaling>
          <c:orientation val="minMax"/>
        </c:scaling>
        <c:delete val="0"/>
        <c:axPos val="l"/>
        <c:numFmt formatCode="[$$-409]\ #,##0.00\ &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8743129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[Activity _ Dataset.xlsx]Average Weight sports wise!PivotTable4</c:name>
    <c:fmtId val="3"/>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IN" b="1"/>
              <a:t>Average weight country_sports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'Average Weight sports wise'!$B$3:$B$4</c:f>
              <c:strCache>
                <c:ptCount val="1"/>
                <c:pt idx="0">
                  <c:v>Alpine Skiing</c:v>
                </c:pt>
              </c:strCache>
            </c:strRef>
          </c:tx>
          <c:spPr>
            <a:solidFill>
              <a:schemeClr val="accent1"/>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wise'!$B$5:$B$16</c:f>
              <c:numCache>
                <c:formatCode>0</c:formatCode>
                <c:ptCount val="11"/>
                <c:pt idx="5">
                  <c:v>49</c:v>
                </c:pt>
                <c:pt idx="10">
                  <c:v>49</c:v>
                </c:pt>
              </c:numCache>
            </c:numRef>
          </c:val>
          <c:extLst>
            <c:ext xmlns:c16="http://schemas.microsoft.com/office/drawing/2014/chart" uri="{C3380CC4-5D6E-409C-BE32-E72D297353CC}">
              <c16:uniqueId val="{00000000-24D3-4ACE-A96A-25F0367EED2B}"/>
            </c:ext>
          </c:extLst>
        </c:ser>
        <c:ser>
          <c:idx val="1"/>
          <c:order val="1"/>
          <c:tx>
            <c:strRef>
              <c:f>'Average Weight sports wise'!$C$3:$C$4</c:f>
              <c:strCache>
                <c:ptCount val="1"/>
                <c:pt idx="0">
                  <c:v>Archery</c:v>
                </c:pt>
              </c:strCache>
            </c:strRef>
          </c:tx>
          <c:spPr>
            <a:solidFill>
              <a:schemeClr val="accent2"/>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wise'!$C$5:$C$16</c:f>
              <c:numCache>
                <c:formatCode>0</c:formatCode>
                <c:ptCount val="11"/>
                <c:pt idx="9">
                  <c:v>101</c:v>
                </c:pt>
              </c:numCache>
            </c:numRef>
          </c:val>
          <c:extLst>
            <c:ext xmlns:c16="http://schemas.microsoft.com/office/drawing/2014/chart" uri="{C3380CC4-5D6E-409C-BE32-E72D297353CC}">
              <c16:uniqueId val="{00000001-24D3-4ACE-A96A-25F0367EED2B}"/>
            </c:ext>
          </c:extLst>
        </c:ser>
        <c:ser>
          <c:idx val="2"/>
          <c:order val="2"/>
          <c:tx>
            <c:strRef>
              <c:f>'Average Weight sports wise'!$D$3:$D$4</c:f>
              <c:strCache>
                <c:ptCount val="1"/>
                <c:pt idx="0">
                  <c:v>Athletics</c:v>
                </c:pt>
              </c:strCache>
            </c:strRef>
          </c:tx>
          <c:spPr>
            <a:solidFill>
              <a:schemeClr val="accent3"/>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wise'!$D$5:$D$16</c:f>
              <c:numCache>
                <c:formatCode>0</c:formatCode>
                <c:ptCount val="11"/>
                <c:pt idx="0">
                  <c:v>52</c:v>
                </c:pt>
                <c:pt idx="7">
                  <c:v>59</c:v>
                </c:pt>
              </c:numCache>
            </c:numRef>
          </c:val>
          <c:extLst>
            <c:ext xmlns:c16="http://schemas.microsoft.com/office/drawing/2014/chart" uri="{C3380CC4-5D6E-409C-BE32-E72D297353CC}">
              <c16:uniqueId val="{00000002-24D3-4ACE-A96A-25F0367EED2B}"/>
            </c:ext>
          </c:extLst>
        </c:ser>
        <c:ser>
          <c:idx val="3"/>
          <c:order val="3"/>
          <c:tx>
            <c:strRef>
              <c:f>'Average Weight sports wise'!$E$3:$E$4</c:f>
              <c:strCache>
                <c:ptCount val="1"/>
                <c:pt idx="0">
                  <c:v>Basketball</c:v>
                </c:pt>
              </c:strCache>
            </c:strRef>
          </c:tx>
          <c:spPr>
            <a:solidFill>
              <a:schemeClr val="accent4"/>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wise'!$E$5:$E$16</c:f>
              <c:numCache>
                <c:formatCode>0</c:formatCode>
                <c:ptCount val="11"/>
                <c:pt idx="1">
                  <c:v>55</c:v>
                </c:pt>
              </c:numCache>
            </c:numRef>
          </c:val>
          <c:extLst>
            <c:ext xmlns:c16="http://schemas.microsoft.com/office/drawing/2014/chart" uri="{C3380CC4-5D6E-409C-BE32-E72D297353CC}">
              <c16:uniqueId val="{00000003-24D3-4ACE-A96A-25F0367EED2B}"/>
            </c:ext>
          </c:extLst>
        </c:ser>
        <c:ser>
          <c:idx val="4"/>
          <c:order val="4"/>
          <c:tx>
            <c:strRef>
              <c:f>'Average Weight sports wise'!$F$3:$F$4</c:f>
              <c:strCache>
                <c:ptCount val="1"/>
                <c:pt idx="0">
                  <c:v>Beach Volleyball</c:v>
                </c:pt>
              </c:strCache>
            </c:strRef>
          </c:tx>
          <c:spPr>
            <a:solidFill>
              <a:schemeClr val="accent5"/>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wise'!$F$5:$F$16</c:f>
              <c:numCache>
                <c:formatCode>0</c:formatCode>
                <c:ptCount val="11"/>
                <c:pt idx="0">
                  <c:v>98</c:v>
                </c:pt>
                <c:pt idx="1">
                  <c:v>67</c:v>
                </c:pt>
                <c:pt idx="4">
                  <c:v>78</c:v>
                </c:pt>
                <c:pt idx="6">
                  <c:v>80.5</c:v>
                </c:pt>
              </c:numCache>
            </c:numRef>
          </c:val>
          <c:extLst>
            <c:ext xmlns:c16="http://schemas.microsoft.com/office/drawing/2014/chart" uri="{C3380CC4-5D6E-409C-BE32-E72D297353CC}">
              <c16:uniqueId val="{00000004-24D3-4ACE-A96A-25F0367EED2B}"/>
            </c:ext>
          </c:extLst>
        </c:ser>
        <c:ser>
          <c:idx val="5"/>
          <c:order val="5"/>
          <c:tx>
            <c:strRef>
              <c:f>'Average Weight sports wise'!$G$3:$G$4</c:f>
              <c:strCache>
                <c:ptCount val="1"/>
                <c:pt idx="0">
                  <c:v>Biathlon</c:v>
                </c:pt>
              </c:strCache>
            </c:strRef>
          </c:tx>
          <c:spPr>
            <a:solidFill>
              <a:schemeClr val="accent6"/>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wise'!$G$5:$G$16</c:f>
              <c:numCache>
                <c:formatCode>0</c:formatCode>
                <c:ptCount val="11"/>
                <c:pt idx="8">
                  <c:v>46</c:v>
                </c:pt>
              </c:numCache>
            </c:numRef>
          </c:val>
          <c:extLst>
            <c:ext xmlns:c16="http://schemas.microsoft.com/office/drawing/2014/chart" uri="{C3380CC4-5D6E-409C-BE32-E72D297353CC}">
              <c16:uniqueId val="{00000005-24D3-4ACE-A96A-25F0367EED2B}"/>
            </c:ext>
          </c:extLst>
        </c:ser>
        <c:ser>
          <c:idx val="6"/>
          <c:order val="6"/>
          <c:tx>
            <c:strRef>
              <c:f>'Average Weight sports wise'!$H$3:$H$4</c:f>
              <c:strCache>
                <c:ptCount val="1"/>
                <c:pt idx="0">
                  <c:v>Boxing</c:v>
                </c:pt>
              </c:strCache>
            </c:strRef>
          </c:tx>
          <c:spPr>
            <a:solidFill>
              <a:schemeClr val="accent1">
                <a:lumMod val="6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wise'!$H$5:$H$16</c:f>
              <c:numCache>
                <c:formatCode>0</c:formatCode>
                <c:ptCount val="11"/>
                <c:pt idx="10">
                  <c:v>84</c:v>
                </c:pt>
              </c:numCache>
            </c:numRef>
          </c:val>
          <c:extLst>
            <c:ext xmlns:c16="http://schemas.microsoft.com/office/drawing/2014/chart" uri="{C3380CC4-5D6E-409C-BE32-E72D297353CC}">
              <c16:uniqueId val="{00000006-24D3-4ACE-A96A-25F0367EED2B}"/>
            </c:ext>
          </c:extLst>
        </c:ser>
        <c:ser>
          <c:idx val="7"/>
          <c:order val="7"/>
          <c:tx>
            <c:strRef>
              <c:f>'Average Weight sports wise'!$I$3:$I$4</c:f>
              <c:strCache>
                <c:ptCount val="1"/>
                <c:pt idx="0">
                  <c:v>Canoe Slalom</c:v>
                </c:pt>
              </c:strCache>
            </c:strRef>
          </c:tx>
          <c:spPr>
            <a:solidFill>
              <a:schemeClr val="accent2">
                <a:lumMod val="6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wise'!$I$5:$I$16</c:f>
              <c:numCache>
                <c:formatCode>0</c:formatCode>
                <c:ptCount val="11"/>
                <c:pt idx="0">
                  <c:v>78</c:v>
                </c:pt>
                <c:pt idx="1">
                  <c:v>59</c:v>
                </c:pt>
                <c:pt idx="7">
                  <c:v>102</c:v>
                </c:pt>
              </c:numCache>
            </c:numRef>
          </c:val>
          <c:extLst>
            <c:ext xmlns:c16="http://schemas.microsoft.com/office/drawing/2014/chart" uri="{C3380CC4-5D6E-409C-BE32-E72D297353CC}">
              <c16:uniqueId val="{00000007-24D3-4ACE-A96A-25F0367EED2B}"/>
            </c:ext>
          </c:extLst>
        </c:ser>
        <c:ser>
          <c:idx val="8"/>
          <c:order val="8"/>
          <c:tx>
            <c:strRef>
              <c:f>'Average Weight sports wise'!$J$3:$J$4</c:f>
              <c:strCache>
                <c:ptCount val="1"/>
                <c:pt idx="0">
                  <c:v>Canoe Sprint</c:v>
                </c:pt>
              </c:strCache>
            </c:strRef>
          </c:tx>
          <c:spPr>
            <a:solidFill>
              <a:schemeClr val="accent3">
                <a:lumMod val="6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wise'!$J$5:$J$16</c:f>
              <c:numCache>
                <c:formatCode>0</c:formatCode>
                <c:ptCount val="11"/>
                <c:pt idx="5">
                  <c:v>68</c:v>
                </c:pt>
              </c:numCache>
            </c:numRef>
          </c:val>
          <c:extLst>
            <c:ext xmlns:c16="http://schemas.microsoft.com/office/drawing/2014/chart" uri="{C3380CC4-5D6E-409C-BE32-E72D297353CC}">
              <c16:uniqueId val="{00000008-24D3-4ACE-A96A-25F0367EED2B}"/>
            </c:ext>
          </c:extLst>
        </c:ser>
        <c:ser>
          <c:idx val="9"/>
          <c:order val="9"/>
          <c:tx>
            <c:strRef>
              <c:f>'Average Weight sports wise'!$K$3:$K$4</c:f>
              <c:strCache>
                <c:ptCount val="1"/>
                <c:pt idx="0">
                  <c:v>Curling</c:v>
                </c:pt>
              </c:strCache>
            </c:strRef>
          </c:tx>
          <c:spPr>
            <a:solidFill>
              <a:schemeClr val="accent4">
                <a:lumMod val="6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wise'!$K$5:$K$16</c:f>
              <c:numCache>
                <c:formatCode>0</c:formatCode>
                <c:ptCount val="11"/>
                <c:pt idx="10">
                  <c:v>106</c:v>
                </c:pt>
              </c:numCache>
            </c:numRef>
          </c:val>
          <c:extLst>
            <c:ext xmlns:c16="http://schemas.microsoft.com/office/drawing/2014/chart" uri="{C3380CC4-5D6E-409C-BE32-E72D297353CC}">
              <c16:uniqueId val="{00000009-24D3-4ACE-A96A-25F0367EED2B}"/>
            </c:ext>
          </c:extLst>
        </c:ser>
        <c:ser>
          <c:idx val="10"/>
          <c:order val="10"/>
          <c:tx>
            <c:strRef>
              <c:f>'Average Weight sports wise'!$L$3:$L$4</c:f>
              <c:strCache>
                <c:ptCount val="1"/>
                <c:pt idx="0">
                  <c:v>Cycling BMX</c:v>
                </c:pt>
              </c:strCache>
            </c:strRef>
          </c:tx>
          <c:spPr>
            <a:solidFill>
              <a:schemeClr val="accent5">
                <a:lumMod val="6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wise'!$L$5:$L$16</c:f>
              <c:numCache>
                <c:formatCode>0</c:formatCode>
                <c:ptCount val="11"/>
                <c:pt idx="5">
                  <c:v>105</c:v>
                </c:pt>
              </c:numCache>
            </c:numRef>
          </c:val>
          <c:extLst>
            <c:ext xmlns:c16="http://schemas.microsoft.com/office/drawing/2014/chart" uri="{C3380CC4-5D6E-409C-BE32-E72D297353CC}">
              <c16:uniqueId val="{0000000A-24D3-4ACE-A96A-25F0367EED2B}"/>
            </c:ext>
          </c:extLst>
        </c:ser>
        <c:ser>
          <c:idx val="11"/>
          <c:order val="11"/>
          <c:tx>
            <c:strRef>
              <c:f>'Average Weight sports wise'!$M$3:$M$4</c:f>
              <c:strCache>
                <c:ptCount val="1"/>
                <c:pt idx="0">
                  <c:v>Cycling Mountain Bike</c:v>
                </c:pt>
              </c:strCache>
            </c:strRef>
          </c:tx>
          <c:spPr>
            <a:solidFill>
              <a:schemeClr val="accent6">
                <a:lumMod val="6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wise'!$M$5:$M$16</c:f>
              <c:numCache>
                <c:formatCode>0</c:formatCode>
                <c:ptCount val="11"/>
                <c:pt idx="5">
                  <c:v>71</c:v>
                </c:pt>
              </c:numCache>
            </c:numRef>
          </c:val>
          <c:extLst>
            <c:ext xmlns:c16="http://schemas.microsoft.com/office/drawing/2014/chart" uri="{C3380CC4-5D6E-409C-BE32-E72D297353CC}">
              <c16:uniqueId val="{0000000B-24D3-4ACE-A96A-25F0367EED2B}"/>
            </c:ext>
          </c:extLst>
        </c:ser>
        <c:ser>
          <c:idx val="12"/>
          <c:order val="12"/>
          <c:tx>
            <c:strRef>
              <c:f>'Average Weight sports wise'!$N$3:$N$4</c:f>
              <c:strCache>
                <c:ptCount val="1"/>
                <c:pt idx="0">
                  <c:v>Cycling Road</c:v>
                </c:pt>
              </c:strCache>
            </c:strRef>
          </c:tx>
          <c:spPr>
            <a:solidFill>
              <a:schemeClr val="accent1">
                <a:lumMod val="80000"/>
                <a:lumOff val="2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wise'!$N$5:$N$16</c:f>
              <c:numCache>
                <c:formatCode>0</c:formatCode>
                <c:ptCount val="11"/>
                <c:pt idx="1">
                  <c:v>78</c:v>
                </c:pt>
                <c:pt idx="2">
                  <c:v>52</c:v>
                </c:pt>
                <c:pt idx="9">
                  <c:v>63</c:v>
                </c:pt>
                <c:pt idx="10">
                  <c:v>61</c:v>
                </c:pt>
              </c:numCache>
            </c:numRef>
          </c:val>
          <c:extLst>
            <c:ext xmlns:c16="http://schemas.microsoft.com/office/drawing/2014/chart" uri="{C3380CC4-5D6E-409C-BE32-E72D297353CC}">
              <c16:uniqueId val="{0000000C-24D3-4ACE-A96A-25F0367EED2B}"/>
            </c:ext>
          </c:extLst>
        </c:ser>
        <c:ser>
          <c:idx val="13"/>
          <c:order val="13"/>
          <c:tx>
            <c:strRef>
              <c:f>'Average Weight sports wise'!$O$3:$O$4</c:f>
              <c:strCache>
                <c:ptCount val="1"/>
                <c:pt idx="0">
                  <c:v>Cycling Track</c:v>
                </c:pt>
              </c:strCache>
            </c:strRef>
          </c:tx>
          <c:spPr>
            <a:solidFill>
              <a:schemeClr val="accent2">
                <a:lumMod val="80000"/>
                <a:lumOff val="2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wise'!$O$5:$O$16</c:f>
              <c:numCache>
                <c:formatCode>0</c:formatCode>
                <c:ptCount val="11"/>
                <c:pt idx="1">
                  <c:v>86</c:v>
                </c:pt>
                <c:pt idx="4">
                  <c:v>60</c:v>
                </c:pt>
                <c:pt idx="10">
                  <c:v>94</c:v>
                </c:pt>
              </c:numCache>
            </c:numRef>
          </c:val>
          <c:extLst>
            <c:ext xmlns:c16="http://schemas.microsoft.com/office/drawing/2014/chart" uri="{C3380CC4-5D6E-409C-BE32-E72D297353CC}">
              <c16:uniqueId val="{0000000D-24D3-4ACE-A96A-25F0367EED2B}"/>
            </c:ext>
          </c:extLst>
        </c:ser>
        <c:ser>
          <c:idx val="14"/>
          <c:order val="14"/>
          <c:tx>
            <c:strRef>
              <c:f>'Average Weight sports wise'!$P$3:$P$4</c:f>
              <c:strCache>
                <c:ptCount val="1"/>
                <c:pt idx="0">
                  <c:v>Diving</c:v>
                </c:pt>
              </c:strCache>
            </c:strRef>
          </c:tx>
          <c:spPr>
            <a:solidFill>
              <a:schemeClr val="accent3">
                <a:lumMod val="80000"/>
                <a:lumOff val="2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wise'!$P$5:$P$16</c:f>
              <c:numCache>
                <c:formatCode>0</c:formatCode>
                <c:ptCount val="11"/>
                <c:pt idx="4">
                  <c:v>57</c:v>
                </c:pt>
              </c:numCache>
            </c:numRef>
          </c:val>
          <c:extLst>
            <c:ext xmlns:c16="http://schemas.microsoft.com/office/drawing/2014/chart" uri="{C3380CC4-5D6E-409C-BE32-E72D297353CC}">
              <c16:uniqueId val="{0000000E-24D3-4ACE-A96A-25F0367EED2B}"/>
            </c:ext>
          </c:extLst>
        </c:ser>
        <c:ser>
          <c:idx val="15"/>
          <c:order val="15"/>
          <c:tx>
            <c:strRef>
              <c:f>'Average Weight sports wise'!$Q$3:$Q$4</c:f>
              <c:strCache>
                <c:ptCount val="1"/>
                <c:pt idx="0">
                  <c:v>Equestrian / Dressage</c:v>
                </c:pt>
              </c:strCache>
            </c:strRef>
          </c:tx>
          <c:spPr>
            <a:solidFill>
              <a:schemeClr val="accent4">
                <a:lumMod val="80000"/>
                <a:lumOff val="2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wise'!$Q$5:$Q$16</c:f>
              <c:numCache>
                <c:formatCode>0</c:formatCode>
                <c:ptCount val="11"/>
                <c:pt idx="1">
                  <c:v>84</c:v>
                </c:pt>
              </c:numCache>
            </c:numRef>
          </c:val>
          <c:extLst>
            <c:ext xmlns:c16="http://schemas.microsoft.com/office/drawing/2014/chart" uri="{C3380CC4-5D6E-409C-BE32-E72D297353CC}">
              <c16:uniqueId val="{0000000F-24D3-4ACE-A96A-25F0367EED2B}"/>
            </c:ext>
          </c:extLst>
        </c:ser>
        <c:ser>
          <c:idx val="16"/>
          <c:order val="16"/>
          <c:tx>
            <c:strRef>
              <c:f>'Average Weight sports wise'!$R$3:$R$4</c:f>
              <c:strCache>
                <c:ptCount val="1"/>
                <c:pt idx="0">
                  <c:v>Fencing</c:v>
                </c:pt>
              </c:strCache>
            </c:strRef>
          </c:tx>
          <c:spPr>
            <a:solidFill>
              <a:schemeClr val="accent5">
                <a:lumMod val="80000"/>
                <a:lumOff val="2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wise'!$R$5:$R$16</c:f>
              <c:numCache>
                <c:formatCode>0</c:formatCode>
                <c:ptCount val="11"/>
                <c:pt idx="10">
                  <c:v>83</c:v>
                </c:pt>
              </c:numCache>
            </c:numRef>
          </c:val>
          <c:extLst>
            <c:ext xmlns:c16="http://schemas.microsoft.com/office/drawing/2014/chart" uri="{C3380CC4-5D6E-409C-BE32-E72D297353CC}">
              <c16:uniqueId val="{00000010-24D3-4ACE-A96A-25F0367EED2B}"/>
            </c:ext>
          </c:extLst>
        </c:ser>
        <c:ser>
          <c:idx val="17"/>
          <c:order val="17"/>
          <c:tx>
            <c:strRef>
              <c:f>'Average Weight sports wise'!$S$3:$S$4</c:f>
              <c:strCache>
                <c:ptCount val="1"/>
                <c:pt idx="0">
                  <c:v>Football</c:v>
                </c:pt>
              </c:strCache>
            </c:strRef>
          </c:tx>
          <c:spPr>
            <a:solidFill>
              <a:schemeClr val="accent6">
                <a:lumMod val="80000"/>
                <a:lumOff val="2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wise'!$S$5:$S$16</c:f>
              <c:numCache>
                <c:formatCode>0</c:formatCode>
                <c:ptCount val="11"/>
                <c:pt idx="3">
                  <c:v>53</c:v>
                </c:pt>
                <c:pt idx="8">
                  <c:v>50</c:v>
                </c:pt>
              </c:numCache>
            </c:numRef>
          </c:val>
          <c:extLst>
            <c:ext xmlns:c16="http://schemas.microsoft.com/office/drawing/2014/chart" uri="{C3380CC4-5D6E-409C-BE32-E72D297353CC}">
              <c16:uniqueId val="{00000011-24D3-4ACE-A96A-25F0367EED2B}"/>
            </c:ext>
          </c:extLst>
        </c:ser>
        <c:ser>
          <c:idx val="18"/>
          <c:order val="18"/>
          <c:tx>
            <c:strRef>
              <c:f>'Average Weight sports wise'!$T$3:$T$4</c:f>
              <c:strCache>
                <c:ptCount val="1"/>
                <c:pt idx="0">
                  <c:v>Freestyle Skiing</c:v>
                </c:pt>
              </c:strCache>
            </c:strRef>
          </c:tx>
          <c:spPr>
            <a:solidFill>
              <a:schemeClr val="accent1">
                <a:lumMod val="8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wise'!$T$5:$T$16</c:f>
              <c:numCache>
                <c:formatCode>0</c:formatCode>
                <c:ptCount val="11"/>
                <c:pt idx="9">
                  <c:v>104</c:v>
                </c:pt>
              </c:numCache>
            </c:numRef>
          </c:val>
          <c:extLst>
            <c:ext xmlns:c16="http://schemas.microsoft.com/office/drawing/2014/chart" uri="{C3380CC4-5D6E-409C-BE32-E72D297353CC}">
              <c16:uniqueId val="{00000012-24D3-4ACE-A96A-25F0367EED2B}"/>
            </c:ext>
          </c:extLst>
        </c:ser>
        <c:ser>
          <c:idx val="19"/>
          <c:order val="19"/>
          <c:tx>
            <c:strRef>
              <c:f>'Average Weight sports wise'!$U$3:$U$4</c:f>
              <c:strCache>
                <c:ptCount val="1"/>
                <c:pt idx="0">
                  <c:v>Golf</c:v>
                </c:pt>
              </c:strCache>
            </c:strRef>
          </c:tx>
          <c:spPr>
            <a:solidFill>
              <a:schemeClr val="accent2">
                <a:lumMod val="8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wise'!$U$5:$U$16</c:f>
              <c:numCache>
                <c:formatCode>0</c:formatCode>
                <c:ptCount val="11"/>
                <c:pt idx="4">
                  <c:v>75</c:v>
                </c:pt>
              </c:numCache>
            </c:numRef>
          </c:val>
          <c:extLst>
            <c:ext xmlns:c16="http://schemas.microsoft.com/office/drawing/2014/chart" uri="{C3380CC4-5D6E-409C-BE32-E72D297353CC}">
              <c16:uniqueId val="{00000013-24D3-4ACE-A96A-25F0367EED2B}"/>
            </c:ext>
          </c:extLst>
        </c:ser>
        <c:ser>
          <c:idx val="20"/>
          <c:order val="20"/>
          <c:tx>
            <c:strRef>
              <c:f>'Average Weight sports wise'!$V$3:$V$4</c:f>
              <c:strCache>
                <c:ptCount val="1"/>
                <c:pt idx="0">
                  <c:v>Gymnastics Artistic</c:v>
                </c:pt>
              </c:strCache>
            </c:strRef>
          </c:tx>
          <c:spPr>
            <a:solidFill>
              <a:schemeClr val="accent3">
                <a:lumMod val="8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wise'!$V$5:$V$16</c:f>
              <c:numCache>
                <c:formatCode>0</c:formatCode>
                <c:ptCount val="11"/>
                <c:pt idx="7">
                  <c:v>56</c:v>
                </c:pt>
              </c:numCache>
            </c:numRef>
          </c:val>
          <c:extLst>
            <c:ext xmlns:c16="http://schemas.microsoft.com/office/drawing/2014/chart" uri="{C3380CC4-5D6E-409C-BE32-E72D297353CC}">
              <c16:uniqueId val="{00000014-24D3-4ACE-A96A-25F0367EED2B}"/>
            </c:ext>
          </c:extLst>
        </c:ser>
        <c:ser>
          <c:idx val="21"/>
          <c:order val="21"/>
          <c:tx>
            <c:strRef>
              <c:f>'Average Weight sports wise'!$W$3:$W$4</c:f>
              <c:strCache>
                <c:ptCount val="1"/>
                <c:pt idx="0">
                  <c:v>Handball</c:v>
                </c:pt>
              </c:strCache>
            </c:strRef>
          </c:tx>
          <c:spPr>
            <a:solidFill>
              <a:schemeClr val="accent4">
                <a:lumMod val="8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wise'!$W$5:$W$16</c:f>
              <c:numCache>
                <c:formatCode>0</c:formatCode>
                <c:ptCount val="11"/>
                <c:pt idx="5">
                  <c:v>106</c:v>
                </c:pt>
              </c:numCache>
            </c:numRef>
          </c:val>
          <c:extLst>
            <c:ext xmlns:c16="http://schemas.microsoft.com/office/drawing/2014/chart" uri="{C3380CC4-5D6E-409C-BE32-E72D297353CC}">
              <c16:uniqueId val="{00000015-24D3-4ACE-A96A-25F0367EED2B}"/>
            </c:ext>
          </c:extLst>
        </c:ser>
        <c:ser>
          <c:idx val="22"/>
          <c:order val="22"/>
          <c:tx>
            <c:strRef>
              <c:f>'Average Weight sports wise'!$X$3:$X$4</c:f>
              <c:strCache>
                <c:ptCount val="1"/>
                <c:pt idx="0">
                  <c:v>Hockey</c:v>
                </c:pt>
              </c:strCache>
            </c:strRef>
          </c:tx>
          <c:spPr>
            <a:solidFill>
              <a:schemeClr val="accent5">
                <a:lumMod val="8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wise'!$X$5:$X$16</c:f>
              <c:numCache>
                <c:formatCode>0</c:formatCode>
                <c:ptCount val="11"/>
                <c:pt idx="4">
                  <c:v>89</c:v>
                </c:pt>
              </c:numCache>
            </c:numRef>
          </c:val>
          <c:extLst>
            <c:ext xmlns:c16="http://schemas.microsoft.com/office/drawing/2014/chart" uri="{C3380CC4-5D6E-409C-BE32-E72D297353CC}">
              <c16:uniqueId val="{00000016-24D3-4ACE-A96A-25F0367EED2B}"/>
            </c:ext>
          </c:extLst>
        </c:ser>
        <c:ser>
          <c:idx val="23"/>
          <c:order val="23"/>
          <c:tx>
            <c:strRef>
              <c:f>'Average Weight sports wise'!$Y$3:$Y$4</c:f>
              <c:strCache>
                <c:ptCount val="1"/>
                <c:pt idx="0">
                  <c:v>Judo</c:v>
                </c:pt>
              </c:strCache>
            </c:strRef>
          </c:tx>
          <c:spPr>
            <a:solidFill>
              <a:schemeClr val="accent6">
                <a:lumMod val="8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wise'!$Y$5:$Y$16</c:f>
              <c:numCache>
                <c:formatCode>0</c:formatCode>
                <c:ptCount val="11"/>
                <c:pt idx="6">
                  <c:v>64</c:v>
                </c:pt>
              </c:numCache>
            </c:numRef>
          </c:val>
          <c:extLst>
            <c:ext xmlns:c16="http://schemas.microsoft.com/office/drawing/2014/chart" uri="{C3380CC4-5D6E-409C-BE32-E72D297353CC}">
              <c16:uniqueId val="{00000017-24D3-4ACE-A96A-25F0367EED2B}"/>
            </c:ext>
          </c:extLst>
        </c:ser>
        <c:ser>
          <c:idx val="24"/>
          <c:order val="24"/>
          <c:tx>
            <c:strRef>
              <c:f>'Average Weight sports wise'!$Z$3:$Z$4</c:f>
              <c:strCache>
                <c:ptCount val="1"/>
                <c:pt idx="0">
                  <c:v>Rugby</c:v>
                </c:pt>
              </c:strCache>
            </c:strRef>
          </c:tx>
          <c:spPr>
            <a:solidFill>
              <a:schemeClr val="accent1">
                <a:lumMod val="60000"/>
                <a:lumOff val="4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wise'!$Z$5:$Z$16</c:f>
              <c:numCache>
                <c:formatCode>0</c:formatCode>
                <c:ptCount val="11"/>
                <c:pt idx="2">
                  <c:v>96</c:v>
                </c:pt>
                <c:pt idx="9">
                  <c:v>71</c:v>
                </c:pt>
              </c:numCache>
            </c:numRef>
          </c:val>
          <c:extLst>
            <c:ext xmlns:c16="http://schemas.microsoft.com/office/drawing/2014/chart" uri="{C3380CC4-5D6E-409C-BE32-E72D297353CC}">
              <c16:uniqueId val="{00000018-24D3-4ACE-A96A-25F0367EED2B}"/>
            </c:ext>
          </c:extLst>
        </c:ser>
        <c:ser>
          <c:idx val="25"/>
          <c:order val="25"/>
          <c:tx>
            <c:strRef>
              <c:f>'Average Weight sports wise'!$AA$3:$AA$4</c:f>
              <c:strCache>
                <c:ptCount val="1"/>
                <c:pt idx="0">
                  <c:v>Sailing</c:v>
                </c:pt>
              </c:strCache>
            </c:strRef>
          </c:tx>
          <c:spPr>
            <a:solidFill>
              <a:schemeClr val="accent2">
                <a:lumMod val="60000"/>
                <a:lumOff val="4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wise'!$AA$5:$AA$16</c:f>
              <c:numCache>
                <c:formatCode>0</c:formatCode>
                <c:ptCount val="11"/>
                <c:pt idx="4">
                  <c:v>96</c:v>
                </c:pt>
              </c:numCache>
            </c:numRef>
          </c:val>
          <c:extLst>
            <c:ext xmlns:c16="http://schemas.microsoft.com/office/drawing/2014/chart" uri="{C3380CC4-5D6E-409C-BE32-E72D297353CC}">
              <c16:uniqueId val="{00000019-24D3-4ACE-A96A-25F0367EED2B}"/>
            </c:ext>
          </c:extLst>
        </c:ser>
        <c:ser>
          <c:idx val="26"/>
          <c:order val="26"/>
          <c:tx>
            <c:strRef>
              <c:f>'Average Weight sports wise'!$AB$3:$AB$4</c:f>
              <c:strCache>
                <c:ptCount val="1"/>
                <c:pt idx="0">
                  <c:v>Shooting</c:v>
                </c:pt>
              </c:strCache>
            </c:strRef>
          </c:tx>
          <c:spPr>
            <a:solidFill>
              <a:schemeClr val="accent3">
                <a:lumMod val="60000"/>
                <a:lumOff val="4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wise'!$AB$5:$AB$16</c:f>
              <c:numCache>
                <c:formatCode>0</c:formatCode>
                <c:ptCount val="11"/>
                <c:pt idx="9">
                  <c:v>65</c:v>
                </c:pt>
              </c:numCache>
            </c:numRef>
          </c:val>
          <c:extLst>
            <c:ext xmlns:c16="http://schemas.microsoft.com/office/drawing/2014/chart" uri="{C3380CC4-5D6E-409C-BE32-E72D297353CC}">
              <c16:uniqueId val="{0000001A-24D3-4ACE-A96A-25F0367EED2B}"/>
            </c:ext>
          </c:extLst>
        </c:ser>
        <c:ser>
          <c:idx val="27"/>
          <c:order val="27"/>
          <c:tx>
            <c:strRef>
              <c:f>'Average Weight sports wise'!$AC$3:$AC$4</c:f>
              <c:strCache>
                <c:ptCount val="1"/>
                <c:pt idx="0">
                  <c:v>Short Track Speed Skating</c:v>
                </c:pt>
              </c:strCache>
            </c:strRef>
          </c:tx>
          <c:spPr>
            <a:solidFill>
              <a:schemeClr val="accent4">
                <a:lumMod val="60000"/>
                <a:lumOff val="4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wise'!$AC$5:$AC$16</c:f>
              <c:numCache>
                <c:formatCode>0</c:formatCode>
                <c:ptCount val="11"/>
                <c:pt idx="1">
                  <c:v>70</c:v>
                </c:pt>
              </c:numCache>
            </c:numRef>
          </c:val>
          <c:extLst>
            <c:ext xmlns:c16="http://schemas.microsoft.com/office/drawing/2014/chart" uri="{C3380CC4-5D6E-409C-BE32-E72D297353CC}">
              <c16:uniqueId val="{0000001B-24D3-4ACE-A96A-25F0367EED2B}"/>
            </c:ext>
          </c:extLst>
        </c:ser>
        <c:ser>
          <c:idx val="28"/>
          <c:order val="28"/>
          <c:tx>
            <c:strRef>
              <c:f>'Average Weight sports wise'!$AD$3:$AD$4</c:f>
              <c:strCache>
                <c:ptCount val="1"/>
                <c:pt idx="0">
                  <c:v>Swimming</c:v>
                </c:pt>
              </c:strCache>
            </c:strRef>
          </c:tx>
          <c:spPr>
            <a:solidFill>
              <a:schemeClr val="accent5">
                <a:lumMod val="60000"/>
                <a:lumOff val="4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wise'!$AD$5:$AD$16</c:f>
              <c:numCache>
                <c:formatCode>0</c:formatCode>
                <c:ptCount val="11"/>
                <c:pt idx="3">
                  <c:v>93</c:v>
                </c:pt>
              </c:numCache>
            </c:numRef>
          </c:val>
          <c:extLst>
            <c:ext xmlns:c16="http://schemas.microsoft.com/office/drawing/2014/chart" uri="{C3380CC4-5D6E-409C-BE32-E72D297353CC}">
              <c16:uniqueId val="{0000001C-24D3-4ACE-A96A-25F0367EED2B}"/>
            </c:ext>
          </c:extLst>
        </c:ser>
        <c:ser>
          <c:idx val="29"/>
          <c:order val="29"/>
          <c:tx>
            <c:strRef>
              <c:f>'Average Weight sports wise'!$AE$3:$AE$4</c:f>
              <c:strCache>
                <c:ptCount val="1"/>
                <c:pt idx="0">
                  <c:v>Triathlon</c:v>
                </c:pt>
              </c:strCache>
            </c:strRef>
          </c:tx>
          <c:spPr>
            <a:solidFill>
              <a:schemeClr val="accent6">
                <a:lumMod val="60000"/>
                <a:lumOff val="4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wise'!$AE$5:$AE$16</c:f>
              <c:numCache>
                <c:formatCode>0</c:formatCode>
                <c:ptCount val="11"/>
                <c:pt idx="1">
                  <c:v>101</c:v>
                </c:pt>
                <c:pt idx="4">
                  <c:v>67</c:v>
                </c:pt>
              </c:numCache>
            </c:numRef>
          </c:val>
          <c:extLst>
            <c:ext xmlns:c16="http://schemas.microsoft.com/office/drawing/2014/chart" uri="{C3380CC4-5D6E-409C-BE32-E72D297353CC}">
              <c16:uniqueId val="{0000001D-24D3-4ACE-A96A-25F0367EED2B}"/>
            </c:ext>
          </c:extLst>
        </c:ser>
        <c:ser>
          <c:idx val="30"/>
          <c:order val="30"/>
          <c:tx>
            <c:strRef>
              <c:f>'Average Weight sports wise'!$AF$3:$AF$4</c:f>
              <c:strCache>
                <c:ptCount val="1"/>
                <c:pt idx="0">
                  <c:v>Volleyball</c:v>
                </c:pt>
              </c:strCache>
            </c:strRef>
          </c:tx>
          <c:spPr>
            <a:solidFill>
              <a:schemeClr val="accent1">
                <a:lumMod val="5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wise'!$AF$5:$AF$16</c:f>
              <c:numCache>
                <c:formatCode>0</c:formatCode>
                <c:ptCount val="11"/>
                <c:pt idx="2">
                  <c:v>93</c:v>
                </c:pt>
                <c:pt idx="4">
                  <c:v>82</c:v>
                </c:pt>
              </c:numCache>
            </c:numRef>
          </c:val>
          <c:extLst>
            <c:ext xmlns:c16="http://schemas.microsoft.com/office/drawing/2014/chart" uri="{C3380CC4-5D6E-409C-BE32-E72D297353CC}">
              <c16:uniqueId val="{0000001E-24D3-4ACE-A96A-25F0367EED2B}"/>
            </c:ext>
          </c:extLst>
        </c:ser>
        <c:ser>
          <c:idx val="31"/>
          <c:order val="31"/>
          <c:tx>
            <c:strRef>
              <c:f>'Average Weight sports wise'!$AG$3:$AG$4</c:f>
              <c:strCache>
                <c:ptCount val="1"/>
                <c:pt idx="0">
                  <c:v>Water Polo</c:v>
                </c:pt>
              </c:strCache>
            </c:strRef>
          </c:tx>
          <c:spPr>
            <a:solidFill>
              <a:schemeClr val="accent2">
                <a:lumMod val="50000"/>
              </a:schemeClr>
            </a:solidFill>
            <a:ln>
              <a:noFill/>
            </a:ln>
            <a:effectLst/>
          </c:spPr>
          <c:invertIfNegative val="0"/>
          <c:cat>
            <c:strRef>
              <c:f>'Average Weight sports wise'!$A$5:$A$16</c:f>
              <c:strCache>
                <c:ptCount val="11"/>
                <c:pt idx="0">
                  <c:v>ARGENTINA</c:v>
                </c:pt>
                <c:pt idx="1">
                  <c:v>AUSTRALIA</c:v>
                </c:pt>
                <c:pt idx="2">
                  <c:v>AUSTRIA</c:v>
                </c:pt>
                <c:pt idx="3">
                  <c:v>BRAZIL</c:v>
                </c:pt>
                <c:pt idx="4">
                  <c:v>FRANCE</c:v>
                </c:pt>
                <c:pt idx="5">
                  <c:v>GERMANY</c:v>
                </c:pt>
                <c:pt idx="6">
                  <c:v>NETHERLANDS</c:v>
                </c:pt>
                <c:pt idx="7">
                  <c:v>SPAIN</c:v>
                </c:pt>
                <c:pt idx="8">
                  <c:v>SWEDEN</c:v>
                </c:pt>
                <c:pt idx="9">
                  <c:v>UK</c:v>
                </c:pt>
                <c:pt idx="10">
                  <c:v>USA</c:v>
                </c:pt>
              </c:strCache>
            </c:strRef>
          </c:cat>
          <c:val>
            <c:numRef>
              <c:f>'Average Weight sports wise'!$AG$5:$AG$16</c:f>
              <c:numCache>
                <c:formatCode>0</c:formatCode>
                <c:ptCount val="11"/>
                <c:pt idx="10">
                  <c:v>85</c:v>
                </c:pt>
              </c:numCache>
            </c:numRef>
          </c:val>
          <c:extLst>
            <c:ext xmlns:c16="http://schemas.microsoft.com/office/drawing/2014/chart" uri="{C3380CC4-5D6E-409C-BE32-E72D297353CC}">
              <c16:uniqueId val="{0000001F-24D3-4ACE-A96A-25F0367EED2B}"/>
            </c:ext>
          </c:extLst>
        </c:ser>
        <c:dLbls>
          <c:showLegendKey val="0"/>
          <c:showVal val="0"/>
          <c:showCatName val="0"/>
          <c:showSerName val="0"/>
          <c:showPercent val="0"/>
          <c:showBubbleSize val="0"/>
        </c:dLbls>
        <c:gapWidth val="150"/>
        <c:overlap val="100"/>
        <c:axId val="834631584"/>
        <c:axId val="707593104"/>
      </c:barChart>
      <c:catAx>
        <c:axId val="83463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707593104"/>
        <c:crosses val="autoZero"/>
        <c:auto val="1"/>
        <c:lblAlgn val="ctr"/>
        <c:lblOffset val="100"/>
        <c:noMultiLvlLbl val="0"/>
      </c:catAx>
      <c:valAx>
        <c:axId val="7075931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834631584"/>
        <c:crosses val="autoZero"/>
        <c:crossBetween val="between"/>
      </c:valAx>
      <c:spPr>
        <a:noFill/>
        <a:ln>
          <a:noFill/>
        </a:ln>
        <a:effectLst/>
      </c:spPr>
    </c:plotArea>
    <c:legend>
      <c:legendPos val="r"/>
      <c:layout>
        <c:manualLayout>
          <c:xMode val="edge"/>
          <c:yMode val="edge"/>
          <c:x val="0.70272623689029179"/>
          <c:y val="0.1656833940533553"/>
          <c:w val="0.28340413758959743"/>
          <c:h val="0.7935088337838367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C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944880</xdr:colOff>
      <xdr:row>3</xdr:row>
      <xdr:rowOff>45720</xdr:rowOff>
    </xdr:from>
    <xdr:to>
      <xdr:col>12</xdr:col>
      <xdr:colOff>472440</xdr:colOff>
      <xdr:row>22</xdr:row>
      <xdr:rowOff>137160</xdr:rowOff>
    </xdr:to>
    <xdr:graphicFrame macro="">
      <xdr:nvGraphicFramePr>
        <xdr:cNvPr id="2" name="Chart 1">
          <a:extLst>
            <a:ext uri="{FF2B5EF4-FFF2-40B4-BE49-F238E27FC236}">
              <a16:creationId xmlns:a16="http://schemas.microsoft.com/office/drawing/2014/main" id="{CDA07016-78BC-50CC-5CA1-5592780B5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205740</xdr:colOff>
      <xdr:row>1</xdr:row>
      <xdr:rowOff>45720</xdr:rowOff>
    </xdr:from>
    <xdr:to>
      <xdr:col>17</xdr:col>
      <xdr:colOff>83820</xdr:colOff>
      <xdr:row>14</xdr:row>
      <xdr:rowOff>104775</xdr:rowOff>
    </xdr:to>
    <mc:AlternateContent xmlns:mc="http://schemas.openxmlformats.org/markup-compatibility/2006">
      <mc:Choice xmlns:a14="http://schemas.microsoft.com/office/drawing/2010/main" Requires="a14">
        <xdr:graphicFrame macro="">
          <xdr:nvGraphicFramePr>
            <xdr:cNvPr id="3" name="AGE">
              <a:extLst>
                <a:ext uri="{FF2B5EF4-FFF2-40B4-BE49-F238E27FC236}">
                  <a16:creationId xmlns:a16="http://schemas.microsoft.com/office/drawing/2014/main" id="{828ED4E8-7126-3F85-34A3-1832A924CE5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0431780" y="2133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114300</xdr:colOff>
      <xdr:row>1</xdr:row>
      <xdr:rowOff>60960</xdr:rowOff>
    </xdr:from>
    <xdr:to>
      <xdr:col>20</xdr:col>
      <xdr:colOff>480060</xdr:colOff>
      <xdr:row>14</xdr:row>
      <xdr:rowOff>120015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EC8CA04D-FF13-7914-8D4C-BF1241BB612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291060" y="2286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60960</xdr:colOff>
      <xdr:row>14</xdr:row>
      <xdr:rowOff>121920</xdr:rowOff>
    </xdr:from>
    <xdr:to>
      <xdr:col>16</xdr:col>
      <xdr:colOff>426720</xdr:colOff>
      <xdr:row>28</xdr:row>
      <xdr:rowOff>13335</xdr:rowOff>
    </xdr:to>
    <mc:AlternateContent xmlns:mc="http://schemas.openxmlformats.org/markup-compatibility/2006">
      <mc:Choice xmlns:a14="http://schemas.microsoft.com/office/drawing/2010/main" Requires="a14">
        <xdr:graphicFrame macro="">
          <xdr:nvGraphicFramePr>
            <xdr:cNvPr id="5" name="COUNTRY NAME">
              <a:extLst>
                <a:ext uri="{FF2B5EF4-FFF2-40B4-BE49-F238E27FC236}">
                  <a16:creationId xmlns:a16="http://schemas.microsoft.com/office/drawing/2014/main" id="{64E4B2D1-4890-5461-7BAC-75436F16F26B}"/>
                </a:ext>
              </a:extLst>
            </xdr:cNvPr>
            <xdr:cNvGraphicFramePr/>
          </xdr:nvGraphicFramePr>
          <xdr:xfrm>
            <a:off x="0" y="0"/>
            <a:ext cx="0" cy="0"/>
          </xdr:xfrm>
          <a:graphic>
            <a:graphicData uri="http://schemas.microsoft.com/office/drawing/2010/slicer">
              <sle:slicer xmlns:sle="http://schemas.microsoft.com/office/drawing/2010/slicer" name="COUNTRY NAME"/>
            </a:graphicData>
          </a:graphic>
        </xdr:graphicFrame>
      </mc:Choice>
      <mc:Fallback>
        <xdr:sp macro="" textlink="">
          <xdr:nvSpPr>
            <xdr:cNvPr id="0" name=""/>
            <xdr:cNvSpPr>
              <a:spLocks noTextEdit="1"/>
            </xdr:cNvSpPr>
          </xdr:nvSpPr>
          <xdr:spPr>
            <a:xfrm>
              <a:off x="10287000" y="24688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38100</xdr:colOff>
      <xdr:row>14</xdr:row>
      <xdr:rowOff>114300</xdr:rowOff>
    </xdr:from>
    <xdr:to>
      <xdr:col>20</xdr:col>
      <xdr:colOff>403860</xdr:colOff>
      <xdr:row>28</xdr:row>
      <xdr:rowOff>5715</xdr:rowOff>
    </xdr:to>
    <mc:AlternateContent xmlns:mc="http://schemas.openxmlformats.org/markup-compatibility/2006">
      <mc:Choice xmlns:a14="http://schemas.microsoft.com/office/drawing/2010/main" Requires="a14">
        <xdr:graphicFrame macro="">
          <xdr:nvGraphicFramePr>
            <xdr:cNvPr id="6" name="SPORTS">
              <a:extLst>
                <a:ext uri="{FF2B5EF4-FFF2-40B4-BE49-F238E27FC236}">
                  <a16:creationId xmlns:a16="http://schemas.microsoft.com/office/drawing/2014/main" id="{9C169E5F-76CF-D6D4-A4E7-991503FDA23C}"/>
                </a:ext>
              </a:extLst>
            </xdr:cNvPr>
            <xdr:cNvGraphicFramePr/>
          </xdr:nvGraphicFramePr>
          <xdr:xfrm>
            <a:off x="0" y="0"/>
            <a:ext cx="0" cy="0"/>
          </xdr:xfrm>
          <a:graphic>
            <a:graphicData uri="http://schemas.microsoft.com/office/drawing/2010/slicer">
              <sle:slicer xmlns:sle="http://schemas.microsoft.com/office/drawing/2010/slicer" name="SPORTS"/>
            </a:graphicData>
          </a:graphic>
        </xdr:graphicFrame>
      </mc:Choice>
      <mc:Fallback>
        <xdr:sp macro="" textlink="">
          <xdr:nvSpPr>
            <xdr:cNvPr id="0" name=""/>
            <xdr:cNvSpPr>
              <a:spLocks noTextEdit="1"/>
            </xdr:cNvSpPr>
          </xdr:nvSpPr>
          <xdr:spPr>
            <a:xfrm>
              <a:off x="12214860" y="24612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464820</xdr:colOff>
      <xdr:row>2</xdr:row>
      <xdr:rowOff>160020</xdr:rowOff>
    </xdr:from>
    <xdr:to>
      <xdr:col>14</xdr:col>
      <xdr:colOff>586740</xdr:colOff>
      <xdr:row>24</xdr:row>
      <xdr:rowOff>7620</xdr:rowOff>
    </xdr:to>
    <xdr:graphicFrame macro="">
      <xdr:nvGraphicFramePr>
        <xdr:cNvPr id="2" name="Chart 1">
          <a:extLst>
            <a:ext uri="{FF2B5EF4-FFF2-40B4-BE49-F238E27FC236}">
              <a16:creationId xmlns:a16="http://schemas.microsoft.com/office/drawing/2014/main" id="{FFF0B2D2-9BD6-420B-6D42-043381843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403860</xdr:colOff>
      <xdr:row>5</xdr:row>
      <xdr:rowOff>30480</xdr:rowOff>
    </xdr:from>
    <xdr:to>
      <xdr:col>16</xdr:col>
      <xdr:colOff>53340</xdr:colOff>
      <xdr:row>25</xdr:row>
      <xdr:rowOff>15240</xdr:rowOff>
    </xdr:to>
    <xdr:graphicFrame macro="">
      <xdr:nvGraphicFramePr>
        <xdr:cNvPr id="2" name="Chart 1">
          <a:extLst>
            <a:ext uri="{FF2B5EF4-FFF2-40B4-BE49-F238E27FC236}">
              <a16:creationId xmlns:a16="http://schemas.microsoft.com/office/drawing/2014/main" id="{F85D48E6-32EA-E510-CE36-F2D3E69A9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266700</xdr:colOff>
      <xdr:row>19</xdr:row>
      <xdr:rowOff>15240</xdr:rowOff>
    </xdr:from>
    <xdr:to>
      <xdr:col>13</xdr:col>
      <xdr:colOff>152400</xdr:colOff>
      <xdr:row>43</xdr:row>
      <xdr:rowOff>53340</xdr:rowOff>
    </xdr:to>
    <xdr:graphicFrame macro="">
      <xdr:nvGraphicFramePr>
        <xdr:cNvPr id="2" name="Chart 1">
          <a:extLst>
            <a:ext uri="{FF2B5EF4-FFF2-40B4-BE49-F238E27FC236}">
              <a16:creationId xmlns:a16="http://schemas.microsoft.com/office/drawing/2014/main" id="{E1DCBD02-3D22-F666-34EC-6DC2AB7E2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289560</xdr:colOff>
      <xdr:row>1</xdr:row>
      <xdr:rowOff>22860</xdr:rowOff>
    </xdr:from>
    <xdr:to>
      <xdr:col>22</xdr:col>
      <xdr:colOff>281940</xdr:colOff>
      <xdr:row>4</xdr:row>
      <xdr:rowOff>7620</xdr:rowOff>
    </xdr:to>
    <xdr:sp macro="" textlink="">
      <xdr:nvSpPr>
        <xdr:cNvPr id="2" name="Rectangle 1">
          <a:extLst>
            <a:ext uri="{FF2B5EF4-FFF2-40B4-BE49-F238E27FC236}">
              <a16:creationId xmlns:a16="http://schemas.microsoft.com/office/drawing/2014/main" id="{2F72450C-F949-5B1A-FBD6-2A9B89748537}"/>
            </a:ext>
          </a:extLst>
        </xdr:cNvPr>
        <xdr:cNvSpPr/>
      </xdr:nvSpPr>
      <xdr:spPr>
        <a:xfrm>
          <a:off x="289560" y="190500"/>
          <a:ext cx="13403580" cy="48768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u="sng">
              <a:solidFill>
                <a:srgbClr val="C00000"/>
              </a:solidFill>
            </a:rPr>
            <a:t>SPORTS EVENT COMPANY DATA ANALYSIS</a:t>
          </a:r>
        </a:p>
      </xdr:txBody>
    </xdr:sp>
    <xdr:clientData/>
  </xdr:twoCellAnchor>
  <xdr:twoCellAnchor>
    <xdr:from>
      <xdr:col>0</xdr:col>
      <xdr:colOff>495300</xdr:colOff>
      <xdr:row>5</xdr:row>
      <xdr:rowOff>7620</xdr:rowOff>
    </xdr:from>
    <xdr:to>
      <xdr:col>2</xdr:col>
      <xdr:colOff>601980</xdr:colOff>
      <xdr:row>38</xdr:row>
      <xdr:rowOff>152400</xdr:rowOff>
    </xdr:to>
    <xdr:sp macro="" textlink="">
      <xdr:nvSpPr>
        <xdr:cNvPr id="3" name="Rectangle 2">
          <a:extLst>
            <a:ext uri="{FF2B5EF4-FFF2-40B4-BE49-F238E27FC236}">
              <a16:creationId xmlns:a16="http://schemas.microsoft.com/office/drawing/2014/main" id="{C5C4BF14-6BC3-96D0-1C94-2CCB72C7973D}"/>
            </a:ext>
          </a:extLst>
        </xdr:cNvPr>
        <xdr:cNvSpPr/>
      </xdr:nvSpPr>
      <xdr:spPr>
        <a:xfrm>
          <a:off x="495300" y="845820"/>
          <a:ext cx="1325880" cy="567690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C00000"/>
              </a:solidFill>
            </a:rPr>
            <a:t>FILTER</a:t>
          </a:r>
        </a:p>
      </xdr:txBody>
    </xdr:sp>
    <xdr:clientData/>
  </xdr:twoCellAnchor>
  <xdr:twoCellAnchor>
    <xdr:from>
      <xdr:col>3</xdr:col>
      <xdr:colOff>190500</xdr:colOff>
      <xdr:row>5</xdr:row>
      <xdr:rowOff>22860</xdr:rowOff>
    </xdr:from>
    <xdr:to>
      <xdr:col>12</xdr:col>
      <xdr:colOff>320040</xdr:colOff>
      <xdr:row>21</xdr:row>
      <xdr:rowOff>152400</xdr:rowOff>
    </xdr:to>
    <xdr:sp macro="" textlink="">
      <xdr:nvSpPr>
        <xdr:cNvPr id="4" name="Rectangle 3">
          <a:extLst>
            <a:ext uri="{FF2B5EF4-FFF2-40B4-BE49-F238E27FC236}">
              <a16:creationId xmlns:a16="http://schemas.microsoft.com/office/drawing/2014/main" id="{FD0A85FA-A320-744C-9737-478DB3EE7BAE}"/>
            </a:ext>
          </a:extLst>
        </xdr:cNvPr>
        <xdr:cNvSpPr/>
      </xdr:nvSpPr>
      <xdr:spPr>
        <a:xfrm>
          <a:off x="2019300" y="861060"/>
          <a:ext cx="5615940" cy="281178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601980</xdr:colOff>
      <xdr:row>5</xdr:row>
      <xdr:rowOff>7620</xdr:rowOff>
    </xdr:from>
    <xdr:to>
      <xdr:col>22</xdr:col>
      <xdr:colOff>121920</xdr:colOff>
      <xdr:row>21</xdr:row>
      <xdr:rowOff>160020</xdr:rowOff>
    </xdr:to>
    <xdr:sp macro="" textlink="">
      <xdr:nvSpPr>
        <xdr:cNvPr id="5" name="Rectangle 4">
          <a:extLst>
            <a:ext uri="{FF2B5EF4-FFF2-40B4-BE49-F238E27FC236}">
              <a16:creationId xmlns:a16="http://schemas.microsoft.com/office/drawing/2014/main" id="{E8964EE3-CFAD-443C-9E00-4B2F1328A619}"/>
            </a:ext>
          </a:extLst>
        </xdr:cNvPr>
        <xdr:cNvSpPr/>
      </xdr:nvSpPr>
      <xdr:spPr>
        <a:xfrm>
          <a:off x="7917180" y="845820"/>
          <a:ext cx="5615940" cy="283464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167640</xdr:colOff>
      <xdr:row>23</xdr:row>
      <xdr:rowOff>15240</xdr:rowOff>
    </xdr:from>
    <xdr:to>
      <xdr:col>12</xdr:col>
      <xdr:colOff>297180</xdr:colOff>
      <xdr:row>39</xdr:row>
      <xdr:rowOff>7620</xdr:rowOff>
    </xdr:to>
    <xdr:sp macro="" textlink="">
      <xdr:nvSpPr>
        <xdr:cNvPr id="6" name="Rectangle 5">
          <a:extLst>
            <a:ext uri="{FF2B5EF4-FFF2-40B4-BE49-F238E27FC236}">
              <a16:creationId xmlns:a16="http://schemas.microsoft.com/office/drawing/2014/main" id="{3CC2F09B-9B54-4ED4-9734-16A625ADB5EE}"/>
            </a:ext>
          </a:extLst>
        </xdr:cNvPr>
        <xdr:cNvSpPr/>
      </xdr:nvSpPr>
      <xdr:spPr>
        <a:xfrm>
          <a:off x="1996440" y="3870960"/>
          <a:ext cx="5615940" cy="267462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594360</xdr:colOff>
      <xdr:row>23</xdr:row>
      <xdr:rowOff>22860</xdr:rowOff>
    </xdr:from>
    <xdr:to>
      <xdr:col>22</xdr:col>
      <xdr:colOff>114300</xdr:colOff>
      <xdr:row>38</xdr:row>
      <xdr:rowOff>144780</xdr:rowOff>
    </xdr:to>
    <xdr:sp macro="" textlink="">
      <xdr:nvSpPr>
        <xdr:cNvPr id="7" name="Rectangle 6">
          <a:extLst>
            <a:ext uri="{FF2B5EF4-FFF2-40B4-BE49-F238E27FC236}">
              <a16:creationId xmlns:a16="http://schemas.microsoft.com/office/drawing/2014/main" id="{766167DC-00ED-4774-A437-F1EF304BF34E}"/>
            </a:ext>
          </a:extLst>
        </xdr:cNvPr>
        <xdr:cNvSpPr/>
      </xdr:nvSpPr>
      <xdr:spPr>
        <a:xfrm>
          <a:off x="7909560" y="3878580"/>
          <a:ext cx="5615940" cy="263652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236220</xdr:colOff>
      <xdr:row>5</xdr:row>
      <xdr:rowOff>60960</xdr:rowOff>
    </xdr:from>
    <xdr:to>
      <xdr:col>12</xdr:col>
      <xdr:colOff>266700</xdr:colOff>
      <xdr:row>21</xdr:row>
      <xdr:rowOff>114300</xdr:rowOff>
    </xdr:to>
    <xdr:graphicFrame macro="">
      <xdr:nvGraphicFramePr>
        <xdr:cNvPr id="8" name="Chart 7">
          <a:extLst>
            <a:ext uri="{FF2B5EF4-FFF2-40B4-BE49-F238E27FC236}">
              <a16:creationId xmlns:a16="http://schemas.microsoft.com/office/drawing/2014/main" id="{8E781AFB-4906-4DF1-BDA8-20D3A5765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60960</xdr:colOff>
      <xdr:row>5</xdr:row>
      <xdr:rowOff>76200</xdr:rowOff>
    </xdr:from>
    <xdr:to>
      <xdr:col>22</xdr:col>
      <xdr:colOff>53340</xdr:colOff>
      <xdr:row>21</xdr:row>
      <xdr:rowOff>121920</xdr:rowOff>
    </xdr:to>
    <xdr:graphicFrame macro="">
      <xdr:nvGraphicFramePr>
        <xdr:cNvPr id="9" name="Chart 8">
          <a:extLst>
            <a:ext uri="{FF2B5EF4-FFF2-40B4-BE49-F238E27FC236}">
              <a16:creationId xmlns:a16="http://schemas.microsoft.com/office/drawing/2014/main" id="{DF505748-17CF-4E64-A839-72FF089D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220980</xdr:colOff>
      <xdr:row>23</xdr:row>
      <xdr:rowOff>68580</xdr:rowOff>
    </xdr:from>
    <xdr:to>
      <xdr:col>12</xdr:col>
      <xdr:colOff>243840</xdr:colOff>
      <xdr:row>38</xdr:row>
      <xdr:rowOff>121920</xdr:rowOff>
    </xdr:to>
    <xdr:graphicFrame macro="">
      <xdr:nvGraphicFramePr>
        <xdr:cNvPr id="10" name="Chart 9">
          <a:extLst>
            <a:ext uri="{FF2B5EF4-FFF2-40B4-BE49-F238E27FC236}">
              <a16:creationId xmlns:a16="http://schemas.microsoft.com/office/drawing/2014/main" id="{A48C6AF6-BE69-4E5C-BD2C-0F5117374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53340</xdr:colOff>
      <xdr:row>23</xdr:row>
      <xdr:rowOff>68580</xdr:rowOff>
    </xdr:from>
    <xdr:to>
      <xdr:col>22</xdr:col>
      <xdr:colOff>60960</xdr:colOff>
      <xdr:row>38</xdr:row>
      <xdr:rowOff>106680</xdr:rowOff>
    </xdr:to>
    <xdr:graphicFrame macro="">
      <xdr:nvGraphicFramePr>
        <xdr:cNvPr id="11" name="Chart 10">
          <a:extLst>
            <a:ext uri="{FF2B5EF4-FFF2-40B4-BE49-F238E27FC236}">
              <a16:creationId xmlns:a16="http://schemas.microsoft.com/office/drawing/2014/main" id="{C38F4153-99B9-4101-BC04-48C22303D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541020</xdr:colOff>
      <xdr:row>7</xdr:row>
      <xdr:rowOff>53341</xdr:rowOff>
    </xdr:from>
    <xdr:to>
      <xdr:col>2</xdr:col>
      <xdr:colOff>571500</xdr:colOff>
      <xdr:row>15</xdr:row>
      <xdr:rowOff>30481</xdr:rowOff>
    </xdr:to>
    <mc:AlternateContent xmlns:mc="http://schemas.openxmlformats.org/markup-compatibility/2006">
      <mc:Choice xmlns:a14="http://schemas.microsoft.com/office/drawing/2010/main" Requires="a14">
        <xdr:graphicFrame macro="">
          <xdr:nvGraphicFramePr>
            <xdr:cNvPr id="13" name="AGE 1">
              <a:extLst>
                <a:ext uri="{FF2B5EF4-FFF2-40B4-BE49-F238E27FC236}">
                  <a16:creationId xmlns:a16="http://schemas.microsoft.com/office/drawing/2014/main" id="{9FA1EAA9-E4FA-439F-9B34-B5FDB9EC4463}"/>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541020" y="1226821"/>
              <a:ext cx="124968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518160</xdr:colOff>
      <xdr:row>23</xdr:row>
      <xdr:rowOff>15240</xdr:rowOff>
    </xdr:from>
    <xdr:to>
      <xdr:col>2</xdr:col>
      <xdr:colOff>571500</xdr:colOff>
      <xdr:row>30</xdr:row>
      <xdr:rowOff>68579</xdr:rowOff>
    </xdr:to>
    <mc:AlternateContent xmlns:mc="http://schemas.openxmlformats.org/markup-compatibility/2006">
      <mc:Choice xmlns:a14="http://schemas.microsoft.com/office/drawing/2010/main" Requires="a14">
        <xdr:graphicFrame macro="">
          <xdr:nvGraphicFramePr>
            <xdr:cNvPr id="14" name="GENDER 1">
              <a:extLst>
                <a:ext uri="{FF2B5EF4-FFF2-40B4-BE49-F238E27FC236}">
                  <a16:creationId xmlns:a16="http://schemas.microsoft.com/office/drawing/2014/main" id="{F57AD2C0-CCA3-4E00-A84C-6F98AA3370C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18160" y="3870960"/>
              <a:ext cx="127254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533400</xdr:colOff>
      <xdr:row>15</xdr:row>
      <xdr:rowOff>60960</xdr:rowOff>
    </xdr:from>
    <xdr:to>
      <xdr:col>2</xdr:col>
      <xdr:colOff>563880</xdr:colOff>
      <xdr:row>23</xdr:row>
      <xdr:rowOff>0</xdr:rowOff>
    </xdr:to>
    <mc:AlternateContent xmlns:mc="http://schemas.openxmlformats.org/markup-compatibility/2006">
      <mc:Choice xmlns:a14="http://schemas.microsoft.com/office/drawing/2010/main" Requires="a14">
        <xdr:graphicFrame macro="">
          <xdr:nvGraphicFramePr>
            <xdr:cNvPr id="15" name="COUNTRY NAME 1">
              <a:extLst>
                <a:ext uri="{FF2B5EF4-FFF2-40B4-BE49-F238E27FC236}">
                  <a16:creationId xmlns:a16="http://schemas.microsoft.com/office/drawing/2014/main" id="{9C985789-FCDA-4618-B94C-5C58038E52CD}"/>
                </a:ext>
              </a:extLst>
            </xdr:cNvPr>
            <xdr:cNvGraphicFramePr/>
          </xdr:nvGraphicFramePr>
          <xdr:xfrm>
            <a:off x="0" y="0"/>
            <a:ext cx="0" cy="0"/>
          </xdr:xfrm>
          <a:graphic>
            <a:graphicData uri="http://schemas.microsoft.com/office/drawing/2010/slicer">
              <sle:slicer xmlns:sle="http://schemas.microsoft.com/office/drawing/2010/slicer" name="COUNTRY NAME 1"/>
            </a:graphicData>
          </a:graphic>
        </xdr:graphicFrame>
      </mc:Choice>
      <mc:Fallback>
        <xdr:sp macro="" textlink="">
          <xdr:nvSpPr>
            <xdr:cNvPr id="0" name=""/>
            <xdr:cNvSpPr>
              <a:spLocks noTextEdit="1"/>
            </xdr:cNvSpPr>
          </xdr:nvSpPr>
          <xdr:spPr>
            <a:xfrm>
              <a:off x="533400" y="2575560"/>
              <a:ext cx="124968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518160</xdr:colOff>
      <xdr:row>30</xdr:row>
      <xdr:rowOff>83821</xdr:rowOff>
    </xdr:from>
    <xdr:to>
      <xdr:col>2</xdr:col>
      <xdr:colOff>586740</xdr:colOff>
      <xdr:row>38</xdr:row>
      <xdr:rowOff>99061</xdr:rowOff>
    </xdr:to>
    <mc:AlternateContent xmlns:mc="http://schemas.openxmlformats.org/markup-compatibility/2006">
      <mc:Choice xmlns:a14="http://schemas.microsoft.com/office/drawing/2010/main" Requires="a14">
        <xdr:graphicFrame macro="">
          <xdr:nvGraphicFramePr>
            <xdr:cNvPr id="16" name="SPORTS 1">
              <a:extLst>
                <a:ext uri="{FF2B5EF4-FFF2-40B4-BE49-F238E27FC236}">
                  <a16:creationId xmlns:a16="http://schemas.microsoft.com/office/drawing/2014/main" id="{855B743F-7088-448B-8470-C823B19FD666}"/>
                </a:ext>
              </a:extLst>
            </xdr:cNvPr>
            <xdr:cNvGraphicFramePr/>
          </xdr:nvGraphicFramePr>
          <xdr:xfrm>
            <a:off x="0" y="0"/>
            <a:ext cx="0" cy="0"/>
          </xdr:xfrm>
          <a:graphic>
            <a:graphicData uri="http://schemas.microsoft.com/office/drawing/2010/slicer">
              <sle:slicer xmlns:sle="http://schemas.microsoft.com/office/drawing/2010/slicer" name="SPORTS 1"/>
            </a:graphicData>
          </a:graphic>
        </xdr:graphicFrame>
      </mc:Choice>
      <mc:Fallback>
        <xdr:sp macro="" textlink="">
          <xdr:nvSpPr>
            <xdr:cNvPr id="0" name=""/>
            <xdr:cNvSpPr>
              <a:spLocks noTextEdit="1"/>
            </xdr:cNvSpPr>
          </xdr:nvSpPr>
          <xdr:spPr>
            <a:xfrm>
              <a:off x="518160" y="5113021"/>
              <a:ext cx="128778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krishna" refreshedDate="46300.069029629631" createdVersion="8" refreshedVersion="8" minRefreshableVersion="3" recordCount="50" xr:uid="{0A89BF46-74BD-4D04-B55A-6047E3295239}">
  <cacheSource type="worksheet">
    <worksheetSource ref="A1:S51" sheet="Sportsmen"/>
  </cacheSource>
  <cacheFields count="20">
    <cacheField name="MEMBER ID" numFmtId="165">
      <sharedItems containsSemiMixedTypes="0" containsString="0" containsNumber="1" containsInteger="1" minValue="1" maxValue="50"/>
    </cacheField>
    <cacheField name="FULL NAME" numFmtId="0">
      <sharedItems/>
    </cacheField>
    <cacheField name="PREFIX" numFmtId="0">
      <sharedItems/>
    </cacheField>
    <cacheField name="FIRSTNAME" numFmtId="0">
      <sharedItems/>
    </cacheField>
    <cacheField name="MIDDLENAME" numFmtId="0">
      <sharedItems containsBlank="1"/>
    </cacheField>
    <cacheField name="LASTNAME" numFmtId="0">
      <sharedItems/>
    </cacheField>
    <cacheField name="BIRTHDATE" numFmtId="0">
      <sharedItems containsSemiMixedTypes="0" containsString="0" containsNumber="1" containsInteger="1" minValue="1955" maxValue="1999"/>
    </cacheField>
    <cacheField name="BIRTH DATE" numFmtId="166">
      <sharedItems containsSemiMixedTypes="0" containsNonDate="0" containsDate="1" containsString="0" minDate="1955-01-01T00:00:00" maxDate="1999-01-02T00:00:00"/>
    </cacheField>
    <cacheField name="AGE" numFmtId="0">
      <sharedItems containsMixedTypes="1" containsNumber="1" containsInteger="1" minValue="27" maxValue="71" count="40">
        <n v="29"/>
        <n v="34"/>
        <n v="57"/>
        <n v="51"/>
        <n v="56"/>
        <n v="27"/>
        <n v="63"/>
        <n v="55"/>
        <n v="62"/>
        <n v="40"/>
        <n v="49"/>
        <n v="67"/>
        <n v="61"/>
        <n v="54"/>
        <n v="50"/>
        <n v="30"/>
        <n v="71"/>
        <n v="60"/>
        <n v="48"/>
        <n v="44"/>
        <n v="32"/>
        <n v="47"/>
        <n v="37"/>
        <n v="46"/>
        <n v="45"/>
        <n v="43"/>
        <n v="42"/>
        <n v="38"/>
        <n v="52"/>
        <n v="36"/>
        <n v="66"/>
        <n v="53"/>
        <n v="58"/>
        <n v="39"/>
        <n v="33"/>
        <s v="Formula1" f="1"/>
        <s v="Formula2" f="1"/>
        <s v="Formula3" f="1"/>
        <s v="Formula4" f="1"/>
        <s v="Formula5" f="1"/>
      </sharedItems>
    </cacheField>
    <cacheField name="ZODIAC" numFmtId="0">
      <sharedItems/>
    </cacheField>
    <cacheField name="GENDER" numFmtId="0">
      <sharedItems count="2">
        <s v="Female"/>
        <s v="Male"/>
      </sharedItems>
    </cacheField>
    <cacheField name="COUNTRYCODE" numFmtId="0">
      <sharedItems/>
    </cacheField>
    <cacheField name="COUNTRY NAME" numFmtId="0">
      <sharedItems count="11">
        <s v="USA"/>
        <s v="BRAZIL"/>
        <s v="UK"/>
        <s v="GERMANY"/>
        <s v="AUSTRALIA"/>
        <s v="AUSTRIA"/>
        <s v="FRANCE"/>
        <s v="ARGENTINA"/>
        <s v="SPAIN"/>
        <s v="NETHERLANDS"/>
        <s v="SWEDEN"/>
      </sharedItems>
    </cacheField>
    <cacheField name="LANGUAGE" numFmtId="0">
      <sharedItems/>
    </cacheField>
    <cacheField name="EMAIL" numFmtId="0">
      <sharedItems/>
    </cacheField>
    <cacheField name="WEIGHT" numFmtId="1">
      <sharedItems containsSemiMixedTypes="0" containsString="0" containsNumber="1" containsInteger="1" minValue="46" maxValue="106"/>
    </cacheField>
    <cacheField name="BLOODTYPE" numFmtId="0">
      <sharedItems/>
    </cacheField>
    <cacheField name="SPORT LOCATION" numFmtId="0">
      <sharedItems/>
    </cacheField>
    <cacheField name="SPORTS" numFmtId="0">
      <sharedItems count="32">
        <s v="Cycling Track"/>
        <s v="Boxing"/>
        <s v="Football"/>
        <s v="Alpine Skiing"/>
        <s v="Water Polo"/>
        <s v="Fencing"/>
        <s v="Cycling Road"/>
        <s v="Curling"/>
        <s v="Shooting"/>
        <s v="Freestyle Skiing"/>
        <s v="Archery"/>
        <s v="Rugby"/>
        <s v="Canoe Sprint"/>
        <s v="Cycling BMX"/>
        <s v="Handball"/>
        <s v="Cycling Mountain Bike"/>
        <s v="Short Track Speed Skating"/>
        <s v="Basketball"/>
        <s v="Triathlon"/>
        <s v="Equestrian / Dressage"/>
        <s v="Beach Volleyball"/>
        <s v="Canoe Slalom"/>
        <s v="Volleyball"/>
        <s v="Golf"/>
        <s v="Diving"/>
        <s v="Hockey"/>
        <s v="Sailing"/>
        <s v="Athletics"/>
        <s v="Gymnastics Artistic"/>
        <s v="Judo"/>
        <s v="Biathlon"/>
        <s v="Swimming"/>
      </sharedItems>
    </cacheField>
    <cacheField name="SALARY" numFmtId="169">
      <sharedItems containsSemiMixedTypes="0" containsString="0" containsNumber="1" minValue="10.24" maxValue="117.4"/>
    </cacheField>
  </cacheFields>
  <calculatedItems count="5">
    <calculatedItem>
      <pivotArea cacheIndex="1" outline="0" fieldPosition="0">
        <references count="1">
          <reference field="8" count="1">
            <x v="35"/>
          </reference>
        </references>
      </pivotArea>
    </calculatedItem>
    <calculatedItem>
      <pivotArea cacheIndex="1" outline="0" fieldPosition="0">
        <references count="1">
          <reference field="8" count="1">
            <x v="36"/>
          </reference>
        </references>
      </pivotArea>
    </calculatedItem>
    <calculatedItem>
      <pivotArea cacheIndex="1" outline="0" fieldPosition="0">
        <references count="1">
          <reference field="8" count="1">
            <x v="37"/>
          </reference>
        </references>
      </pivotArea>
    </calculatedItem>
    <calculatedItem>
      <pivotArea cacheIndex="1" outline="0" fieldPosition="0">
        <references count="1">
          <reference field="8" count="1">
            <x v="38"/>
          </reference>
        </references>
      </pivotArea>
    </calculatedItem>
    <calculatedItem>
      <pivotArea cacheIndex="1" outline="0" fieldPosition="0">
        <references count="1">
          <reference field="8" count="1">
            <x v="39"/>
          </reference>
        </references>
      </pivotArea>
    </calculatedItem>
  </calculatedItems>
  <extLst>
    <ext xmlns:x14="http://schemas.microsoft.com/office/spreadsheetml/2009/9/main" uri="{725AE2AE-9491-48be-B2B4-4EB974FC3084}">
      <x14:pivotCacheDefinition pivotCacheId="401154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krishna" refreshedDate="46300.082065509261" createdVersion="8" refreshedVersion="8" minRefreshableVersion="3" recordCount="50" xr:uid="{E4292CCE-C29F-40EB-A349-851AC1C43335}">
  <cacheSource type="worksheet">
    <worksheetSource ref="A1:T51" sheet="Sportsmen"/>
  </cacheSource>
  <cacheFields count="20">
    <cacheField name="MEMBER ID" numFmtId="165">
      <sharedItems containsSemiMixedTypes="0" containsString="0" containsNumber="1" containsInteger="1" minValue="1" maxValue="50"/>
    </cacheField>
    <cacheField name="FULL NAME" numFmtId="0">
      <sharedItems/>
    </cacheField>
    <cacheField name="PREFIX" numFmtId="0">
      <sharedItems/>
    </cacheField>
    <cacheField name="FIRSTNAME" numFmtId="0">
      <sharedItems/>
    </cacheField>
    <cacheField name="MIDDLENAME" numFmtId="0">
      <sharedItems containsBlank="1"/>
    </cacheField>
    <cacheField name="LASTNAME" numFmtId="0">
      <sharedItems/>
    </cacheField>
    <cacheField name="BIRTHDATE" numFmtId="0">
      <sharedItems containsSemiMixedTypes="0" containsString="0" containsNumber="1" containsInteger="1" minValue="1955" maxValue="1999"/>
    </cacheField>
    <cacheField name="BIRTH DATE" numFmtId="166">
      <sharedItems containsSemiMixedTypes="0" containsNonDate="0" containsDate="1" containsString="0" minDate="1955-01-01T00:00:00" maxDate="1999-01-02T00:00:00"/>
    </cacheField>
    <cacheField name="AGE" numFmtId="0">
      <sharedItems containsSemiMixedTypes="0" containsString="0" containsNumber="1" containsInteger="1" minValue="27" maxValue="71"/>
    </cacheField>
    <cacheField name="ZODIAC" numFmtId="0">
      <sharedItems/>
    </cacheField>
    <cacheField name="GENDER" numFmtId="0">
      <sharedItems count="2">
        <s v="Female"/>
        <s v="Male"/>
      </sharedItems>
    </cacheField>
    <cacheField name="COUNTRYCODE" numFmtId="0">
      <sharedItems/>
    </cacheField>
    <cacheField name="COUNTRY NAME" numFmtId="0">
      <sharedItems count="11">
        <s v="USA"/>
        <s v="BRAZIL"/>
        <s v="UK"/>
        <s v="GERMANY"/>
        <s v="AUSTRALIA"/>
        <s v="AUSTRIA"/>
        <s v="FRANCE"/>
        <s v="ARGENTINA"/>
        <s v="SPAIN"/>
        <s v="NETHERLANDS"/>
        <s v="SWEDEN"/>
      </sharedItems>
    </cacheField>
    <cacheField name="LANGUAGE" numFmtId="0">
      <sharedItems/>
    </cacheField>
    <cacheField name="EMAIL" numFmtId="0">
      <sharedItems/>
    </cacheField>
    <cacheField name="BLOODTYPE" numFmtId="0">
      <sharedItems/>
    </cacheField>
    <cacheField name="SPORT LOCATION" numFmtId="0">
      <sharedItems/>
    </cacheField>
    <cacheField name="SPORTS" numFmtId="0">
      <sharedItems count="32">
        <s v="Cycling Track"/>
        <s v="Boxing"/>
        <s v="Football"/>
        <s v="Alpine Skiing"/>
        <s v="Water Polo"/>
        <s v="Fencing"/>
        <s v="Cycling Road"/>
        <s v="Curling"/>
        <s v="Shooting"/>
        <s v="Freestyle Skiing"/>
        <s v="Archery"/>
        <s v="Rugby"/>
        <s v="Canoe Sprint"/>
        <s v="Cycling BMX"/>
        <s v="Handball"/>
        <s v="Cycling Mountain Bike"/>
        <s v="Short Track Speed Skating"/>
        <s v="Basketball"/>
        <s v="Triathlon"/>
        <s v="Equestrian / Dressage"/>
        <s v="Beach Volleyball"/>
        <s v="Canoe Slalom"/>
        <s v="Volleyball"/>
        <s v="Golf"/>
        <s v="Diving"/>
        <s v="Hockey"/>
        <s v="Sailing"/>
        <s v="Athletics"/>
        <s v="Gymnastics Artistic"/>
        <s v="Judo"/>
        <s v="Biathlon"/>
        <s v="Swimming"/>
      </sharedItems>
    </cacheField>
    <cacheField name="SALARY" numFmtId="169">
      <sharedItems containsSemiMixedTypes="0" containsString="0" containsNumber="1" minValue="10.24" maxValue="117.4"/>
    </cacheField>
    <cacheField name="wt." numFmtId="1">
      <sharedItems containsSemiMixedTypes="0" containsString="0" containsNumber="1" containsInteger="1" minValue="46" maxValue="1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Ms. Annie  Abbott"/>
    <s v="Ms."/>
    <s v="Annie"/>
    <m/>
    <s v="Abbott"/>
    <n v="1997"/>
    <d v="1997-01-01T00:00:00"/>
    <x v="0"/>
    <s v="Libra"/>
    <x v="0"/>
    <s v="US"/>
    <x v="0"/>
    <s v="English"/>
    <s v="abbott.annie@xyz.org"/>
    <n v="94"/>
    <s v="A−"/>
    <s v="INDOOR"/>
    <x v="0"/>
    <n v="80.73"/>
  </r>
  <r>
    <n v="2"/>
    <s v="Ms. Aurelie  Liesuchke"/>
    <s v="Ms."/>
    <s v="Aurelie"/>
    <m/>
    <s v="Liesuchke"/>
    <n v="1992"/>
    <d v="1992-01-01T00:00:00"/>
    <x v="1"/>
    <s v="Aquarius"/>
    <x v="0"/>
    <s v="US"/>
    <x v="0"/>
    <s v="English"/>
    <s v="liesuchke.aurelie@xyz.org"/>
    <n v="84"/>
    <s v="O−"/>
    <s v="INDOOR"/>
    <x v="1"/>
    <n v="87.47"/>
  </r>
  <r>
    <n v="3"/>
    <s v="Sr. Tomas Ferreira Filho"/>
    <s v="Sr."/>
    <s v="Tomas"/>
    <s v="Ferreira"/>
    <s v="Filho"/>
    <n v="1969"/>
    <d v="1969-01-01T00:00:00"/>
    <x v="2"/>
    <s v="Cancer"/>
    <x v="1"/>
    <s v="BR"/>
    <x v="1"/>
    <s v="Portuguese"/>
    <s v="filho.tomasxyz.com"/>
    <n v="53"/>
    <s v="A−"/>
    <s v="OUTDOOR"/>
    <x v="2"/>
    <n v="64.72"/>
  </r>
  <r>
    <n v="4"/>
    <s v="Ms. Darby  Cruickshank"/>
    <s v="Ms."/>
    <s v="Darby"/>
    <m/>
    <s v="Cruickshank"/>
    <n v="1975"/>
    <d v="1975-01-01T00:00:00"/>
    <x v="3"/>
    <s v="Taurus"/>
    <x v="0"/>
    <s v="US"/>
    <x v="0"/>
    <s v="English"/>
    <s v="cruickshank.darby@xyz.org"/>
    <n v="49"/>
    <s v="O−"/>
    <s v="OUTDOOR"/>
    <x v="3"/>
    <n v="110.8"/>
  </r>
  <r>
    <n v="5"/>
    <s v="Dr. Jaydon  Borer"/>
    <s v="Dr."/>
    <s v="Jaydon"/>
    <m/>
    <s v="Borer"/>
    <n v="1970"/>
    <d v="1970-01-01T00:00:00"/>
    <x v="4"/>
    <s v="Taurus"/>
    <x v="1"/>
    <s v="US"/>
    <x v="0"/>
    <s v="English"/>
    <s v="borer.jaydon@xyz.org"/>
    <n v="85"/>
    <s v="B−"/>
    <s v="INDOOR"/>
    <x v="4"/>
    <n v="56.92"/>
  </r>
  <r>
    <n v="6"/>
    <s v="Mr. Moriah  Lynch"/>
    <s v="Mr."/>
    <s v="Moriah"/>
    <m/>
    <s v="Lynch"/>
    <n v="1992"/>
    <d v="1992-01-01T00:00:00"/>
    <x v="1"/>
    <s v="Sagittarius"/>
    <x v="1"/>
    <s v="US"/>
    <x v="0"/>
    <s v="English"/>
    <s v="lynch.moriah@xyz.org"/>
    <n v="83"/>
    <s v="O−"/>
    <s v="INDOOR"/>
    <x v="5"/>
    <n v="51.13"/>
  </r>
  <r>
    <n v="7"/>
    <s v="Ms. Amiya  Eichmann"/>
    <s v="Ms."/>
    <s v="Amiya"/>
    <m/>
    <s v="Eichmann"/>
    <n v="1999"/>
    <d v="1999-01-01T00:00:00"/>
    <x v="5"/>
    <s v="Leo"/>
    <x v="0"/>
    <s v="US"/>
    <x v="0"/>
    <s v="English"/>
    <s v="eichmann.amiya@xyz.org"/>
    <n v="61"/>
    <s v="B−"/>
    <s v="OUTDOOR"/>
    <x v="6"/>
    <n v="65.47"/>
  </r>
  <r>
    <n v="8"/>
    <s v="Mr. Pierce  Rau"/>
    <s v="Mr."/>
    <s v="Pierce"/>
    <m/>
    <s v="Rau"/>
    <n v="1963"/>
    <d v="1963-01-01T00:00:00"/>
    <x v="6"/>
    <s v="Taurus"/>
    <x v="1"/>
    <s v="US"/>
    <x v="0"/>
    <s v="English"/>
    <s v="rau.pierce@xyz.org"/>
    <n v="106"/>
    <s v="A+"/>
    <s v="INDOOR"/>
    <x v="7"/>
    <n v="109.9"/>
  </r>
  <r>
    <n v="9"/>
    <s v="Ms. Amelia  Stevens"/>
    <s v="Ms."/>
    <s v="Amelia"/>
    <m/>
    <s v="Stevens"/>
    <n v="1971"/>
    <d v="1971-01-01T00:00:00"/>
    <x v="7"/>
    <s v="Aquarius"/>
    <x v="0"/>
    <s v="GB"/>
    <x v="2"/>
    <s v="English"/>
    <s v="stevens.amelia@xyz.org"/>
    <n v="65"/>
    <s v="A+"/>
    <s v="INDOOR"/>
    <x v="8"/>
    <n v="60.06"/>
  </r>
  <r>
    <n v="10"/>
    <s v="Mr. Toby  Simpson"/>
    <s v="Mr."/>
    <s v="Toby"/>
    <m/>
    <s v="Simpson"/>
    <n v="1964"/>
    <d v="1964-01-01T00:00:00"/>
    <x v="8"/>
    <s v="Sagittarius"/>
    <x v="1"/>
    <s v="GB"/>
    <x v="2"/>
    <s v="English"/>
    <s v="simpson.toby@xyz.org"/>
    <n v="63"/>
    <s v="O+"/>
    <s v="OUTDOOR"/>
    <x v="6"/>
    <n v="32.76"/>
  </r>
  <r>
    <n v="11"/>
    <s v="Sir Ethan  Murphy"/>
    <s v="Sir"/>
    <s v="Ethan"/>
    <m/>
    <s v="Murphy"/>
    <n v="1986"/>
    <d v="1986-01-01T00:00:00"/>
    <x v="9"/>
    <s v="Scorpio"/>
    <x v="1"/>
    <s v="GB"/>
    <x v="2"/>
    <s v="English"/>
    <s v="murphy.ethan@xyz.org"/>
    <n v="104"/>
    <s v="O+"/>
    <s v="OUTDOOR"/>
    <x v="9"/>
    <n v="99.61"/>
  </r>
  <r>
    <n v="12"/>
    <s v="Mrs. Ashley  Wood"/>
    <s v="Mrs."/>
    <s v="Ashley"/>
    <m/>
    <s v="Wood"/>
    <n v="1977"/>
    <d v="1977-01-01T00:00:00"/>
    <x v="10"/>
    <s v="Libra"/>
    <x v="0"/>
    <s v="GB"/>
    <x v="2"/>
    <s v="English"/>
    <s v="wood.ashley@xyz.org"/>
    <n v="101"/>
    <s v="O+"/>
    <s v="OUTDOOR"/>
    <x v="10"/>
    <n v="56.6"/>
  </r>
  <r>
    <n v="13"/>
    <s v="Ms. Megan  Scott"/>
    <s v="Ms."/>
    <s v="Megan"/>
    <m/>
    <s v="Scott"/>
    <n v="1977"/>
    <d v="1977-01-01T00:00:00"/>
    <x v="10"/>
    <s v="Aquarius"/>
    <x v="0"/>
    <s v="GB"/>
    <x v="2"/>
    <s v="English"/>
    <s v="scott.megan@xyz.org"/>
    <n v="71"/>
    <s v="A−"/>
    <s v="OUTDOOR"/>
    <x v="11"/>
    <n v="117.4"/>
  </r>
  <r>
    <n v="14"/>
    <s v="Hr. Helmut  Weinhae"/>
    <s v="Hr."/>
    <s v="Helmut"/>
    <m/>
    <s v="Weinhae"/>
    <n v="1959"/>
    <d v="1959-01-01T00:00:00"/>
    <x v="11"/>
    <s v="Virgo"/>
    <x v="1"/>
    <s v="DE"/>
    <x v="3"/>
    <s v="German"/>
    <s v="weinhae.helmutxyz.com"/>
    <n v="68"/>
    <s v="A+"/>
    <s v="OUTDOOR"/>
    <x v="12"/>
    <n v="64.86"/>
  </r>
  <r>
    <n v="15"/>
    <s v="Prof. Milena  Schotin"/>
    <s v="Prof."/>
    <s v="Milena"/>
    <m/>
    <s v="Schotin"/>
    <n v="1965"/>
    <d v="1965-01-01T00:00:00"/>
    <x v="12"/>
    <s v="Pisces"/>
    <x v="0"/>
    <s v="DE"/>
    <x v="3"/>
    <s v="German"/>
    <s v="schotin.milenaxyz.com"/>
    <n v="105"/>
    <s v="O+"/>
    <s v="INDOOR"/>
    <x v="13"/>
    <n v="10.24"/>
  </r>
  <r>
    <n v="16"/>
    <s v="Hr. Lothar  Birnbaum"/>
    <s v="Hr."/>
    <s v="Lothar"/>
    <m/>
    <s v="Birnbaum"/>
    <n v="1969"/>
    <d v="1969-01-01T00:00:00"/>
    <x v="2"/>
    <s v="Cancer"/>
    <x v="1"/>
    <s v="DE"/>
    <x v="3"/>
    <s v="German"/>
    <s v="birnbaum.lotharxyz.com"/>
    <n v="49"/>
    <s v="O+"/>
    <s v="OUTDOOR"/>
    <x v="3"/>
    <n v="88.76"/>
  </r>
  <r>
    <n v="17"/>
    <s v="Hr. Pietro  Stolze"/>
    <s v="Hr."/>
    <s v="Pietro"/>
    <m/>
    <s v="Stolze"/>
    <n v="1972"/>
    <d v="1972-01-01T00:00:00"/>
    <x v="13"/>
    <s v="Libra"/>
    <x v="1"/>
    <s v="DE"/>
    <x v="3"/>
    <s v="German"/>
    <s v="stolze.pietroxyz.com"/>
    <n v="106"/>
    <s v="A−"/>
    <s v="INDOOR"/>
    <x v="14"/>
    <n v="80.760000000000005"/>
  </r>
  <r>
    <n v="18"/>
    <s v="Hr. Richard  Tlustek"/>
    <s v="Hr."/>
    <s v="Richard"/>
    <m/>
    <s v="Tlustek"/>
    <n v="1959"/>
    <d v="1959-01-01T00:00:00"/>
    <x v="11"/>
    <s v="Virgo"/>
    <x v="1"/>
    <s v="DE"/>
    <x v="3"/>
    <s v="German"/>
    <s v="tlustek.richardxyz.com"/>
    <n v="71"/>
    <s v="A−"/>
    <s v="OUTDOOR"/>
    <x v="15"/>
    <n v="88.79"/>
  </r>
  <r>
    <n v="19"/>
    <s v="Dr. Earnestine  Raynor"/>
    <s v="Dr."/>
    <s v="Earnestine"/>
    <m/>
    <s v="Raynor"/>
    <n v="1977"/>
    <d v="1977-01-01T00:00:00"/>
    <x v="10"/>
    <s v="Taurus"/>
    <x v="0"/>
    <s v="OZ"/>
    <x v="4"/>
    <s v="English"/>
    <s v="raynor.earnestine@xyz.org"/>
    <n v="70"/>
    <s v="A+"/>
    <s v="INDOOR"/>
    <x v="16"/>
    <n v="63.53"/>
  </r>
  <r>
    <n v="20"/>
    <s v="Mr. Jason  Gaylord"/>
    <s v="Mr."/>
    <s v="Jason"/>
    <m/>
    <s v="Gaylord"/>
    <n v="1976"/>
    <d v="1976-01-01T00:00:00"/>
    <x v="14"/>
    <s v="Capricorn"/>
    <x v="1"/>
    <s v="OZ"/>
    <x v="4"/>
    <s v="English"/>
    <s v="gaylord.jason@xyz.org"/>
    <n v="55"/>
    <s v="O−"/>
    <s v="INDOOR"/>
    <x v="17"/>
    <n v="46.35"/>
  </r>
  <r>
    <n v="21"/>
    <s v="Mr. Kendrick  Sauer"/>
    <s v="Mr."/>
    <s v="Kendrick"/>
    <m/>
    <s v="Sauer"/>
    <n v="1996"/>
    <d v="1996-01-01T00:00:00"/>
    <x v="15"/>
    <s v="Cancer"/>
    <x v="1"/>
    <s v="OZ"/>
    <x v="4"/>
    <s v="English"/>
    <s v="sauer.kendrick@xyz.org"/>
    <n v="101"/>
    <s v="B−"/>
    <s v="OUTDOOR"/>
    <x v="18"/>
    <n v="106.8"/>
  </r>
  <r>
    <n v="22"/>
    <s v="Dr. Annabell  Olson"/>
    <s v="Dr."/>
    <s v="Annabell"/>
    <m/>
    <s v="Olson"/>
    <n v="1964"/>
    <d v="1964-01-01T00:00:00"/>
    <x v="8"/>
    <s v="Aries"/>
    <x v="0"/>
    <s v="OZ"/>
    <x v="4"/>
    <s v="English"/>
    <s v="olson.annabell@xyz.org"/>
    <n v="84"/>
    <s v="A+"/>
    <s v="OUTDOOR"/>
    <x v="19"/>
    <n v="96.47"/>
  </r>
  <r>
    <n v="23"/>
    <s v="Dr. Jena  Upton"/>
    <s v="Dr."/>
    <s v="Jena"/>
    <m/>
    <s v="Upton"/>
    <n v="1955"/>
    <d v="1955-01-01T00:00:00"/>
    <x v="16"/>
    <s v="Sagittarius"/>
    <x v="0"/>
    <s v="OZ"/>
    <x v="4"/>
    <s v="English"/>
    <s v="upton.jena@xyz.org"/>
    <n v="67"/>
    <s v="O+"/>
    <s v="OUTDOOR"/>
    <x v="20"/>
    <n v="16.53"/>
  </r>
  <r>
    <n v="24"/>
    <s v="Dr. Shanny  Bins"/>
    <s v="Dr."/>
    <s v="Shanny"/>
    <m/>
    <s v="Bins"/>
    <n v="1999"/>
    <d v="1999-01-01T00:00:00"/>
    <x v="5"/>
    <s v="Virgo"/>
    <x v="0"/>
    <s v="OZ"/>
    <x v="4"/>
    <s v="English"/>
    <s v="bins.shanny@xyz.org"/>
    <n v="59"/>
    <s v="B−"/>
    <s v="OUTDOOR"/>
    <x v="21"/>
    <n v="21.89"/>
  </r>
  <r>
    <n v="25"/>
    <s v="Dr. Tia  Abshire"/>
    <s v="Dr."/>
    <s v="Tia"/>
    <m/>
    <s v="Abshire"/>
    <n v="1966"/>
    <d v="1966-01-01T00:00:00"/>
    <x v="17"/>
    <s v="Cancer"/>
    <x v="0"/>
    <s v="OZ"/>
    <x v="4"/>
    <s v="English"/>
    <s v="abshire.tia@xyz.org"/>
    <n v="78"/>
    <s v="A+"/>
    <s v="OUTDOOR"/>
    <x v="6"/>
    <n v="62.04"/>
  </r>
  <r>
    <n v="26"/>
    <s v="Ms. Isabel  Runolfsdottir"/>
    <s v="Ms."/>
    <s v="Isabel"/>
    <m/>
    <s v="Runolfsdottir"/>
    <n v="1978"/>
    <d v="1978-01-01T00:00:00"/>
    <x v="18"/>
    <s v="Aries"/>
    <x v="0"/>
    <s v="OZ"/>
    <x v="4"/>
    <s v="English"/>
    <s v="runolfsdottir.isabel@xyz.org"/>
    <n v="86"/>
    <s v="B+"/>
    <s v="INDOOR"/>
    <x v="0"/>
    <n v="89.74"/>
  </r>
  <r>
    <n v="27"/>
    <s v="Hr. Barney  Wesack"/>
    <s v="Hr."/>
    <s v="Barney"/>
    <m/>
    <s v="Wesack"/>
    <n v="1970"/>
    <d v="1970-01-01T00:00:00"/>
    <x v="4"/>
    <s v="Cancer"/>
    <x v="1"/>
    <s v="AU"/>
    <x v="5"/>
    <s v="German"/>
    <s v="wesack.barneyxyz.com"/>
    <n v="93"/>
    <s v="B+"/>
    <s v="INDOOR"/>
    <x v="22"/>
    <n v="41.04"/>
  </r>
  <r>
    <n v="28"/>
    <s v="Hr. Baruch  Kade"/>
    <s v="Hr."/>
    <s v="Baruch"/>
    <m/>
    <s v="Kade"/>
    <n v="1982"/>
    <d v="1982-01-01T00:00:00"/>
    <x v="19"/>
    <s v="Pisces"/>
    <x v="1"/>
    <s v="AU"/>
    <x v="5"/>
    <s v="German"/>
    <s v="kade.baruchxyz.com"/>
    <n v="96"/>
    <s v="O−"/>
    <s v="OUTDOOR"/>
    <x v="11"/>
    <n v="28.46"/>
  </r>
  <r>
    <n v="29"/>
    <s v="Prof. Liesbeth  Rosemann"/>
    <s v="Prof."/>
    <s v="Liesbeth"/>
    <m/>
    <s v="Rosemann"/>
    <n v="1994"/>
    <d v="1994-01-01T00:00:00"/>
    <x v="20"/>
    <s v="Aquarius"/>
    <x v="0"/>
    <s v="AU"/>
    <x v="5"/>
    <s v="German"/>
    <s v="rosemann.liesbethxyz.com"/>
    <n v="52"/>
    <s v="O+"/>
    <s v="OUTDOOR"/>
    <x v="6"/>
    <n v="55.01"/>
  </r>
  <r>
    <n v="30"/>
    <s v="Mme. Valentine  Moreau"/>
    <s v="Mme."/>
    <s v="Valentine"/>
    <m/>
    <s v="Moreau"/>
    <n v="1979"/>
    <d v="1979-01-01T00:00:00"/>
    <x v="21"/>
    <s v="Libra"/>
    <x v="0"/>
    <s v="FR"/>
    <x v="6"/>
    <s v="French"/>
    <s v="moreau.valentinexyz.com"/>
    <n v="75"/>
    <s v="B+"/>
    <s v="OUTDOOR"/>
    <x v="23"/>
    <n v="69.040000000000006"/>
  </r>
  <r>
    <n v="31"/>
    <s v="Mme. Paulette  Durand"/>
    <s v="Mme."/>
    <s v="Paulette"/>
    <m/>
    <s v="Durand"/>
    <n v="1989"/>
    <d v="1989-01-01T00:00:00"/>
    <x v="22"/>
    <s v="Capricorn"/>
    <x v="0"/>
    <s v="FR"/>
    <x v="6"/>
    <s v="French"/>
    <s v="durand.paulettexyz.com"/>
    <n v="82"/>
    <s v="O−"/>
    <s v="INDOOR"/>
    <x v="22"/>
    <n v="86.26"/>
  </r>
  <r>
    <n v="32"/>
    <s v="Mme. Laure-Alix  Chevalier"/>
    <s v="Mme."/>
    <s v="Laure-Alix"/>
    <m/>
    <s v="Chevalier"/>
    <n v="1970"/>
    <d v="1970-01-01T00:00:00"/>
    <x v="4"/>
    <s v="Capricorn"/>
    <x v="0"/>
    <s v="FR"/>
    <x v="6"/>
    <s v="French"/>
    <s v="chevalier.laure-alixxyz.com"/>
    <n v="78"/>
    <s v="O+"/>
    <s v="OUTDOOR"/>
    <x v="20"/>
    <n v="19.23"/>
  </r>
  <r>
    <n v="33"/>
    <s v="M. Claude  Toussaint"/>
    <s v="M."/>
    <s v="Claude"/>
    <m/>
    <s v="Toussaint"/>
    <n v="1980"/>
    <d v="1980-01-01T00:00:00"/>
    <x v="23"/>
    <s v="Scorpio"/>
    <x v="1"/>
    <s v="FR"/>
    <x v="6"/>
    <s v="French"/>
    <s v="toussaint.claudexyz.com"/>
    <n v="57"/>
    <s v="O+"/>
    <s v="INDOOR"/>
    <x v="24"/>
    <n v="95.12"/>
  </r>
  <r>
    <n v="34"/>
    <s v="M. Victor  Lenoir"/>
    <s v="M."/>
    <s v="Victor"/>
    <m/>
    <s v="Lenoir"/>
    <n v="1981"/>
    <d v="1981-01-01T00:00:00"/>
    <x v="24"/>
    <s v="Libra"/>
    <x v="1"/>
    <s v="FR"/>
    <x v="6"/>
    <s v="French"/>
    <s v="lenoir.victorxyz.com"/>
    <n v="56"/>
    <s v="B+"/>
    <s v="OUTDOOR"/>
    <x v="18"/>
    <n v="62.76"/>
  </r>
  <r>
    <n v="35"/>
    <s v="M. Arthur  Lenoir"/>
    <s v="M."/>
    <s v="Arthur"/>
    <m/>
    <s v="Lenoir"/>
    <n v="1955"/>
    <d v="1955-01-01T00:00:00"/>
    <x v="16"/>
    <s v="Leo"/>
    <x v="1"/>
    <s v="FR"/>
    <x v="6"/>
    <s v="French"/>
    <s v="lenoir.arthurxyz.com"/>
    <n v="89"/>
    <s v="O+"/>
    <s v="OUTDOOR"/>
    <x v="25"/>
    <n v="108.4"/>
  </r>
  <r>
    <n v="36"/>
    <s v="M. Benjamin  Lebrun-Brun"/>
    <s v="M."/>
    <s v="Benjamin"/>
    <m/>
    <s v="Lebrun-Brun"/>
    <n v="1975"/>
    <d v="1975-01-01T00:00:00"/>
    <x v="3"/>
    <s v="Aquarius"/>
    <x v="1"/>
    <s v="FR"/>
    <x v="6"/>
    <s v="French"/>
    <s v="lebrun-brun.benjaminxyz.com"/>
    <n v="78"/>
    <s v="O−"/>
    <s v="OUTDOOR"/>
    <x v="18"/>
    <n v="66.27"/>
  </r>
  <r>
    <n v="37"/>
    <s v="M. Antoine  Maillard"/>
    <s v="M."/>
    <s v="Antoine"/>
    <m/>
    <s v="Maillard"/>
    <n v="1986"/>
    <d v="1986-01-01T00:00:00"/>
    <x v="9"/>
    <s v="Cancer"/>
    <x v="1"/>
    <s v="FR"/>
    <x v="6"/>
    <s v="French"/>
    <s v="maillard.antoinexyz.com"/>
    <n v="96"/>
    <s v="B−"/>
    <s v="OUTDOOR"/>
    <x v="26"/>
    <n v="33.97"/>
  </r>
  <r>
    <n v="38"/>
    <s v="M. Bernard  Hoarau-Guyon"/>
    <s v="M."/>
    <s v="Bernard"/>
    <m/>
    <s v="Hoarau-Guyon"/>
    <n v="1983"/>
    <d v="1983-01-01T00:00:00"/>
    <x v="25"/>
    <s v="Capricorn"/>
    <x v="1"/>
    <s v="FR"/>
    <x v="6"/>
    <s v="French"/>
    <s v="hoarau-guyon.bernardxyz.com"/>
    <n v="60"/>
    <s v="O−"/>
    <s v="INDOOR"/>
    <x v="0"/>
    <n v="71.349999999999994"/>
  </r>
  <r>
    <n v="39"/>
    <s v="Sr. Hidalgo Cantu Tercero"/>
    <s v="Sr."/>
    <s v="Hidalgo"/>
    <s v="Cantu"/>
    <s v="Tercero"/>
    <n v="1984"/>
    <d v="1984-01-01T00:00:00"/>
    <x v="26"/>
    <s v="Sagittarius"/>
    <x v="1"/>
    <s v="AG"/>
    <x v="7"/>
    <s v="Spanish"/>
    <s v="tercero.hidalgoxyz.com"/>
    <n v="78"/>
    <s v="B−"/>
    <s v="OUTDOOR"/>
    <x v="21"/>
    <n v="116.4"/>
  </r>
  <r>
    <n v="40"/>
    <s v="Sr. Hadalgo  Polanco"/>
    <s v="Sr."/>
    <s v="Hadalgo"/>
    <m/>
    <s v="Polanco"/>
    <n v="1988"/>
    <d v="1988-01-01T00:00:00"/>
    <x v="27"/>
    <s v="Gemini"/>
    <x v="1"/>
    <s v="AG"/>
    <x v="7"/>
    <s v="Spanish"/>
    <s v="polanco.hadalgoxyz.com"/>
    <n v="98"/>
    <s v="A−"/>
    <s v="OUTDOOR"/>
    <x v="20"/>
    <n v="114.1"/>
  </r>
  <r>
    <n v="41"/>
    <s v="Sra. Laura  Oliviera"/>
    <s v="Sra."/>
    <s v="Laura"/>
    <m/>
    <s v="Oliviera"/>
    <n v="1974"/>
    <d v="1974-01-01T00:00:00"/>
    <x v="28"/>
    <s v="Aquarius"/>
    <x v="0"/>
    <s v="AG"/>
    <x v="7"/>
    <s v="Spanish"/>
    <s v="oliviera.lauraxyz.com"/>
    <n v="52"/>
    <s v="O−"/>
    <s v="OUTDOOR"/>
    <x v="27"/>
    <n v="79.87"/>
  </r>
  <r>
    <n v="42"/>
    <s v="Sra. Ainhoa  Garza"/>
    <s v="Sra."/>
    <s v="Ainhoa"/>
    <m/>
    <s v="Garza"/>
    <n v="1990"/>
    <d v="1990-01-01T00:00:00"/>
    <x v="29"/>
    <s v="Pisces"/>
    <x v="0"/>
    <s v="ES"/>
    <x v="8"/>
    <s v="Spanish"/>
    <s v="garza.ainhoaxyz.com"/>
    <n v="56"/>
    <s v="O+"/>
    <s v="INDOOR"/>
    <x v="28"/>
    <n v="102"/>
  </r>
  <r>
    <n v="43"/>
    <s v="Sra. Isabel  Banda"/>
    <s v="Sra."/>
    <s v="Isabel"/>
    <m/>
    <s v="Banda"/>
    <n v="1960"/>
    <d v="1960-01-01T00:00:00"/>
    <x v="30"/>
    <s v="Capricorn"/>
    <x v="0"/>
    <s v="ES"/>
    <x v="8"/>
    <s v="Spanish"/>
    <s v="banda.isabelxyz.com"/>
    <n v="102"/>
    <s v="O+"/>
    <s v="OUTDOOR"/>
    <x v="21"/>
    <n v="50.66"/>
  </r>
  <r>
    <n v="44"/>
    <s v="Sra. Carolota  Mateos"/>
    <s v="Sra."/>
    <s v="Carolota"/>
    <m/>
    <s v="Mateos"/>
    <n v="1965"/>
    <d v="1965-01-01T00:00:00"/>
    <x v="12"/>
    <s v="Leo"/>
    <x v="0"/>
    <s v="ES"/>
    <x v="8"/>
    <s v="Spanish"/>
    <s v="mateos.carolotaxyz.com"/>
    <n v="59"/>
    <s v="O−"/>
    <s v="OUTDOOR"/>
    <x v="27"/>
    <n v="58.22"/>
  </r>
  <r>
    <n v="45"/>
    <s v="Mw. Elize  Prins"/>
    <s v="Mw."/>
    <s v="Elize"/>
    <m/>
    <s v="Prins"/>
    <n v="1960"/>
    <d v="1960-01-01T00:00:00"/>
    <x v="30"/>
    <s v="Taurus"/>
    <x v="0"/>
    <s v="DU"/>
    <x v="9"/>
    <s v="Dutch"/>
    <s v="prins.elizexyz.com"/>
    <n v="64"/>
    <s v="O+"/>
    <s v="INDOOR"/>
    <x v="29"/>
    <n v="39.94"/>
  </r>
  <r>
    <n v="46"/>
    <s v="dhr. Ryan  Pham"/>
    <s v="dhr."/>
    <s v="Ryan"/>
    <m/>
    <s v="Pham"/>
    <n v="1973"/>
    <d v="1973-01-01T00:00:00"/>
    <x v="31"/>
    <s v="Libra"/>
    <x v="1"/>
    <s v="DU"/>
    <x v="9"/>
    <s v="Dutch"/>
    <s v="pham.ryanxyz.com"/>
    <n v="99"/>
    <s v="B+"/>
    <s v="OUTDOOR"/>
    <x v="20"/>
    <n v="44.87"/>
  </r>
  <r>
    <n v="47"/>
    <s v="Mw Elise  Rotteveel"/>
    <s v="Mw"/>
    <s v="Elise"/>
    <m/>
    <s v="Rotteveel"/>
    <n v="1968"/>
    <d v="1968-01-01T00:00:00"/>
    <x v="32"/>
    <s v="Aries"/>
    <x v="0"/>
    <s v="DU"/>
    <x v="9"/>
    <s v="Dutch"/>
    <s v="rotteveel.elisexyz.com"/>
    <n v="62"/>
    <s v="O−"/>
    <s v="OUTDOOR"/>
    <x v="20"/>
    <n v="90.48"/>
  </r>
  <r>
    <n v="48"/>
    <s v="Fru. Mirjam  Soderberg"/>
    <s v="Fru."/>
    <s v="Mirjam"/>
    <m/>
    <s v="Soderberg"/>
    <n v="1997"/>
    <d v="1997-01-01T00:00:00"/>
    <x v="0"/>
    <s v="Taurus"/>
    <x v="0"/>
    <s v="SV"/>
    <x v="10"/>
    <s v="Swedish"/>
    <s v="soderberg.mirjamxyz.com"/>
    <n v="50"/>
    <s v="O+"/>
    <s v="OUTDOOR"/>
    <x v="2"/>
    <n v="38.97"/>
  </r>
  <r>
    <n v="49"/>
    <s v="H. Berndt  Palsson"/>
    <s v="H."/>
    <s v="Berndt"/>
    <m/>
    <s v="Palsson"/>
    <n v="1987"/>
    <d v="1987-01-01T00:00:00"/>
    <x v="33"/>
    <s v="Pisces"/>
    <x v="1"/>
    <s v="SV"/>
    <x v="10"/>
    <s v="Swedish"/>
    <s v="palsson.berndtxyz.com"/>
    <n v="46"/>
    <s v="A−"/>
    <s v="OUTDOOR"/>
    <x v="30"/>
    <n v="35.39"/>
  </r>
  <r>
    <n v="50"/>
    <s v="Sr. Adriano Pontes Sobrinho"/>
    <s v="Sr."/>
    <s v="Adriano"/>
    <s v="Pontes"/>
    <s v="Sobrinho"/>
    <n v="1993"/>
    <d v="1993-01-01T00:00:00"/>
    <x v="34"/>
    <s v="Leo"/>
    <x v="1"/>
    <s v="PR"/>
    <x v="1"/>
    <s v="Portuguese"/>
    <s v="sobrinho.adrianoxyz.com"/>
    <n v="93"/>
    <s v="A+"/>
    <s v="INDOOR"/>
    <x v="31"/>
    <n v="20.5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Ms. Annie  Abbott"/>
    <s v="Ms."/>
    <s v="Annie"/>
    <m/>
    <s v="Abbott"/>
    <n v="1997"/>
    <d v="1997-01-01T00:00:00"/>
    <n v="29"/>
    <s v="Libra"/>
    <x v="0"/>
    <s v="US"/>
    <x v="0"/>
    <s v="English"/>
    <s v="abbott.annie@xyz.org"/>
    <s v="A−"/>
    <s v="INDOOR"/>
    <x v="0"/>
    <n v="80.73"/>
    <n v="94"/>
  </r>
  <r>
    <n v="2"/>
    <s v="Ms. Aurelie  Liesuchke"/>
    <s v="Ms."/>
    <s v="Aurelie"/>
    <m/>
    <s v="Liesuchke"/>
    <n v="1992"/>
    <d v="1992-01-01T00:00:00"/>
    <n v="34"/>
    <s v="Aquarius"/>
    <x v="0"/>
    <s v="US"/>
    <x v="0"/>
    <s v="English"/>
    <s v="liesuchke.aurelie@xyz.org"/>
    <s v="O−"/>
    <s v="INDOOR"/>
    <x v="1"/>
    <n v="87.47"/>
    <n v="84"/>
  </r>
  <r>
    <n v="3"/>
    <s v="Sr. Tomas Ferreira Filho"/>
    <s v="Sr."/>
    <s v="Tomas"/>
    <s v="Ferreira"/>
    <s v="Filho"/>
    <n v="1969"/>
    <d v="1969-01-01T00:00:00"/>
    <n v="57"/>
    <s v="Cancer"/>
    <x v="1"/>
    <s v="BR"/>
    <x v="1"/>
    <s v="Portuguese"/>
    <s v="filho.tomasxyz.com"/>
    <s v="A−"/>
    <s v="OUTDOOR"/>
    <x v="2"/>
    <n v="64.72"/>
    <n v="53"/>
  </r>
  <r>
    <n v="4"/>
    <s v="Ms. Darby  Cruickshank"/>
    <s v="Ms."/>
    <s v="Darby"/>
    <m/>
    <s v="Cruickshank"/>
    <n v="1975"/>
    <d v="1975-01-01T00:00:00"/>
    <n v="51"/>
    <s v="Taurus"/>
    <x v="0"/>
    <s v="US"/>
    <x v="0"/>
    <s v="English"/>
    <s v="cruickshank.darby@xyz.org"/>
    <s v="O−"/>
    <s v="OUTDOOR"/>
    <x v="3"/>
    <n v="110.8"/>
    <n v="49"/>
  </r>
  <r>
    <n v="5"/>
    <s v="Dr. Jaydon  Borer"/>
    <s v="Dr."/>
    <s v="Jaydon"/>
    <m/>
    <s v="Borer"/>
    <n v="1970"/>
    <d v="1970-01-01T00:00:00"/>
    <n v="56"/>
    <s v="Taurus"/>
    <x v="1"/>
    <s v="US"/>
    <x v="0"/>
    <s v="English"/>
    <s v="borer.jaydon@xyz.org"/>
    <s v="B−"/>
    <s v="INDOOR"/>
    <x v="4"/>
    <n v="56.92"/>
    <n v="85"/>
  </r>
  <r>
    <n v="6"/>
    <s v="Mr. Moriah  Lynch"/>
    <s v="Mr."/>
    <s v="Moriah"/>
    <m/>
    <s v="Lynch"/>
    <n v="1992"/>
    <d v="1992-01-01T00:00:00"/>
    <n v="34"/>
    <s v="Sagittarius"/>
    <x v="1"/>
    <s v="US"/>
    <x v="0"/>
    <s v="English"/>
    <s v="lynch.moriah@xyz.org"/>
    <s v="O−"/>
    <s v="INDOOR"/>
    <x v="5"/>
    <n v="51.13"/>
    <n v="83"/>
  </r>
  <r>
    <n v="7"/>
    <s v="Ms. Amiya  Eichmann"/>
    <s v="Ms."/>
    <s v="Amiya"/>
    <m/>
    <s v="Eichmann"/>
    <n v="1999"/>
    <d v="1999-01-01T00:00:00"/>
    <n v="27"/>
    <s v="Leo"/>
    <x v="0"/>
    <s v="US"/>
    <x v="0"/>
    <s v="English"/>
    <s v="eichmann.amiya@xyz.org"/>
    <s v="B−"/>
    <s v="OUTDOOR"/>
    <x v="6"/>
    <n v="65.47"/>
    <n v="61"/>
  </r>
  <r>
    <n v="8"/>
    <s v="Mr. Pierce  Rau"/>
    <s v="Mr."/>
    <s v="Pierce"/>
    <m/>
    <s v="Rau"/>
    <n v="1963"/>
    <d v="1963-01-01T00:00:00"/>
    <n v="63"/>
    <s v="Taurus"/>
    <x v="1"/>
    <s v="US"/>
    <x v="0"/>
    <s v="English"/>
    <s v="rau.pierce@xyz.org"/>
    <s v="A+"/>
    <s v="INDOOR"/>
    <x v="7"/>
    <n v="109.9"/>
    <n v="106"/>
  </r>
  <r>
    <n v="9"/>
    <s v="Ms. Amelia  Stevens"/>
    <s v="Ms."/>
    <s v="Amelia"/>
    <m/>
    <s v="Stevens"/>
    <n v="1971"/>
    <d v="1971-01-01T00:00:00"/>
    <n v="55"/>
    <s v="Aquarius"/>
    <x v="0"/>
    <s v="GB"/>
    <x v="2"/>
    <s v="English"/>
    <s v="stevens.amelia@xyz.org"/>
    <s v="A+"/>
    <s v="INDOOR"/>
    <x v="8"/>
    <n v="60.06"/>
    <n v="65"/>
  </r>
  <r>
    <n v="10"/>
    <s v="Mr. Toby  Simpson"/>
    <s v="Mr."/>
    <s v="Toby"/>
    <m/>
    <s v="Simpson"/>
    <n v="1964"/>
    <d v="1964-01-01T00:00:00"/>
    <n v="62"/>
    <s v="Sagittarius"/>
    <x v="1"/>
    <s v="GB"/>
    <x v="2"/>
    <s v="English"/>
    <s v="simpson.toby@xyz.org"/>
    <s v="O+"/>
    <s v="OUTDOOR"/>
    <x v="6"/>
    <n v="32.76"/>
    <n v="63"/>
  </r>
  <r>
    <n v="11"/>
    <s v="Sir Ethan  Murphy"/>
    <s v="Sir"/>
    <s v="Ethan"/>
    <m/>
    <s v="Murphy"/>
    <n v="1986"/>
    <d v="1986-01-01T00:00:00"/>
    <n v="40"/>
    <s v="Scorpio"/>
    <x v="1"/>
    <s v="GB"/>
    <x v="2"/>
    <s v="English"/>
    <s v="murphy.ethan@xyz.org"/>
    <s v="O+"/>
    <s v="OUTDOOR"/>
    <x v="9"/>
    <n v="99.61"/>
    <n v="104"/>
  </r>
  <r>
    <n v="12"/>
    <s v="Mrs. Ashley  Wood"/>
    <s v="Mrs."/>
    <s v="Ashley"/>
    <m/>
    <s v="Wood"/>
    <n v="1977"/>
    <d v="1977-01-01T00:00:00"/>
    <n v="49"/>
    <s v="Libra"/>
    <x v="0"/>
    <s v="GB"/>
    <x v="2"/>
    <s v="English"/>
    <s v="wood.ashley@xyz.org"/>
    <s v="O+"/>
    <s v="OUTDOOR"/>
    <x v="10"/>
    <n v="56.6"/>
    <n v="101"/>
  </r>
  <r>
    <n v="13"/>
    <s v="Ms. Megan  Scott"/>
    <s v="Ms."/>
    <s v="Megan"/>
    <m/>
    <s v="Scott"/>
    <n v="1977"/>
    <d v="1977-01-01T00:00:00"/>
    <n v="49"/>
    <s v="Aquarius"/>
    <x v="0"/>
    <s v="GB"/>
    <x v="2"/>
    <s v="English"/>
    <s v="scott.megan@xyz.org"/>
    <s v="A−"/>
    <s v="OUTDOOR"/>
    <x v="11"/>
    <n v="117.4"/>
    <n v="71"/>
  </r>
  <r>
    <n v="14"/>
    <s v="Hr. Helmut  Weinhae"/>
    <s v="Hr."/>
    <s v="Helmut"/>
    <m/>
    <s v="Weinhae"/>
    <n v="1959"/>
    <d v="1959-01-01T00:00:00"/>
    <n v="67"/>
    <s v="Virgo"/>
    <x v="1"/>
    <s v="DE"/>
    <x v="3"/>
    <s v="German"/>
    <s v="weinhae.helmutxyz.com"/>
    <s v="A+"/>
    <s v="OUTDOOR"/>
    <x v="12"/>
    <n v="64.86"/>
    <n v="68"/>
  </r>
  <r>
    <n v="15"/>
    <s v="Prof. Milena  Schotin"/>
    <s v="Prof."/>
    <s v="Milena"/>
    <m/>
    <s v="Schotin"/>
    <n v="1965"/>
    <d v="1965-01-01T00:00:00"/>
    <n v="61"/>
    <s v="Pisces"/>
    <x v="0"/>
    <s v="DE"/>
    <x v="3"/>
    <s v="German"/>
    <s v="schotin.milenaxyz.com"/>
    <s v="O+"/>
    <s v="INDOOR"/>
    <x v="13"/>
    <n v="10.24"/>
    <n v="105"/>
  </r>
  <r>
    <n v="16"/>
    <s v="Hr. Lothar  Birnbaum"/>
    <s v="Hr."/>
    <s v="Lothar"/>
    <m/>
    <s v="Birnbaum"/>
    <n v="1969"/>
    <d v="1969-01-01T00:00:00"/>
    <n v="57"/>
    <s v="Cancer"/>
    <x v="1"/>
    <s v="DE"/>
    <x v="3"/>
    <s v="German"/>
    <s v="birnbaum.lotharxyz.com"/>
    <s v="O+"/>
    <s v="OUTDOOR"/>
    <x v="3"/>
    <n v="88.76"/>
    <n v="49"/>
  </r>
  <r>
    <n v="17"/>
    <s v="Hr. Pietro  Stolze"/>
    <s v="Hr."/>
    <s v="Pietro"/>
    <m/>
    <s v="Stolze"/>
    <n v="1972"/>
    <d v="1972-01-01T00:00:00"/>
    <n v="54"/>
    <s v="Libra"/>
    <x v="1"/>
    <s v="DE"/>
    <x v="3"/>
    <s v="German"/>
    <s v="stolze.pietroxyz.com"/>
    <s v="A−"/>
    <s v="INDOOR"/>
    <x v="14"/>
    <n v="80.760000000000005"/>
    <n v="106"/>
  </r>
  <r>
    <n v="18"/>
    <s v="Hr. Richard  Tlustek"/>
    <s v="Hr."/>
    <s v="Richard"/>
    <m/>
    <s v="Tlustek"/>
    <n v="1959"/>
    <d v="1959-01-01T00:00:00"/>
    <n v="67"/>
    <s v="Virgo"/>
    <x v="1"/>
    <s v="DE"/>
    <x v="3"/>
    <s v="German"/>
    <s v="tlustek.richardxyz.com"/>
    <s v="A−"/>
    <s v="OUTDOOR"/>
    <x v="15"/>
    <n v="88.79"/>
    <n v="71"/>
  </r>
  <r>
    <n v="19"/>
    <s v="Dr. Earnestine  Raynor"/>
    <s v="Dr."/>
    <s v="Earnestine"/>
    <m/>
    <s v="Raynor"/>
    <n v="1977"/>
    <d v="1977-01-01T00:00:00"/>
    <n v="49"/>
    <s v="Taurus"/>
    <x v="0"/>
    <s v="OZ"/>
    <x v="4"/>
    <s v="English"/>
    <s v="raynor.earnestine@xyz.org"/>
    <s v="A+"/>
    <s v="INDOOR"/>
    <x v="16"/>
    <n v="63.53"/>
    <n v="70"/>
  </r>
  <r>
    <n v="20"/>
    <s v="Mr. Jason  Gaylord"/>
    <s v="Mr."/>
    <s v="Jason"/>
    <m/>
    <s v="Gaylord"/>
    <n v="1976"/>
    <d v="1976-01-01T00:00:00"/>
    <n v="50"/>
    <s v="Capricorn"/>
    <x v="1"/>
    <s v="OZ"/>
    <x v="4"/>
    <s v="English"/>
    <s v="gaylord.jason@xyz.org"/>
    <s v="O−"/>
    <s v="INDOOR"/>
    <x v="17"/>
    <n v="46.35"/>
    <n v="55"/>
  </r>
  <r>
    <n v="21"/>
    <s v="Mr. Kendrick  Sauer"/>
    <s v="Mr."/>
    <s v="Kendrick"/>
    <m/>
    <s v="Sauer"/>
    <n v="1996"/>
    <d v="1996-01-01T00:00:00"/>
    <n v="30"/>
    <s v="Cancer"/>
    <x v="1"/>
    <s v="OZ"/>
    <x v="4"/>
    <s v="English"/>
    <s v="sauer.kendrick@xyz.org"/>
    <s v="B−"/>
    <s v="OUTDOOR"/>
    <x v="18"/>
    <n v="106.8"/>
    <n v="101"/>
  </r>
  <r>
    <n v="22"/>
    <s v="Dr. Annabell  Olson"/>
    <s v="Dr."/>
    <s v="Annabell"/>
    <m/>
    <s v="Olson"/>
    <n v="1964"/>
    <d v="1964-01-01T00:00:00"/>
    <n v="62"/>
    <s v="Aries"/>
    <x v="0"/>
    <s v="OZ"/>
    <x v="4"/>
    <s v="English"/>
    <s v="olson.annabell@xyz.org"/>
    <s v="A+"/>
    <s v="OUTDOOR"/>
    <x v="19"/>
    <n v="96.47"/>
    <n v="84"/>
  </r>
  <r>
    <n v="23"/>
    <s v="Dr. Jena  Upton"/>
    <s v="Dr."/>
    <s v="Jena"/>
    <m/>
    <s v="Upton"/>
    <n v="1955"/>
    <d v="1955-01-01T00:00:00"/>
    <n v="71"/>
    <s v="Sagittarius"/>
    <x v="0"/>
    <s v="OZ"/>
    <x v="4"/>
    <s v="English"/>
    <s v="upton.jena@xyz.org"/>
    <s v="O+"/>
    <s v="OUTDOOR"/>
    <x v="20"/>
    <n v="16.53"/>
    <n v="67"/>
  </r>
  <r>
    <n v="24"/>
    <s v="Dr. Shanny  Bins"/>
    <s v="Dr."/>
    <s v="Shanny"/>
    <m/>
    <s v="Bins"/>
    <n v="1999"/>
    <d v="1999-01-01T00:00:00"/>
    <n v="27"/>
    <s v="Virgo"/>
    <x v="0"/>
    <s v="OZ"/>
    <x v="4"/>
    <s v="English"/>
    <s v="bins.shanny@xyz.org"/>
    <s v="B−"/>
    <s v="OUTDOOR"/>
    <x v="21"/>
    <n v="21.89"/>
    <n v="59"/>
  </r>
  <r>
    <n v="25"/>
    <s v="Dr. Tia  Abshire"/>
    <s v="Dr."/>
    <s v="Tia"/>
    <m/>
    <s v="Abshire"/>
    <n v="1966"/>
    <d v="1966-01-01T00:00:00"/>
    <n v="60"/>
    <s v="Cancer"/>
    <x v="0"/>
    <s v="OZ"/>
    <x v="4"/>
    <s v="English"/>
    <s v="abshire.tia@xyz.org"/>
    <s v="A+"/>
    <s v="OUTDOOR"/>
    <x v="6"/>
    <n v="62.04"/>
    <n v="78"/>
  </r>
  <r>
    <n v="26"/>
    <s v="Ms. Isabel  Runolfsdottir"/>
    <s v="Ms."/>
    <s v="Isabel"/>
    <m/>
    <s v="Runolfsdottir"/>
    <n v="1978"/>
    <d v="1978-01-01T00:00:00"/>
    <n v="48"/>
    <s v="Aries"/>
    <x v="0"/>
    <s v="OZ"/>
    <x v="4"/>
    <s v="English"/>
    <s v="runolfsdottir.isabel@xyz.org"/>
    <s v="B+"/>
    <s v="INDOOR"/>
    <x v="0"/>
    <n v="89.74"/>
    <n v="86"/>
  </r>
  <r>
    <n v="27"/>
    <s v="Hr. Barney  Wesack"/>
    <s v="Hr."/>
    <s v="Barney"/>
    <m/>
    <s v="Wesack"/>
    <n v="1970"/>
    <d v="1970-01-01T00:00:00"/>
    <n v="56"/>
    <s v="Cancer"/>
    <x v="1"/>
    <s v="AU"/>
    <x v="5"/>
    <s v="German"/>
    <s v="wesack.barneyxyz.com"/>
    <s v="B+"/>
    <s v="INDOOR"/>
    <x v="22"/>
    <n v="41.04"/>
    <n v="93"/>
  </r>
  <r>
    <n v="28"/>
    <s v="Hr. Baruch  Kade"/>
    <s v="Hr."/>
    <s v="Baruch"/>
    <m/>
    <s v="Kade"/>
    <n v="1982"/>
    <d v="1982-01-01T00:00:00"/>
    <n v="44"/>
    <s v="Pisces"/>
    <x v="1"/>
    <s v="AU"/>
    <x v="5"/>
    <s v="German"/>
    <s v="kade.baruchxyz.com"/>
    <s v="O−"/>
    <s v="OUTDOOR"/>
    <x v="11"/>
    <n v="28.46"/>
    <n v="96"/>
  </r>
  <r>
    <n v="29"/>
    <s v="Prof. Liesbeth  Rosemann"/>
    <s v="Prof."/>
    <s v="Liesbeth"/>
    <m/>
    <s v="Rosemann"/>
    <n v="1994"/>
    <d v="1994-01-01T00:00:00"/>
    <n v="32"/>
    <s v="Aquarius"/>
    <x v="0"/>
    <s v="AU"/>
    <x v="5"/>
    <s v="German"/>
    <s v="rosemann.liesbethxyz.com"/>
    <s v="O+"/>
    <s v="OUTDOOR"/>
    <x v="6"/>
    <n v="55.01"/>
    <n v="52"/>
  </r>
  <r>
    <n v="30"/>
    <s v="Mme. Valentine  Moreau"/>
    <s v="Mme."/>
    <s v="Valentine"/>
    <m/>
    <s v="Moreau"/>
    <n v="1979"/>
    <d v="1979-01-01T00:00:00"/>
    <n v="47"/>
    <s v="Libra"/>
    <x v="0"/>
    <s v="FR"/>
    <x v="6"/>
    <s v="French"/>
    <s v="moreau.valentinexyz.com"/>
    <s v="B+"/>
    <s v="OUTDOOR"/>
    <x v="23"/>
    <n v="69.040000000000006"/>
    <n v="75"/>
  </r>
  <r>
    <n v="31"/>
    <s v="Mme. Paulette  Durand"/>
    <s v="Mme."/>
    <s v="Paulette"/>
    <m/>
    <s v="Durand"/>
    <n v="1989"/>
    <d v="1989-01-01T00:00:00"/>
    <n v="37"/>
    <s v="Capricorn"/>
    <x v="0"/>
    <s v="FR"/>
    <x v="6"/>
    <s v="French"/>
    <s v="durand.paulettexyz.com"/>
    <s v="O−"/>
    <s v="INDOOR"/>
    <x v="22"/>
    <n v="86.26"/>
    <n v="82"/>
  </r>
  <r>
    <n v="32"/>
    <s v="Mme. Laure-Alix  Chevalier"/>
    <s v="Mme."/>
    <s v="Laure-Alix"/>
    <m/>
    <s v="Chevalier"/>
    <n v="1970"/>
    <d v="1970-01-01T00:00:00"/>
    <n v="56"/>
    <s v="Capricorn"/>
    <x v="0"/>
    <s v="FR"/>
    <x v="6"/>
    <s v="French"/>
    <s v="chevalier.laure-alixxyz.com"/>
    <s v="O+"/>
    <s v="OUTDOOR"/>
    <x v="20"/>
    <n v="19.23"/>
    <n v="78"/>
  </r>
  <r>
    <n v="33"/>
    <s v="M. Claude  Toussaint"/>
    <s v="M."/>
    <s v="Claude"/>
    <m/>
    <s v="Toussaint"/>
    <n v="1980"/>
    <d v="1980-01-01T00:00:00"/>
    <n v="46"/>
    <s v="Scorpio"/>
    <x v="1"/>
    <s v="FR"/>
    <x v="6"/>
    <s v="French"/>
    <s v="toussaint.claudexyz.com"/>
    <s v="O+"/>
    <s v="INDOOR"/>
    <x v="24"/>
    <n v="95.12"/>
    <n v="57"/>
  </r>
  <r>
    <n v="34"/>
    <s v="M. Victor  Lenoir"/>
    <s v="M."/>
    <s v="Victor"/>
    <m/>
    <s v="Lenoir"/>
    <n v="1981"/>
    <d v="1981-01-01T00:00:00"/>
    <n v="45"/>
    <s v="Libra"/>
    <x v="1"/>
    <s v="FR"/>
    <x v="6"/>
    <s v="French"/>
    <s v="lenoir.victorxyz.com"/>
    <s v="B+"/>
    <s v="OUTDOOR"/>
    <x v="18"/>
    <n v="62.76"/>
    <n v="56"/>
  </r>
  <r>
    <n v="35"/>
    <s v="M. Arthur  Lenoir"/>
    <s v="M."/>
    <s v="Arthur"/>
    <m/>
    <s v="Lenoir"/>
    <n v="1955"/>
    <d v="1955-01-01T00:00:00"/>
    <n v="71"/>
    <s v="Leo"/>
    <x v="1"/>
    <s v="FR"/>
    <x v="6"/>
    <s v="French"/>
    <s v="lenoir.arthurxyz.com"/>
    <s v="O+"/>
    <s v="OUTDOOR"/>
    <x v="25"/>
    <n v="108.4"/>
    <n v="89"/>
  </r>
  <r>
    <n v="36"/>
    <s v="M. Benjamin  Lebrun-Brun"/>
    <s v="M."/>
    <s v="Benjamin"/>
    <m/>
    <s v="Lebrun-Brun"/>
    <n v="1975"/>
    <d v="1975-01-01T00:00:00"/>
    <n v="51"/>
    <s v="Aquarius"/>
    <x v="1"/>
    <s v="FR"/>
    <x v="6"/>
    <s v="French"/>
    <s v="lebrun-brun.benjaminxyz.com"/>
    <s v="O−"/>
    <s v="OUTDOOR"/>
    <x v="18"/>
    <n v="66.27"/>
    <n v="78"/>
  </r>
  <r>
    <n v="37"/>
    <s v="M. Antoine  Maillard"/>
    <s v="M."/>
    <s v="Antoine"/>
    <m/>
    <s v="Maillard"/>
    <n v="1986"/>
    <d v="1986-01-01T00:00:00"/>
    <n v="40"/>
    <s v="Cancer"/>
    <x v="1"/>
    <s v="FR"/>
    <x v="6"/>
    <s v="French"/>
    <s v="maillard.antoinexyz.com"/>
    <s v="B−"/>
    <s v="OUTDOOR"/>
    <x v="26"/>
    <n v="33.97"/>
    <n v="96"/>
  </r>
  <r>
    <n v="38"/>
    <s v="M. Bernard  Hoarau-Guyon"/>
    <s v="M."/>
    <s v="Bernard"/>
    <m/>
    <s v="Hoarau-Guyon"/>
    <n v="1983"/>
    <d v="1983-01-01T00:00:00"/>
    <n v="43"/>
    <s v="Capricorn"/>
    <x v="1"/>
    <s v="FR"/>
    <x v="6"/>
    <s v="French"/>
    <s v="hoarau-guyon.bernardxyz.com"/>
    <s v="O−"/>
    <s v="INDOOR"/>
    <x v="0"/>
    <n v="71.349999999999994"/>
    <n v="60"/>
  </r>
  <r>
    <n v="39"/>
    <s v="Sr. Hidalgo Cantu Tercero"/>
    <s v="Sr."/>
    <s v="Hidalgo"/>
    <s v="Cantu"/>
    <s v="Tercero"/>
    <n v="1984"/>
    <d v="1984-01-01T00:00:00"/>
    <n v="42"/>
    <s v="Sagittarius"/>
    <x v="1"/>
    <s v="AG"/>
    <x v="7"/>
    <s v="Spanish"/>
    <s v="tercero.hidalgoxyz.com"/>
    <s v="B−"/>
    <s v="OUTDOOR"/>
    <x v="21"/>
    <n v="116.4"/>
    <n v="78"/>
  </r>
  <r>
    <n v="40"/>
    <s v="Sr. Hadalgo  Polanco"/>
    <s v="Sr."/>
    <s v="Hadalgo"/>
    <m/>
    <s v="Polanco"/>
    <n v="1988"/>
    <d v="1988-01-01T00:00:00"/>
    <n v="38"/>
    <s v="Gemini"/>
    <x v="1"/>
    <s v="AG"/>
    <x v="7"/>
    <s v="Spanish"/>
    <s v="polanco.hadalgoxyz.com"/>
    <s v="A−"/>
    <s v="OUTDOOR"/>
    <x v="20"/>
    <n v="114.1"/>
    <n v="98"/>
  </r>
  <r>
    <n v="41"/>
    <s v="Sra. Laura  Oliviera"/>
    <s v="Sra."/>
    <s v="Laura"/>
    <m/>
    <s v="Oliviera"/>
    <n v="1974"/>
    <d v="1974-01-01T00:00:00"/>
    <n v="52"/>
    <s v="Aquarius"/>
    <x v="0"/>
    <s v="AG"/>
    <x v="7"/>
    <s v="Spanish"/>
    <s v="oliviera.lauraxyz.com"/>
    <s v="O−"/>
    <s v="OUTDOOR"/>
    <x v="27"/>
    <n v="79.87"/>
    <n v="52"/>
  </r>
  <r>
    <n v="42"/>
    <s v="Sra. Ainhoa  Garza"/>
    <s v="Sra."/>
    <s v="Ainhoa"/>
    <m/>
    <s v="Garza"/>
    <n v="1990"/>
    <d v="1990-01-01T00:00:00"/>
    <n v="36"/>
    <s v="Pisces"/>
    <x v="0"/>
    <s v="ES"/>
    <x v="8"/>
    <s v="Spanish"/>
    <s v="garza.ainhoaxyz.com"/>
    <s v="O+"/>
    <s v="INDOOR"/>
    <x v="28"/>
    <n v="102"/>
    <n v="56"/>
  </r>
  <r>
    <n v="43"/>
    <s v="Sra. Isabel  Banda"/>
    <s v="Sra."/>
    <s v="Isabel"/>
    <m/>
    <s v="Banda"/>
    <n v="1960"/>
    <d v="1960-01-01T00:00:00"/>
    <n v="66"/>
    <s v="Capricorn"/>
    <x v="0"/>
    <s v="ES"/>
    <x v="8"/>
    <s v="Spanish"/>
    <s v="banda.isabelxyz.com"/>
    <s v="O+"/>
    <s v="OUTDOOR"/>
    <x v="21"/>
    <n v="50.66"/>
    <n v="102"/>
  </r>
  <r>
    <n v="44"/>
    <s v="Sra. Carolota  Mateos"/>
    <s v="Sra."/>
    <s v="Carolota"/>
    <m/>
    <s v="Mateos"/>
    <n v="1965"/>
    <d v="1965-01-01T00:00:00"/>
    <n v="61"/>
    <s v="Leo"/>
    <x v="0"/>
    <s v="ES"/>
    <x v="8"/>
    <s v="Spanish"/>
    <s v="mateos.carolotaxyz.com"/>
    <s v="O−"/>
    <s v="OUTDOOR"/>
    <x v="27"/>
    <n v="58.22"/>
    <n v="59"/>
  </r>
  <r>
    <n v="45"/>
    <s v="Mw. Elize  Prins"/>
    <s v="Mw."/>
    <s v="Elize"/>
    <m/>
    <s v="Prins"/>
    <n v="1960"/>
    <d v="1960-01-01T00:00:00"/>
    <n v="66"/>
    <s v="Taurus"/>
    <x v="0"/>
    <s v="DU"/>
    <x v="9"/>
    <s v="Dutch"/>
    <s v="prins.elizexyz.com"/>
    <s v="O+"/>
    <s v="INDOOR"/>
    <x v="29"/>
    <n v="39.94"/>
    <n v="64"/>
  </r>
  <r>
    <n v="46"/>
    <s v="dhr. Ryan  Pham"/>
    <s v="dhr."/>
    <s v="Ryan"/>
    <m/>
    <s v="Pham"/>
    <n v="1973"/>
    <d v="1973-01-01T00:00:00"/>
    <n v="53"/>
    <s v="Libra"/>
    <x v="1"/>
    <s v="DU"/>
    <x v="9"/>
    <s v="Dutch"/>
    <s v="pham.ryanxyz.com"/>
    <s v="B+"/>
    <s v="OUTDOOR"/>
    <x v="20"/>
    <n v="44.87"/>
    <n v="99"/>
  </r>
  <r>
    <n v="47"/>
    <s v="Mw Elise  Rotteveel"/>
    <s v="Mw"/>
    <s v="Elise"/>
    <m/>
    <s v="Rotteveel"/>
    <n v="1968"/>
    <d v="1968-01-01T00:00:00"/>
    <n v="58"/>
    <s v="Aries"/>
    <x v="0"/>
    <s v="DU"/>
    <x v="9"/>
    <s v="Dutch"/>
    <s v="rotteveel.elisexyz.com"/>
    <s v="O−"/>
    <s v="OUTDOOR"/>
    <x v="20"/>
    <n v="90.48"/>
    <n v="62"/>
  </r>
  <r>
    <n v="48"/>
    <s v="Fru. Mirjam  Soderberg"/>
    <s v="Fru."/>
    <s v="Mirjam"/>
    <m/>
    <s v="Soderberg"/>
    <n v="1997"/>
    <d v="1997-01-01T00:00:00"/>
    <n v="29"/>
    <s v="Taurus"/>
    <x v="0"/>
    <s v="SV"/>
    <x v="10"/>
    <s v="Swedish"/>
    <s v="soderberg.mirjamxyz.com"/>
    <s v="O+"/>
    <s v="OUTDOOR"/>
    <x v="2"/>
    <n v="38.97"/>
    <n v="50"/>
  </r>
  <r>
    <n v="49"/>
    <s v="H. Berndt  Palsson"/>
    <s v="H."/>
    <s v="Berndt"/>
    <m/>
    <s v="Palsson"/>
    <n v="1987"/>
    <d v="1987-01-01T00:00:00"/>
    <n v="39"/>
    <s v="Pisces"/>
    <x v="1"/>
    <s v="SV"/>
    <x v="10"/>
    <s v="Swedish"/>
    <s v="palsson.berndtxyz.com"/>
    <s v="A−"/>
    <s v="OUTDOOR"/>
    <x v="30"/>
    <n v="35.39"/>
    <n v="46"/>
  </r>
  <r>
    <n v="50"/>
    <s v="Sr. Adriano Pontes Sobrinho"/>
    <s v="Sr."/>
    <s v="Adriano"/>
    <s v="Pontes"/>
    <s v="Sobrinho"/>
    <n v="1993"/>
    <d v="1993-01-01T00:00:00"/>
    <n v="33"/>
    <s v="Leo"/>
    <x v="1"/>
    <s v="PR"/>
    <x v="1"/>
    <s v="Portuguese"/>
    <s v="sobrinho.adrianoxyz.com"/>
    <s v="A+"/>
    <s v="INDOOR"/>
    <x v="31"/>
    <n v="20.53"/>
    <n v="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6C7107-CF0F-4448-9F3C-985D29E111A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6" firstHeaderRow="1" firstDataRow="2" firstDataCol="1"/>
  <pivotFields count="20">
    <pivotField dataField="1" numFmtId="165" showAll="0"/>
    <pivotField showAll="0"/>
    <pivotField showAll="0"/>
    <pivotField showAll="0"/>
    <pivotField showAll="0"/>
    <pivotField showAll="0"/>
    <pivotField showAll="0"/>
    <pivotField numFmtId="166" showAll="0"/>
    <pivotField showAll="0">
      <items count="41">
        <item x="5"/>
        <item x="0"/>
        <item x="15"/>
        <item x="20"/>
        <item x="34"/>
        <item x="1"/>
        <item x="29"/>
        <item x="22"/>
        <item x="27"/>
        <item x="33"/>
        <item x="9"/>
        <item x="26"/>
        <item x="25"/>
        <item x="19"/>
        <item x="24"/>
        <item x="23"/>
        <item x="21"/>
        <item x="18"/>
        <item x="10"/>
        <item x="14"/>
        <item x="3"/>
        <item x="28"/>
        <item x="31"/>
        <item x="13"/>
        <item x="7"/>
        <item x="4"/>
        <item x="2"/>
        <item x="32"/>
        <item x="17"/>
        <item x="12"/>
        <item x="8"/>
        <item x="6"/>
        <item x="30"/>
        <item x="11"/>
        <item x="16"/>
        <item f="1" x="35"/>
        <item f="1" x="36"/>
        <item f="1" x="37"/>
        <item f="1" x="38"/>
        <item f="1" x="39"/>
        <item t="default"/>
      </items>
    </pivotField>
    <pivotField showAll="0"/>
    <pivotField axis="axisCol" showAll="0">
      <items count="3">
        <item x="0"/>
        <item x="1"/>
        <item t="default"/>
      </items>
    </pivotField>
    <pivotField showAll="0"/>
    <pivotField axis="axisRow" showAll="0">
      <items count="12">
        <item x="7"/>
        <item x="4"/>
        <item x="5"/>
        <item x="1"/>
        <item x="6"/>
        <item x="3"/>
        <item x="9"/>
        <item x="8"/>
        <item x="10"/>
        <item x="2"/>
        <item x="0"/>
        <item t="default"/>
      </items>
    </pivotField>
    <pivotField showAll="0"/>
    <pivotField showAll="0"/>
    <pivotField numFmtId="167" showAll="0"/>
    <pivotField showAll="0"/>
    <pivotField showAll="0"/>
    <pivotField showAll="0">
      <items count="33">
        <item x="3"/>
        <item x="10"/>
        <item x="27"/>
        <item x="17"/>
        <item x="20"/>
        <item x="30"/>
        <item x="1"/>
        <item x="21"/>
        <item x="12"/>
        <item x="7"/>
        <item x="13"/>
        <item x="15"/>
        <item x="6"/>
        <item x="0"/>
        <item x="24"/>
        <item x="19"/>
        <item x="5"/>
        <item x="2"/>
        <item x="9"/>
        <item x="23"/>
        <item x="28"/>
        <item x="14"/>
        <item x="25"/>
        <item x="29"/>
        <item x="11"/>
        <item x="26"/>
        <item x="8"/>
        <item x="16"/>
        <item x="31"/>
        <item x="18"/>
        <item x="22"/>
        <item x="4"/>
        <item t="default"/>
      </items>
    </pivotField>
    <pivotField showAll="0"/>
  </pivotFields>
  <rowFields count="1">
    <field x="12"/>
  </rowFields>
  <rowItems count="12">
    <i>
      <x/>
    </i>
    <i>
      <x v="1"/>
    </i>
    <i>
      <x v="2"/>
    </i>
    <i>
      <x v="3"/>
    </i>
    <i>
      <x v="4"/>
    </i>
    <i>
      <x v="5"/>
    </i>
    <i>
      <x v="6"/>
    </i>
    <i>
      <x v="7"/>
    </i>
    <i>
      <x v="8"/>
    </i>
    <i>
      <x v="9"/>
    </i>
    <i>
      <x v="10"/>
    </i>
    <i t="grand">
      <x/>
    </i>
  </rowItems>
  <colFields count="1">
    <field x="10"/>
  </colFields>
  <colItems count="3">
    <i>
      <x/>
    </i>
    <i>
      <x v="1"/>
    </i>
    <i t="grand">
      <x/>
    </i>
  </colItems>
  <dataFields count="1">
    <dataField name="Count of MEMBER ID" fld="0"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503C94-519B-447B-A9D5-9D6AD0DA7A9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6" firstHeaderRow="1" firstDataRow="2" firstDataCol="1"/>
  <pivotFields count="20">
    <pivotField numFmtId="165" showAll="0"/>
    <pivotField showAll="0"/>
    <pivotField showAll="0"/>
    <pivotField showAll="0"/>
    <pivotField showAll="0"/>
    <pivotField showAll="0"/>
    <pivotField showAll="0"/>
    <pivotField numFmtId="166" showAll="0"/>
    <pivotField showAll="0">
      <items count="41">
        <item x="5"/>
        <item x="0"/>
        <item x="15"/>
        <item x="20"/>
        <item x="34"/>
        <item x="1"/>
        <item x="29"/>
        <item x="22"/>
        <item x="27"/>
        <item x="33"/>
        <item x="9"/>
        <item x="26"/>
        <item x="25"/>
        <item x="19"/>
        <item x="24"/>
        <item x="23"/>
        <item x="21"/>
        <item x="18"/>
        <item x="10"/>
        <item x="14"/>
        <item x="3"/>
        <item x="28"/>
        <item x="31"/>
        <item x="13"/>
        <item x="7"/>
        <item x="4"/>
        <item x="2"/>
        <item x="32"/>
        <item x="17"/>
        <item x="12"/>
        <item x="8"/>
        <item x="6"/>
        <item x="30"/>
        <item x="11"/>
        <item x="16"/>
        <item f="1" x="35"/>
        <item f="1" x="36"/>
        <item f="1" x="37"/>
        <item f="1" x="38"/>
        <item f="1" x="39"/>
        <item t="default"/>
      </items>
    </pivotField>
    <pivotField showAll="0"/>
    <pivotField axis="axisCol" showAll="0">
      <items count="3">
        <item x="0"/>
        <item x="1"/>
        <item t="default"/>
      </items>
    </pivotField>
    <pivotField showAll="0"/>
    <pivotField axis="axisRow" showAll="0">
      <items count="12">
        <item x="7"/>
        <item x="4"/>
        <item x="5"/>
        <item x="1"/>
        <item x="6"/>
        <item x="3"/>
        <item x="9"/>
        <item x="8"/>
        <item x="10"/>
        <item x="2"/>
        <item x="0"/>
        <item t="default"/>
      </items>
    </pivotField>
    <pivotField showAll="0"/>
    <pivotField showAll="0"/>
    <pivotField numFmtId="167" showAll="0"/>
    <pivotField showAll="0"/>
    <pivotField showAll="0"/>
    <pivotField showAll="0">
      <items count="33">
        <item x="3"/>
        <item x="10"/>
        <item x="27"/>
        <item x="17"/>
        <item x="20"/>
        <item x="30"/>
        <item x="1"/>
        <item x="21"/>
        <item x="12"/>
        <item x="7"/>
        <item x="13"/>
        <item x="15"/>
        <item x="6"/>
        <item x="0"/>
        <item x="24"/>
        <item x="19"/>
        <item x="5"/>
        <item x="2"/>
        <item x="9"/>
        <item x="23"/>
        <item x="28"/>
        <item x="14"/>
        <item x="25"/>
        <item x="29"/>
        <item x="11"/>
        <item x="26"/>
        <item x="8"/>
        <item x="16"/>
        <item x="31"/>
        <item x="18"/>
        <item x="22"/>
        <item x="4"/>
        <item t="default"/>
      </items>
    </pivotField>
    <pivotField dataField="1" showAll="0"/>
  </pivotFields>
  <rowFields count="1">
    <field x="12"/>
  </rowFields>
  <rowItems count="12">
    <i>
      <x/>
    </i>
    <i>
      <x v="1"/>
    </i>
    <i>
      <x v="2"/>
    </i>
    <i>
      <x v="3"/>
    </i>
    <i>
      <x v="4"/>
    </i>
    <i>
      <x v="5"/>
    </i>
    <i>
      <x v="6"/>
    </i>
    <i>
      <x v="7"/>
    </i>
    <i>
      <x v="8"/>
    </i>
    <i>
      <x v="9"/>
    </i>
    <i>
      <x v="10"/>
    </i>
    <i t="grand">
      <x/>
    </i>
  </rowItems>
  <colFields count="1">
    <field x="10"/>
  </colFields>
  <colItems count="3">
    <i>
      <x/>
    </i>
    <i>
      <x v="1"/>
    </i>
    <i t="grand">
      <x/>
    </i>
  </colItems>
  <dataFields count="1">
    <dataField name="Sum of SALARY" fld="19"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508FC7-6035-4E02-B6B4-CA66EEBCE3B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4" firstHeaderRow="1" firstDataRow="1" firstDataCol="1"/>
  <pivotFields count="20">
    <pivotField numFmtId="165" showAll="0"/>
    <pivotField showAll="0"/>
    <pivotField showAll="0"/>
    <pivotField showAll="0"/>
    <pivotField showAll="0"/>
    <pivotField showAll="0"/>
    <pivotField showAll="0"/>
    <pivotField numFmtId="166" showAll="0"/>
    <pivotField axis="axisRow" showAll="0">
      <items count="41">
        <item x="5"/>
        <item x="0"/>
        <item x="15"/>
        <item x="20"/>
        <item x="34"/>
        <item x="1"/>
        <item x="29"/>
        <item x="22"/>
        <item x="27"/>
        <item x="33"/>
        <item x="9"/>
        <item x="26"/>
        <item x="25"/>
        <item x="19"/>
        <item x="24"/>
        <item x="23"/>
        <item x="21"/>
        <item x="18"/>
        <item x="10"/>
        <item x="14"/>
        <item x="3"/>
        <item x="28"/>
        <item x="31"/>
        <item x="13"/>
        <item x="7"/>
        <item x="4"/>
        <item x="2"/>
        <item x="32"/>
        <item x="17"/>
        <item x="12"/>
        <item x="8"/>
        <item x="6"/>
        <item x="30"/>
        <item x="11"/>
        <item x="16"/>
        <item f="1" x="35"/>
        <item f="1" x="36"/>
        <item f="1" x="37"/>
        <item f="1" x="38"/>
        <item f="1" x="39"/>
        <item t="default"/>
      </items>
    </pivotField>
    <pivotField showAll="0"/>
    <pivotField showAll="0">
      <items count="3">
        <item x="0"/>
        <item x="1"/>
        <item t="default"/>
      </items>
    </pivotField>
    <pivotField showAll="0"/>
    <pivotField showAll="0">
      <items count="12">
        <item x="7"/>
        <item x="4"/>
        <item x="5"/>
        <item x="1"/>
        <item x="6"/>
        <item x="3"/>
        <item x="9"/>
        <item x="8"/>
        <item x="10"/>
        <item x="2"/>
        <item x="0"/>
        <item t="default"/>
      </items>
    </pivotField>
    <pivotField showAll="0"/>
    <pivotField showAll="0"/>
    <pivotField numFmtId="167" showAll="0"/>
    <pivotField showAll="0"/>
    <pivotField showAll="0"/>
    <pivotField showAll="0">
      <items count="33">
        <item x="3"/>
        <item x="10"/>
        <item x="27"/>
        <item x="17"/>
        <item x="20"/>
        <item x="30"/>
        <item x="1"/>
        <item x="21"/>
        <item x="12"/>
        <item x="7"/>
        <item x="13"/>
        <item x="15"/>
        <item x="6"/>
        <item x="0"/>
        <item x="24"/>
        <item x="19"/>
        <item x="5"/>
        <item x="2"/>
        <item x="9"/>
        <item x="23"/>
        <item x="28"/>
        <item x="14"/>
        <item x="25"/>
        <item x="29"/>
        <item x="11"/>
        <item x="26"/>
        <item x="8"/>
        <item x="16"/>
        <item x="31"/>
        <item x="18"/>
        <item x="22"/>
        <item x="4"/>
        <item t="default"/>
      </items>
    </pivotField>
    <pivotField dataField="1" numFmtId="169" showAll="0"/>
  </pivotFields>
  <rowFields count="1">
    <field x="8"/>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SALARY" fld="19"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775BFB-0798-4352-8911-2B6D7F5F627E}"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AH16" firstHeaderRow="1" firstDataRow="2" firstDataCol="1"/>
  <pivotFields count="20">
    <pivotField numFmtId="165" showAll="0"/>
    <pivotField showAll="0"/>
    <pivotField showAll="0"/>
    <pivotField showAll="0"/>
    <pivotField showAll="0"/>
    <pivotField showAll="0"/>
    <pivotField showAll="0"/>
    <pivotField numFmtId="166" showAll="0"/>
    <pivotField showAll="0"/>
    <pivotField showAll="0"/>
    <pivotField showAll="0">
      <items count="3">
        <item x="0"/>
        <item x="1"/>
        <item t="default"/>
      </items>
    </pivotField>
    <pivotField showAll="0"/>
    <pivotField axis="axisRow" showAll="0">
      <items count="12">
        <item x="7"/>
        <item x="4"/>
        <item x="5"/>
        <item x="1"/>
        <item x="6"/>
        <item x="3"/>
        <item x="9"/>
        <item x="8"/>
        <item x="10"/>
        <item x="2"/>
        <item x="0"/>
        <item t="default"/>
      </items>
    </pivotField>
    <pivotField showAll="0"/>
    <pivotField showAll="0"/>
    <pivotField showAll="0"/>
    <pivotField showAll="0"/>
    <pivotField axis="axisCol" showAll="0">
      <items count="33">
        <item x="3"/>
        <item x="10"/>
        <item x="27"/>
        <item x="17"/>
        <item x="20"/>
        <item x="30"/>
        <item x="1"/>
        <item x="21"/>
        <item x="12"/>
        <item x="7"/>
        <item x="13"/>
        <item x="15"/>
        <item x="6"/>
        <item x="0"/>
        <item x="24"/>
        <item x="19"/>
        <item x="5"/>
        <item x="2"/>
        <item x="9"/>
        <item x="23"/>
        <item x="28"/>
        <item x="14"/>
        <item x="25"/>
        <item x="29"/>
        <item x="11"/>
        <item x="26"/>
        <item x="8"/>
        <item x="16"/>
        <item x="31"/>
        <item x="18"/>
        <item x="22"/>
        <item x="4"/>
        <item t="default"/>
      </items>
    </pivotField>
    <pivotField numFmtId="169" showAll="0"/>
    <pivotField dataField="1" numFmtId="1" showAll="0"/>
  </pivotFields>
  <rowFields count="1">
    <field x="12"/>
  </rowFields>
  <rowItems count="12">
    <i>
      <x/>
    </i>
    <i>
      <x v="1"/>
    </i>
    <i>
      <x v="2"/>
    </i>
    <i>
      <x v="3"/>
    </i>
    <i>
      <x v="4"/>
    </i>
    <i>
      <x v="5"/>
    </i>
    <i>
      <x v="6"/>
    </i>
    <i>
      <x v="7"/>
    </i>
    <i>
      <x v="8"/>
    </i>
    <i>
      <x v="9"/>
    </i>
    <i>
      <x v="10"/>
    </i>
    <i t="grand">
      <x/>
    </i>
  </rowItems>
  <colFields count="1">
    <field x="17"/>
  </colFields>
  <col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colItems>
  <dataFields count="1">
    <dataField name="Average of wt." fld="19" subtotal="average" baseField="0" baseItem="0" numFmtId="1"/>
  </dataFields>
  <chartFormats count="75">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series="1">
      <pivotArea type="data" outline="0" fieldPosition="0">
        <references count="2">
          <reference field="4294967294" count="1" selected="0">
            <x v="0"/>
          </reference>
          <reference field="12" count="1" selected="0">
            <x v="4"/>
          </reference>
        </references>
      </pivotArea>
    </chartFormat>
    <chartFormat chart="0" format="5" series="1">
      <pivotArea type="data" outline="0" fieldPosition="0">
        <references count="2">
          <reference field="4294967294" count="1" selected="0">
            <x v="0"/>
          </reference>
          <reference field="12" count="1" selected="0">
            <x v="5"/>
          </reference>
        </references>
      </pivotArea>
    </chartFormat>
    <chartFormat chart="0" format="6" series="1">
      <pivotArea type="data" outline="0" fieldPosition="0">
        <references count="2">
          <reference field="4294967294" count="1" selected="0">
            <x v="0"/>
          </reference>
          <reference field="12" count="1" selected="0">
            <x v="6"/>
          </reference>
        </references>
      </pivotArea>
    </chartFormat>
    <chartFormat chart="0" format="7" series="1">
      <pivotArea type="data" outline="0" fieldPosition="0">
        <references count="2">
          <reference field="4294967294" count="1" selected="0">
            <x v="0"/>
          </reference>
          <reference field="12" count="1" selected="0">
            <x v="7"/>
          </reference>
        </references>
      </pivotArea>
    </chartFormat>
    <chartFormat chart="0" format="8" series="1">
      <pivotArea type="data" outline="0" fieldPosition="0">
        <references count="2">
          <reference field="4294967294" count="1" selected="0">
            <x v="0"/>
          </reference>
          <reference field="12" count="1" selected="0">
            <x v="8"/>
          </reference>
        </references>
      </pivotArea>
    </chartFormat>
    <chartFormat chart="0" format="9" series="1">
      <pivotArea type="data" outline="0" fieldPosition="0">
        <references count="2">
          <reference field="4294967294" count="1" selected="0">
            <x v="0"/>
          </reference>
          <reference field="12" count="1" selected="0">
            <x v="9"/>
          </reference>
        </references>
      </pivotArea>
    </chartFormat>
    <chartFormat chart="0" format="10" series="1">
      <pivotArea type="data" outline="0" fieldPosition="0">
        <references count="2">
          <reference field="4294967294" count="1" selected="0">
            <x v="0"/>
          </reference>
          <reference field="12" count="1" selected="0">
            <x v="10"/>
          </reference>
        </references>
      </pivotArea>
    </chartFormat>
    <chartFormat chart="0" format="11" series="1">
      <pivotArea type="data" outline="0" fieldPosition="0">
        <references count="1">
          <reference field="4294967294" count="1" selected="0">
            <x v="0"/>
          </reference>
        </references>
      </pivotArea>
    </chartFormat>
    <chartFormat chart="0" format="12" series="1">
      <pivotArea type="data" outline="0" fieldPosition="0">
        <references count="2">
          <reference field="4294967294" count="1" selected="0">
            <x v="0"/>
          </reference>
          <reference field="17" count="1" selected="0">
            <x v="1"/>
          </reference>
        </references>
      </pivotArea>
    </chartFormat>
    <chartFormat chart="0" format="13" series="1">
      <pivotArea type="data" outline="0" fieldPosition="0">
        <references count="2">
          <reference field="4294967294" count="1" selected="0">
            <x v="0"/>
          </reference>
          <reference field="17" count="1" selected="0">
            <x v="2"/>
          </reference>
        </references>
      </pivotArea>
    </chartFormat>
    <chartFormat chart="0" format="14" series="1">
      <pivotArea type="data" outline="0" fieldPosition="0">
        <references count="2">
          <reference field="4294967294" count="1" selected="0">
            <x v="0"/>
          </reference>
          <reference field="17" count="1" selected="0">
            <x v="3"/>
          </reference>
        </references>
      </pivotArea>
    </chartFormat>
    <chartFormat chart="0" format="15" series="1">
      <pivotArea type="data" outline="0" fieldPosition="0">
        <references count="2">
          <reference field="4294967294" count="1" selected="0">
            <x v="0"/>
          </reference>
          <reference field="17" count="1" selected="0">
            <x v="4"/>
          </reference>
        </references>
      </pivotArea>
    </chartFormat>
    <chartFormat chart="0" format="16" series="1">
      <pivotArea type="data" outline="0" fieldPosition="0">
        <references count="2">
          <reference field="4294967294" count="1" selected="0">
            <x v="0"/>
          </reference>
          <reference field="17" count="1" selected="0">
            <x v="5"/>
          </reference>
        </references>
      </pivotArea>
    </chartFormat>
    <chartFormat chart="0" format="17" series="1">
      <pivotArea type="data" outline="0" fieldPosition="0">
        <references count="2">
          <reference field="4294967294" count="1" selected="0">
            <x v="0"/>
          </reference>
          <reference field="17" count="1" selected="0">
            <x v="6"/>
          </reference>
        </references>
      </pivotArea>
    </chartFormat>
    <chartFormat chart="0" format="18" series="1">
      <pivotArea type="data" outline="0" fieldPosition="0">
        <references count="2">
          <reference field="4294967294" count="1" selected="0">
            <x v="0"/>
          </reference>
          <reference field="17" count="1" selected="0">
            <x v="7"/>
          </reference>
        </references>
      </pivotArea>
    </chartFormat>
    <chartFormat chart="0" format="19" series="1">
      <pivotArea type="data" outline="0" fieldPosition="0">
        <references count="2">
          <reference field="4294967294" count="1" selected="0">
            <x v="0"/>
          </reference>
          <reference field="17" count="1" selected="0">
            <x v="8"/>
          </reference>
        </references>
      </pivotArea>
    </chartFormat>
    <chartFormat chart="0" format="20" series="1">
      <pivotArea type="data" outline="0" fieldPosition="0">
        <references count="2">
          <reference field="4294967294" count="1" selected="0">
            <x v="0"/>
          </reference>
          <reference field="17" count="1" selected="0">
            <x v="9"/>
          </reference>
        </references>
      </pivotArea>
    </chartFormat>
    <chartFormat chart="0" format="21" series="1">
      <pivotArea type="data" outline="0" fieldPosition="0">
        <references count="2">
          <reference field="4294967294" count="1" selected="0">
            <x v="0"/>
          </reference>
          <reference field="17" count="1" selected="0">
            <x v="10"/>
          </reference>
        </references>
      </pivotArea>
    </chartFormat>
    <chartFormat chart="0" format="22" series="1">
      <pivotArea type="data" outline="0" fieldPosition="0">
        <references count="2">
          <reference field="4294967294" count="1" selected="0">
            <x v="0"/>
          </reference>
          <reference field="17" count="1" selected="0">
            <x v="11"/>
          </reference>
        </references>
      </pivotArea>
    </chartFormat>
    <chartFormat chart="0" format="23" series="1">
      <pivotArea type="data" outline="0" fieldPosition="0">
        <references count="2">
          <reference field="4294967294" count="1" selected="0">
            <x v="0"/>
          </reference>
          <reference field="17" count="1" selected="0">
            <x v="12"/>
          </reference>
        </references>
      </pivotArea>
    </chartFormat>
    <chartFormat chart="0" format="24" series="1">
      <pivotArea type="data" outline="0" fieldPosition="0">
        <references count="2">
          <reference field="4294967294" count="1" selected="0">
            <x v="0"/>
          </reference>
          <reference field="17" count="1" selected="0">
            <x v="13"/>
          </reference>
        </references>
      </pivotArea>
    </chartFormat>
    <chartFormat chart="0" format="25" series="1">
      <pivotArea type="data" outline="0" fieldPosition="0">
        <references count="2">
          <reference field="4294967294" count="1" selected="0">
            <x v="0"/>
          </reference>
          <reference field="17" count="1" selected="0">
            <x v="14"/>
          </reference>
        </references>
      </pivotArea>
    </chartFormat>
    <chartFormat chart="0" format="26" series="1">
      <pivotArea type="data" outline="0" fieldPosition="0">
        <references count="2">
          <reference field="4294967294" count="1" selected="0">
            <x v="0"/>
          </reference>
          <reference field="17" count="1" selected="0">
            <x v="15"/>
          </reference>
        </references>
      </pivotArea>
    </chartFormat>
    <chartFormat chart="0" format="27" series="1">
      <pivotArea type="data" outline="0" fieldPosition="0">
        <references count="2">
          <reference field="4294967294" count="1" selected="0">
            <x v="0"/>
          </reference>
          <reference field="17" count="1" selected="0">
            <x v="16"/>
          </reference>
        </references>
      </pivotArea>
    </chartFormat>
    <chartFormat chart="0" format="28" series="1">
      <pivotArea type="data" outline="0" fieldPosition="0">
        <references count="2">
          <reference field="4294967294" count="1" selected="0">
            <x v="0"/>
          </reference>
          <reference field="17" count="1" selected="0">
            <x v="17"/>
          </reference>
        </references>
      </pivotArea>
    </chartFormat>
    <chartFormat chart="0" format="29" series="1">
      <pivotArea type="data" outline="0" fieldPosition="0">
        <references count="2">
          <reference field="4294967294" count="1" selected="0">
            <x v="0"/>
          </reference>
          <reference field="17" count="1" selected="0">
            <x v="18"/>
          </reference>
        </references>
      </pivotArea>
    </chartFormat>
    <chartFormat chart="0" format="30" series="1">
      <pivotArea type="data" outline="0" fieldPosition="0">
        <references count="2">
          <reference field="4294967294" count="1" selected="0">
            <x v="0"/>
          </reference>
          <reference field="17" count="1" selected="0">
            <x v="19"/>
          </reference>
        </references>
      </pivotArea>
    </chartFormat>
    <chartFormat chart="0" format="31" series="1">
      <pivotArea type="data" outline="0" fieldPosition="0">
        <references count="2">
          <reference field="4294967294" count="1" selected="0">
            <x v="0"/>
          </reference>
          <reference field="17" count="1" selected="0">
            <x v="20"/>
          </reference>
        </references>
      </pivotArea>
    </chartFormat>
    <chartFormat chart="0" format="32" series="1">
      <pivotArea type="data" outline="0" fieldPosition="0">
        <references count="2">
          <reference field="4294967294" count="1" selected="0">
            <x v="0"/>
          </reference>
          <reference field="17" count="1" selected="0">
            <x v="21"/>
          </reference>
        </references>
      </pivotArea>
    </chartFormat>
    <chartFormat chart="0" format="33" series="1">
      <pivotArea type="data" outline="0" fieldPosition="0">
        <references count="2">
          <reference field="4294967294" count="1" selected="0">
            <x v="0"/>
          </reference>
          <reference field="17" count="1" selected="0">
            <x v="22"/>
          </reference>
        </references>
      </pivotArea>
    </chartFormat>
    <chartFormat chart="0" format="34" series="1">
      <pivotArea type="data" outline="0" fieldPosition="0">
        <references count="2">
          <reference field="4294967294" count="1" selected="0">
            <x v="0"/>
          </reference>
          <reference field="17" count="1" selected="0">
            <x v="23"/>
          </reference>
        </references>
      </pivotArea>
    </chartFormat>
    <chartFormat chart="0" format="35" series="1">
      <pivotArea type="data" outline="0" fieldPosition="0">
        <references count="2">
          <reference field="4294967294" count="1" selected="0">
            <x v="0"/>
          </reference>
          <reference field="17" count="1" selected="0">
            <x v="24"/>
          </reference>
        </references>
      </pivotArea>
    </chartFormat>
    <chartFormat chart="0" format="36" series="1">
      <pivotArea type="data" outline="0" fieldPosition="0">
        <references count="2">
          <reference field="4294967294" count="1" selected="0">
            <x v="0"/>
          </reference>
          <reference field="17" count="1" selected="0">
            <x v="25"/>
          </reference>
        </references>
      </pivotArea>
    </chartFormat>
    <chartFormat chart="0" format="37" series="1">
      <pivotArea type="data" outline="0" fieldPosition="0">
        <references count="2">
          <reference field="4294967294" count="1" selected="0">
            <x v="0"/>
          </reference>
          <reference field="17" count="1" selected="0">
            <x v="26"/>
          </reference>
        </references>
      </pivotArea>
    </chartFormat>
    <chartFormat chart="0" format="38" series="1">
      <pivotArea type="data" outline="0" fieldPosition="0">
        <references count="2">
          <reference field="4294967294" count="1" selected="0">
            <x v="0"/>
          </reference>
          <reference field="17" count="1" selected="0">
            <x v="27"/>
          </reference>
        </references>
      </pivotArea>
    </chartFormat>
    <chartFormat chart="0" format="39" series="1">
      <pivotArea type="data" outline="0" fieldPosition="0">
        <references count="2">
          <reference field="4294967294" count="1" selected="0">
            <x v="0"/>
          </reference>
          <reference field="17" count="1" selected="0">
            <x v="28"/>
          </reference>
        </references>
      </pivotArea>
    </chartFormat>
    <chartFormat chart="0" format="40" series="1">
      <pivotArea type="data" outline="0" fieldPosition="0">
        <references count="2">
          <reference field="4294967294" count="1" selected="0">
            <x v="0"/>
          </reference>
          <reference field="17" count="1" selected="0">
            <x v="29"/>
          </reference>
        </references>
      </pivotArea>
    </chartFormat>
    <chartFormat chart="0" format="41" series="1">
      <pivotArea type="data" outline="0" fieldPosition="0">
        <references count="2">
          <reference field="4294967294" count="1" selected="0">
            <x v="0"/>
          </reference>
          <reference field="17" count="1" selected="0">
            <x v="30"/>
          </reference>
        </references>
      </pivotArea>
    </chartFormat>
    <chartFormat chart="0" format="42" series="1">
      <pivotArea type="data" outline="0" fieldPosition="0">
        <references count="2">
          <reference field="4294967294" count="1" selected="0">
            <x v="0"/>
          </reference>
          <reference field="17" count="1" selected="0">
            <x v="31"/>
          </reference>
        </references>
      </pivotArea>
    </chartFormat>
    <chartFormat chart="3" format="75" series="1">
      <pivotArea type="data" outline="0" fieldPosition="0">
        <references count="2">
          <reference field="4294967294" count="1" selected="0">
            <x v="0"/>
          </reference>
          <reference field="17" count="1" selected="0">
            <x v="0"/>
          </reference>
        </references>
      </pivotArea>
    </chartFormat>
    <chartFormat chart="3" format="76" series="1">
      <pivotArea type="data" outline="0" fieldPosition="0">
        <references count="2">
          <reference field="4294967294" count="1" selected="0">
            <x v="0"/>
          </reference>
          <reference field="17" count="1" selected="0">
            <x v="1"/>
          </reference>
        </references>
      </pivotArea>
    </chartFormat>
    <chartFormat chart="3" format="77" series="1">
      <pivotArea type="data" outline="0" fieldPosition="0">
        <references count="2">
          <reference field="4294967294" count="1" selected="0">
            <x v="0"/>
          </reference>
          <reference field="17" count="1" selected="0">
            <x v="2"/>
          </reference>
        </references>
      </pivotArea>
    </chartFormat>
    <chartFormat chart="3" format="78" series="1">
      <pivotArea type="data" outline="0" fieldPosition="0">
        <references count="2">
          <reference field="4294967294" count="1" selected="0">
            <x v="0"/>
          </reference>
          <reference field="17" count="1" selected="0">
            <x v="3"/>
          </reference>
        </references>
      </pivotArea>
    </chartFormat>
    <chartFormat chart="3" format="79" series="1">
      <pivotArea type="data" outline="0" fieldPosition="0">
        <references count="2">
          <reference field="4294967294" count="1" selected="0">
            <x v="0"/>
          </reference>
          <reference field="17" count="1" selected="0">
            <x v="4"/>
          </reference>
        </references>
      </pivotArea>
    </chartFormat>
    <chartFormat chart="3" format="80" series="1">
      <pivotArea type="data" outline="0" fieldPosition="0">
        <references count="2">
          <reference field="4294967294" count="1" selected="0">
            <x v="0"/>
          </reference>
          <reference field="17" count="1" selected="0">
            <x v="5"/>
          </reference>
        </references>
      </pivotArea>
    </chartFormat>
    <chartFormat chart="3" format="81" series="1">
      <pivotArea type="data" outline="0" fieldPosition="0">
        <references count="2">
          <reference field="4294967294" count="1" selected="0">
            <x v="0"/>
          </reference>
          <reference field="17" count="1" selected="0">
            <x v="6"/>
          </reference>
        </references>
      </pivotArea>
    </chartFormat>
    <chartFormat chart="3" format="82" series="1">
      <pivotArea type="data" outline="0" fieldPosition="0">
        <references count="2">
          <reference field="4294967294" count="1" selected="0">
            <x v="0"/>
          </reference>
          <reference field="17" count="1" selected="0">
            <x v="7"/>
          </reference>
        </references>
      </pivotArea>
    </chartFormat>
    <chartFormat chart="3" format="83" series="1">
      <pivotArea type="data" outline="0" fieldPosition="0">
        <references count="2">
          <reference field="4294967294" count="1" selected="0">
            <x v="0"/>
          </reference>
          <reference field="17" count="1" selected="0">
            <x v="8"/>
          </reference>
        </references>
      </pivotArea>
    </chartFormat>
    <chartFormat chart="3" format="84" series="1">
      <pivotArea type="data" outline="0" fieldPosition="0">
        <references count="2">
          <reference field="4294967294" count="1" selected="0">
            <x v="0"/>
          </reference>
          <reference field="17" count="1" selected="0">
            <x v="9"/>
          </reference>
        </references>
      </pivotArea>
    </chartFormat>
    <chartFormat chart="3" format="85" series="1">
      <pivotArea type="data" outline="0" fieldPosition="0">
        <references count="2">
          <reference field="4294967294" count="1" selected="0">
            <x v="0"/>
          </reference>
          <reference field="17" count="1" selected="0">
            <x v="10"/>
          </reference>
        </references>
      </pivotArea>
    </chartFormat>
    <chartFormat chart="3" format="86" series="1">
      <pivotArea type="data" outline="0" fieldPosition="0">
        <references count="2">
          <reference field="4294967294" count="1" selected="0">
            <x v="0"/>
          </reference>
          <reference field="17" count="1" selected="0">
            <x v="11"/>
          </reference>
        </references>
      </pivotArea>
    </chartFormat>
    <chartFormat chart="3" format="87" series="1">
      <pivotArea type="data" outline="0" fieldPosition="0">
        <references count="2">
          <reference field="4294967294" count="1" selected="0">
            <x v="0"/>
          </reference>
          <reference field="17" count="1" selected="0">
            <x v="12"/>
          </reference>
        </references>
      </pivotArea>
    </chartFormat>
    <chartFormat chart="3" format="88" series="1">
      <pivotArea type="data" outline="0" fieldPosition="0">
        <references count="2">
          <reference field="4294967294" count="1" selected="0">
            <x v="0"/>
          </reference>
          <reference field="17" count="1" selected="0">
            <x v="13"/>
          </reference>
        </references>
      </pivotArea>
    </chartFormat>
    <chartFormat chart="3" format="89" series="1">
      <pivotArea type="data" outline="0" fieldPosition="0">
        <references count="2">
          <reference field="4294967294" count="1" selected="0">
            <x v="0"/>
          </reference>
          <reference field="17" count="1" selected="0">
            <x v="14"/>
          </reference>
        </references>
      </pivotArea>
    </chartFormat>
    <chartFormat chart="3" format="90" series="1">
      <pivotArea type="data" outline="0" fieldPosition="0">
        <references count="2">
          <reference field="4294967294" count="1" selected="0">
            <x v="0"/>
          </reference>
          <reference field="17" count="1" selected="0">
            <x v="15"/>
          </reference>
        </references>
      </pivotArea>
    </chartFormat>
    <chartFormat chart="3" format="91" series="1">
      <pivotArea type="data" outline="0" fieldPosition="0">
        <references count="2">
          <reference field="4294967294" count="1" selected="0">
            <x v="0"/>
          </reference>
          <reference field="17" count="1" selected="0">
            <x v="16"/>
          </reference>
        </references>
      </pivotArea>
    </chartFormat>
    <chartFormat chart="3" format="92" series="1">
      <pivotArea type="data" outline="0" fieldPosition="0">
        <references count="2">
          <reference field="4294967294" count="1" selected="0">
            <x v="0"/>
          </reference>
          <reference field="17" count="1" selected="0">
            <x v="17"/>
          </reference>
        </references>
      </pivotArea>
    </chartFormat>
    <chartFormat chart="3" format="93" series="1">
      <pivotArea type="data" outline="0" fieldPosition="0">
        <references count="2">
          <reference field="4294967294" count="1" selected="0">
            <x v="0"/>
          </reference>
          <reference field="17" count="1" selected="0">
            <x v="18"/>
          </reference>
        </references>
      </pivotArea>
    </chartFormat>
    <chartFormat chart="3" format="94" series="1">
      <pivotArea type="data" outline="0" fieldPosition="0">
        <references count="2">
          <reference field="4294967294" count="1" selected="0">
            <x v="0"/>
          </reference>
          <reference field="17" count="1" selected="0">
            <x v="19"/>
          </reference>
        </references>
      </pivotArea>
    </chartFormat>
    <chartFormat chart="3" format="95" series="1">
      <pivotArea type="data" outline="0" fieldPosition="0">
        <references count="2">
          <reference field="4294967294" count="1" selected="0">
            <x v="0"/>
          </reference>
          <reference field="17" count="1" selected="0">
            <x v="20"/>
          </reference>
        </references>
      </pivotArea>
    </chartFormat>
    <chartFormat chart="3" format="96" series="1">
      <pivotArea type="data" outline="0" fieldPosition="0">
        <references count="2">
          <reference field="4294967294" count="1" selected="0">
            <x v="0"/>
          </reference>
          <reference field="17" count="1" selected="0">
            <x v="21"/>
          </reference>
        </references>
      </pivotArea>
    </chartFormat>
    <chartFormat chart="3" format="97" series="1">
      <pivotArea type="data" outline="0" fieldPosition="0">
        <references count="2">
          <reference field="4294967294" count="1" selected="0">
            <x v="0"/>
          </reference>
          <reference field="17" count="1" selected="0">
            <x v="22"/>
          </reference>
        </references>
      </pivotArea>
    </chartFormat>
    <chartFormat chart="3" format="98" series="1">
      <pivotArea type="data" outline="0" fieldPosition="0">
        <references count="2">
          <reference field="4294967294" count="1" selected="0">
            <x v="0"/>
          </reference>
          <reference field="17" count="1" selected="0">
            <x v="23"/>
          </reference>
        </references>
      </pivotArea>
    </chartFormat>
    <chartFormat chart="3" format="99" series="1">
      <pivotArea type="data" outline="0" fieldPosition="0">
        <references count="2">
          <reference field="4294967294" count="1" selected="0">
            <x v="0"/>
          </reference>
          <reference field="17" count="1" selected="0">
            <x v="24"/>
          </reference>
        </references>
      </pivotArea>
    </chartFormat>
    <chartFormat chart="3" format="100" series="1">
      <pivotArea type="data" outline="0" fieldPosition="0">
        <references count="2">
          <reference field="4294967294" count="1" selected="0">
            <x v="0"/>
          </reference>
          <reference field="17" count="1" selected="0">
            <x v="25"/>
          </reference>
        </references>
      </pivotArea>
    </chartFormat>
    <chartFormat chart="3" format="101" series="1">
      <pivotArea type="data" outline="0" fieldPosition="0">
        <references count="2">
          <reference field="4294967294" count="1" selected="0">
            <x v="0"/>
          </reference>
          <reference field="17" count="1" selected="0">
            <x v="26"/>
          </reference>
        </references>
      </pivotArea>
    </chartFormat>
    <chartFormat chart="3" format="102" series="1">
      <pivotArea type="data" outline="0" fieldPosition="0">
        <references count="2">
          <reference field="4294967294" count="1" selected="0">
            <x v="0"/>
          </reference>
          <reference field="17" count="1" selected="0">
            <x v="27"/>
          </reference>
        </references>
      </pivotArea>
    </chartFormat>
    <chartFormat chart="3" format="103" series="1">
      <pivotArea type="data" outline="0" fieldPosition="0">
        <references count="2">
          <reference field="4294967294" count="1" selected="0">
            <x v="0"/>
          </reference>
          <reference field="17" count="1" selected="0">
            <x v="28"/>
          </reference>
        </references>
      </pivotArea>
    </chartFormat>
    <chartFormat chart="3" format="104" series="1">
      <pivotArea type="data" outline="0" fieldPosition="0">
        <references count="2">
          <reference field="4294967294" count="1" selected="0">
            <x v="0"/>
          </reference>
          <reference field="17" count="1" selected="0">
            <x v="29"/>
          </reference>
        </references>
      </pivotArea>
    </chartFormat>
    <chartFormat chart="3" format="105" series="1">
      <pivotArea type="data" outline="0" fieldPosition="0">
        <references count="2">
          <reference field="4294967294" count="1" selected="0">
            <x v="0"/>
          </reference>
          <reference field="17" count="1" selected="0">
            <x v="30"/>
          </reference>
        </references>
      </pivotArea>
    </chartFormat>
    <chartFormat chart="3" format="106" series="1">
      <pivotArea type="data" outline="0" fieldPosition="0">
        <references count="2">
          <reference field="4294967294" count="1" selected="0">
            <x v="0"/>
          </reference>
          <reference field="17" count="1" selected="0">
            <x v="3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A8ABECD-95B3-40C8-AFDC-31F15012DB23}" sourceName="AGE">
  <pivotTables>
    <pivotTable tabId="4" name="PivotTable1"/>
    <pivotTable tabId="7" name="PivotTable8"/>
    <pivotTable tabId="5" name="PivotTable4"/>
  </pivotTables>
  <data>
    <tabular pivotCacheId="40115459">
      <items count="40">
        <i x="5" s="1"/>
        <i x="0" s="1"/>
        <i x="15" s="1"/>
        <i x="20" s="1"/>
        <i x="34" s="1"/>
        <i x="1" s="1"/>
        <i x="29" s="1"/>
        <i x="22" s="1"/>
        <i x="27" s="1"/>
        <i x="33" s="1"/>
        <i x="9" s="1"/>
        <i x="26" s="1"/>
        <i x="25" s="1"/>
        <i x="19" s="1"/>
        <i x="24" s="1"/>
        <i x="23" s="1"/>
        <i x="21" s="1"/>
        <i x="18" s="1"/>
        <i x="10" s="1"/>
        <i x="14" s="1"/>
        <i x="3" s="1"/>
        <i x="28" s="1"/>
        <i x="31" s="1"/>
        <i x="13" s="1"/>
        <i x="7" s="1"/>
        <i x="4" s="1"/>
        <i x="2" s="1"/>
        <i x="32" s="1"/>
        <i x="17" s="1"/>
        <i x="12" s="1"/>
        <i x="8" s="1"/>
        <i x="6" s="1"/>
        <i x="30" s="1"/>
        <i x="11" s="1"/>
        <i x="16" s="1"/>
        <i x="35" s="1"/>
        <i x="36" s="1"/>
        <i x="37" s="1"/>
        <i x="38" s="1"/>
        <i x="3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C8644A3-141E-4526-8FA0-D80B0A34291D}" sourceName="GENDER">
  <pivotTables>
    <pivotTable tabId="4" name="PivotTable1"/>
    <pivotTable tabId="7" name="PivotTable8"/>
    <pivotTable tabId="5" name="PivotTable4"/>
  </pivotTables>
  <data>
    <tabular pivotCacheId="4011545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NAME" xr10:uid="{006CA1E2-F76B-4CDC-98BC-2FFA6A783152}" sourceName="COUNTRY NAME">
  <pivotTables>
    <pivotTable tabId="4" name="PivotTable1"/>
    <pivotTable tabId="7" name="PivotTable8"/>
    <pivotTable tabId="5" name="PivotTable4"/>
  </pivotTables>
  <data>
    <tabular pivotCacheId="40115459">
      <items count="11">
        <i x="7" s="1"/>
        <i x="4" s="1"/>
        <i x="5" s="1"/>
        <i x="1" s="1"/>
        <i x="6" s="1"/>
        <i x="3" s="1"/>
        <i x="9" s="1"/>
        <i x="8" s="1"/>
        <i x="10"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ORTS" xr10:uid="{39305868-D350-419A-88AA-A9AF4B046235}" sourceName="SPORTS">
  <pivotTables>
    <pivotTable tabId="4" name="PivotTable1"/>
    <pivotTable tabId="7" name="PivotTable8"/>
    <pivotTable tabId="5" name="PivotTable4"/>
  </pivotTables>
  <data>
    <tabular pivotCacheId="40115459">
      <items count="32">
        <i x="3" s="1"/>
        <i x="10" s="1"/>
        <i x="27" s="1"/>
        <i x="17" s="1"/>
        <i x="20" s="1"/>
        <i x="30" s="1"/>
        <i x="1" s="1"/>
        <i x="21" s="1"/>
        <i x="12" s="1"/>
        <i x="7" s="1"/>
        <i x="13" s="1"/>
        <i x="15" s="1"/>
        <i x="6" s="1"/>
        <i x="0" s="1"/>
        <i x="24" s="1"/>
        <i x="19" s="1"/>
        <i x="5" s="1"/>
        <i x="2" s="1"/>
        <i x="9" s="1"/>
        <i x="23" s="1"/>
        <i x="28" s="1"/>
        <i x="14" s="1"/>
        <i x="25" s="1"/>
        <i x="29" s="1"/>
        <i x="11" s="1"/>
        <i x="26" s="1"/>
        <i x="8" s="1"/>
        <i x="16" s="1"/>
        <i x="31" s="1"/>
        <i x="18" s="1"/>
        <i x="2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D942A234-5AAE-47C1-AB2E-B54D2902C45F}" cache="Slicer_AGE" caption="AGE" rowHeight="209550"/>
  <slicer name="GENDER" xr10:uid="{B238B2B8-23A1-40B0-A5ED-1EE06D3D42EF}" cache="Slicer_GENDER" caption="GENDER" rowHeight="209550"/>
  <slicer name="COUNTRY NAME" xr10:uid="{49DFA7AC-71E7-4448-BBD1-CC91796F15F9}" cache="Slicer_COUNTRY_NAME" caption="COUNTRY NAME" rowHeight="209550"/>
  <slicer name="SPORTS" xr10:uid="{CCEC1A8D-6249-4018-97E7-F6B5CB48F588}" cache="Slicer_SPORTS" caption="SPORTS"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5FD316E8-7502-4978-92D7-F5F1797B099E}" cache="Slicer_AGE" caption="AGE" style="Slicer Style 4" rowHeight="209550"/>
  <slicer name="GENDER 1" xr10:uid="{3B687950-D52F-4438-B29A-7C7EDE48B965}" cache="Slicer_GENDER" caption="GENDER" style="Slicer Style 4" rowHeight="209550"/>
  <slicer name="COUNTRY NAME 1" xr10:uid="{5FC19096-C51B-4EF3-86D4-0EB87425BFFD}" cache="Slicer_COUNTRY_NAME" caption="COUNTRY NAME" style="Slicer Style 4" rowHeight="209550"/>
  <slicer name="SPORTS 1" xr10:uid="{DF51D739-0463-482A-92D2-2E3A42F08844}" cache="Slicer_SPORTS" caption="SPORTS" style="Slicer Style 4"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33"/>
  <sheetViews>
    <sheetView workbookViewId="0"/>
  </sheetViews>
  <sheetFormatPr defaultColWidth="12.6640625" defaultRowHeight="15.75" customHeight="1" x14ac:dyDescent="0.25"/>
  <cols>
    <col min="1" max="1" width="13.77734375" customWidth="1"/>
    <col min="2" max="2" width="20.109375" customWidth="1"/>
  </cols>
  <sheetData>
    <row r="1" spans="1:2" ht="15.75" customHeight="1" x14ac:dyDescent="0.3">
      <c r="A1" s="7" t="s">
        <v>216</v>
      </c>
      <c r="B1" s="8" t="s">
        <v>15</v>
      </c>
    </row>
    <row r="2" spans="1:2" ht="15.75" customHeight="1" x14ac:dyDescent="0.3">
      <c r="A2" s="9" t="s">
        <v>217</v>
      </c>
      <c r="B2" s="10" t="s">
        <v>24</v>
      </c>
    </row>
    <row r="3" spans="1:2" ht="15.75" customHeight="1" x14ac:dyDescent="0.3">
      <c r="A3" s="9" t="s">
        <v>217</v>
      </c>
      <c r="B3" s="10" t="s">
        <v>29</v>
      </c>
    </row>
    <row r="4" spans="1:2" ht="15.75" customHeight="1" x14ac:dyDescent="0.3">
      <c r="A4" s="9" t="s">
        <v>218</v>
      </c>
      <c r="B4" s="10" t="s">
        <v>37</v>
      </c>
    </row>
    <row r="5" spans="1:2" ht="15.75" customHeight="1" x14ac:dyDescent="0.3">
      <c r="A5" s="9" t="s">
        <v>218</v>
      </c>
      <c r="B5" s="10" t="s">
        <v>41</v>
      </c>
    </row>
    <row r="6" spans="1:2" ht="15.75" customHeight="1" x14ac:dyDescent="0.3">
      <c r="A6" s="9" t="s">
        <v>217</v>
      </c>
      <c r="B6" s="10" t="s">
        <v>46</v>
      </c>
    </row>
    <row r="7" spans="1:2" ht="15.75" customHeight="1" x14ac:dyDescent="0.3">
      <c r="A7" s="9" t="s">
        <v>217</v>
      </c>
      <c r="B7" s="10" t="s">
        <v>51</v>
      </c>
    </row>
    <row r="8" spans="1:2" ht="15.75" customHeight="1" x14ac:dyDescent="0.3">
      <c r="A8" s="9" t="s">
        <v>218</v>
      </c>
      <c r="B8" s="10" t="s">
        <v>55</v>
      </c>
    </row>
    <row r="9" spans="1:2" ht="15.75" customHeight="1" x14ac:dyDescent="0.3">
      <c r="A9" s="9" t="s">
        <v>217</v>
      </c>
      <c r="B9" s="10" t="s">
        <v>59</v>
      </c>
    </row>
    <row r="10" spans="1:2" ht="15.75" customHeight="1" x14ac:dyDescent="0.3">
      <c r="A10" s="9" t="s">
        <v>217</v>
      </c>
      <c r="B10" s="10" t="s">
        <v>63</v>
      </c>
    </row>
    <row r="11" spans="1:2" ht="15.75" customHeight="1" x14ac:dyDescent="0.3">
      <c r="A11" s="9" t="s">
        <v>218</v>
      </c>
      <c r="B11" s="10" t="s">
        <v>71</v>
      </c>
    </row>
    <row r="12" spans="1:2" ht="15.75" customHeight="1" x14ac:dyDescent="0.3">
      <c r="A12" s="9" t="s">
        <v>218</v>
      </c>
      <c r="B12" s="10" t="s">
        <v>75</v>
      </c>
    </row>
    <row r="13" spans="1:2" ht="15.75" customHeight="1" x14ac:dyDescent="0.3">
      <c r="A13" s="9" t="s">
        <v>218</v>
      </c>
      <c r="B13" s="10" t="s">
        <v>78</v>
      </c>
    </row>
    <row r="14" spans="1:2" ht="15.75" customHeight="1" x14ac:dyDescent="0.3">
      <c r="A14" s="9" t="s">
        <v>218</v>
      </c>
      <c r="B14" s="10" t="s">
        <v>84</v>
      </c>
    </row>
    <row r="15" spans="1:2" ht="15.75" customHeight="1" x14ac:dyDescent="0.3">
      <c r="A15" s="9" t="s">
        <v>217</v>
      </c>
      <c r="B15" s="10" t="s">
        <v>89</v>
      </c>
    </row>
    <row r="16" spans="1:2" ht="15.75" customHeight="1" x14ac:dyDescent="0.3">
      <c r="A16" s="9" t="s">
        <v>217</v>
      </c>
      <c r="B16" s="10" t="s">
        <v>94</v>
      </c>
    </row>
    <row r="17" spans="1:2" ht="15.75" customHeight="1" x14ac:dyDescent="0.3">
      <c r="A17" s="9" t="s">
        <v>218</v>
      </c>
      <c r="B17" s="10" t="s">
        <v>97</v>
      </c>
    </row>
    <row r="18" spans="1:2" ht="15.75" customHeight="1" x14ac:dyDescent="0.3">
      <c r="A18" s="9" t="s">
        <v>217</v>
      </c>
      <c r="B18" s="10" t="s">
        <v>101</v>
      </c>
    </row>
    <row r="19" spans="1:2" ht="15.75" customHeight="1" x14ac:dyDescent="0.3">
      <c r="A19" s="9" t="s">
        <v>217</v>
      </c>
      <c r="B19" s="10" t="s">
        <v>105</v>
      </c>
    </row>
    <row r="20" spans="1:2" ht="15.75" customHeight="1" x14ac:dyDescent="0.3">
      <c r="A20" s="9" t="s">
        <v>218</v>
      </c>
      <c r="B20" s="10" t="s">
        <v>108</v>
      </c>
    </row>
    <row r="21" spans="1:2" ht="15.75" customHeight="1" x14ac:dyDescent="0.3">
      <c r="A21" s="9" t="s">
        <v>218</v>
      </c>
      <c r="B21" s="10" t="s">
        <v>112</v>
      </c>
    </row>
    <row r="22" spans="1:2" ht="15.75" customHeight="1" x14ac:dyDescent="0.3">
      <c r="A22" s="9" t="s">
        <v>218</v>
      </c>
      <c r="B22" s="10" t="s">
        <v>115</v>
      </c>
    </row>
    <row r="23" spans="1:2" ht="15.75" customHeight="1" x14ac:dyDescent="0.3">
      <c r="A23" s="9" t="s">
        <v>218</v>
      </c>
      <c r="B23" s="10" t="s">
        <v>118</v>
      </c>
    </row>
    <row r="24" spans="1:2" ht="15.75" customHeight="1" x14ac:dyDescent="0.3">
      <c r="A24" s="9" t="s">
        <v>217</v>
      </c>
      <c r="B24" s="10" t="s">
        <v>127</v>
      </c>
    </row>
    <row r="25" spans="1:2" ht="15.75" customHeight="1" x14ac:dyDescent="0.3">
      <c r="A25" s="9" t="s">
        <v>218</v>
      </c>
      <c r="B25" s="10" t="s">
        <v>136</v>
      </c>
    </row>
    <row r="26" spans="1:2" ht="15.75" customHeight="1" x14ac:dyDescent="0.3">
      <c r="A26" s="9" t="s">
        <v>217</v>
      </c>
      <c r="B26" s="10" t="s">
        <v>144</v>
      </c>
    </row>
    <row r="27" spans="1:2" ht="14.4" x14ac:dyDescent="0.3">
      <c r="A27" s="9" t="s">
        <v>218</v>
      </c>
      <c r="B27" s="10" t="s">
        <v>148</v>
      </c>
    </row>
    <row r="28" spans="1:2" ht="14.4" x14ac:dyDescent="0.3">
      <c r="A28" s="9" t="s">
        <v>218</v>
      </c>
      <c r="B28" s="10" t="s">
        <v>153</v>
      </c>
    </row>
    <row r="29" spans="1:2" ht="14.4" x14ac:dyDescent="0.3">
      <c r="A29" s="9" t="s">
        <v>218</v>
      </c>
      <c r="B29" s="10" t="s">
        <v>166</v>
      </c>
    </row>
    <row r="30" spans="1:2" ht="14.4" x14ac:dyDescent="0.3">
      <c r="A30" s="9" t="s">
        <v>217</v>
      </c>
      <c r="B30" s="10" t="s">
        <v>170</v>
      </c>
    </row>
    <row r="31" spans="1:2" ht="14.4" x14ac:dyDescent="0.3">
      <c r="A31" s="9" t="s">
        <v>217</v>
      </c>
      <c r="B31" s="10" t="s">
        <v>178</v>
      </c>
    </row>
    <row r="32" spans="1:2" ht="14.4" x14ac:dyDescent="0.3">
      <c r="A32" s="9" t="s">
        <v>218</v>
      </c>
      <c r="B32" s="10" t="s">
        <v>192</v>
      </c>
    </row>
    <row r="33" spans="1:2" ht="14.4" x14ac:dyDescent="0.3">
      <c r="A33" s="9" t="s">
        <v>217</v>
      </c>
      <c r="B33" s="10" t="s">
        <v>197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3"/>
  <sheetViews>
    <sheetView workbookViewId="0"/>
  </sheetViews>
  <sheetFormatPr defaultColWidth="12.6640625" defaultRowHeight="15.75" customHeight="1" x14ac:dyDescent="0.25"/>
  <sheetData>
    <row r="1" spans="1:13" ht="15.75" customHeight="1" x14ac:dyDescent="0.3">
      <c r="A1" s="3" t="s">
        <v>11</v>
      </c>
      <c r="B1" s="4" t="s">
        <v>198</v>
      </c>
      <c r="C1" s="4" t="s">
        <v>199</v>
      </c>
      <c r="D1" s="4" t="s">
        <v>198</v>
      </c>
      <c r="E1" s="4" t="s">
        <v>200</v>
      </c>
      <c r="F1" s="4" t="s">
        <v>198</v>
      </c>
      <c r="G1" s="4" t="s">
        <v>200</v>
      </c>
      <c r="H1" s="4" t="s">
        <v>201</v>
      </c>
      <c r="I1" s="4" t="s">
        <v>202</v>
      </c>
      <c r="J1" s="4" t="s">
        <v>202</v>
      </c>
      <c r="K1" s="4" t="s">
        <v>203</v>
      </c>
      <c r="L1" s="4" t="s">
        <v>204</v>
      </c>
      <c r="M1" s="4" t="s">
        <v>199</v>
      </c>
    </row>
    <row r="2" spans="1:13" ht="15.75" customHeight="1" x14ac:dyDescent="0.3">
      <c r="A2" s="5" t="s">
        <v>9</v>
      </c>
      <c r="B2" s="6" t="s">
        <v>22</v>
      </c>
      <c r="C2" s="6" t="s">
        <v>36</v>
      </c>
      <c r="D2" s="6" t="s">
        <v>62</v>
      </c>
      <c r="E2" s="6" t="s">
        <v>83</v>
      </c>
      <c r="F2" s="6" t="s">
        <v>100</v>
      </c>
      <c r="G2" s="6" t="s">
        <v>126</v>
      </c>
      <c r="H2" s="6" t="s">
        <v>135</v>
      </c>
      <c r="I2" s="6" t="s">
        <v>159</v>
      </c>
      <c r="J2" s="6" t="s">
        <v>169</v>
      </c>
      <c r="K2" s="6" t="s">
        <v>177</v>
      </c>
      <c r="L2" s="6" t="s">
        <v>188</v>
      </c>
      <c r="M2" s="6" t="s">
        <v>196</v>
      </c>
    </row>
    <row r="3" spans="1:13" ht="15.75" customHeight="1" x14ac:dyDescent="0.3">
      <c r="A3" s="5" t="s">
        <v>10</v>
      </c>
      <c r="B3" s="6" t="s">
        <v>205</v>
      </c>
      <c r="C3" s="6" t="s">
        <v>206</v>
      </c>
      <c r="D3" s="6" t="s">
        <v>207</v>
      </c>
      <c r="E3" s="6" t="s">
        <v>208</v>
      </c>
      <c r="F3" s="6" t="s">
        <v>209</v>
      </c>
      <c r="G3" s="6" t="s">
        <v>210</v>
      </c>
      <c r="H3" s="6" t="s">
        <v>211</v>
      </c>
      <c r="I3" s="6" t="s">
        <v>212</v>
      </c>
      <c r="J3" s="6" t="s">
        <v>213</v>
      </c>
      <c r="K3" s="6" t="s">
        <v>214</v>
      </c>
      <c r="L3" s="6" t="s">
        <v>215</v>
      </c>
      <c r="M3" s="6" t="s">
        <v>206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51"/>
  <sheetViews>
    <sheetView workbookViewId="0">
      <selection sqref="A1:T51"/>
    </sheetView>
  </sheetViews>
  <sheetFormatPr defaultColWidth="12.6640625" defaultRowHeight="15.75" customHeight="1" x14ac:dyDescent="0.25"/>
  <cols>
    <col min="1" max="1" width="12.6640625" style="13"/>
    <col min="2" max="2" width="15.44140625" bestFit="1" customWidth="1"/>
    <col min="7" max="7" width="15.88671875" bestFit="1" customWidth="1"/>
    <col min="8" max="8" width="15.88671875" customWidth="1"/>
    <col min="9" max="9" width="15.88671875" style="25" customWidth="1"/>
    <col min="12" max="12" width="14" customWidth="1"/>
    <col min="13" max="13" width="14.44140625" customWidth="1"/>
    <col min="15" max="15" width="23.5546875" bestFit="1" customWidth="1"/>
    <col min="16" max="16" width="12.6640625" style="25"/>
    <col min="17" max="17" width="15.77734375" customWidth="1"/>
    <col min="19" max="19" width="12.6640625" style="19"/>
  </cols>
  <sheetData>
    <row r="1" spans="1:20" x14ac:dyDescent="0.25">
      <c r="A1" s="12" t="s">
        <v>0</v>
      </c>
      <c r="B1" s="11" t="s">
        <v>1</v>
      </c>
      <c r="C1" s="1" t="s">
        <v>2</v>
      </c>
      <c r="D1" s="1" t="s">
        <v>3</v>
      </c>
      <c r="E1" s="1" t="s">
        <v>4</v>
      </c>
      <c r="F1" s="1" t="s">
        <v>5</v>
      </c>
      <c r="G1" s="1" t="s">
        <v>6</v>
      </c>
      <c r="H1" s="1" t="s">
        <v>219</v>
      </c>
      <c r="I1" s="21" t="s">
        <v>225</v>
      </c>
      <c r="J1" s="1" t="s">
        <v>7</v>
      </c>
      <c r="K1" s="1" t="s">
        <v>8</v>
      </c>
      <c r="L1" s="1" t="s">
        <v>9</v>
      </c>
      <c r="M1" s="11" t="s">
        <v>10</v>
      </c>
      <c r="N1" s="11" t="s">
        <v>11</v>
      </c>
      <c r="O1" s="11" t="s">
        <v>12</v>
      </c>
      <c r="P1" s="1" t="s">
        <v>13</v>
      </c>
      <c r="Q1" s="1" t="s">
        <v>14</v>
      </c>
      <c r="R1" s="1" t="s">
        <v>15</v>
      </c>
      <c r="S1" s="18" t="s">
        <v>16</v>
      </c>
      <c r="T1" s="1" t="s">
        <v>231</v>
      </c>
    </row>
    <row r="2" spans="1:20" x14ac:dyDescent="0.25">
      <c r="A2" s="14">
        <f>1</f>
        <v>1</v>
      </c>
      <c r="B2" t="str">
        <f>_xlfn.CONCAT(C2," ",D2," ",E2," ",F2)</f>
        <v>Ms. Annie  Abbott</v>
      </c>
      <c r="C2" s="2" t="s">
        <v>17</v>
      </c>
      <c r="D2" s="2" t="s">
        <v>18</v>
      </c>
      <c r="F2" s="2" t="s">
        <v>19</v>
      </c>
      <c r="G2" s="2">
        <v>1997</v>
      </c>
      <c r="H2" s="15">
        <f>DATE(G2,1,1)</f>
        <v>35431</v>
      </c>
      <c r="I2" s="24">
        <f>2026-G2</f>
        <v>29</v>
      </c>
      <c r="J2" s="2" t="s">
        <v>20</v>
      </c>
      <c r="K2" s="2" t="s">
        <v>21</v>
      </c>
      <c r="L2" s="2" t="s">
        <v>22</v>
      </c>
      <c r="M2" t="str">
        <f>_xlfn.XLOOKUP(Sportsmen!L2,Location_details!A2:M2,Location_details!A3:M3)</f>
        <v>USA</v>
      </c>
      <c r="N2" t="str">
        <f>_xlfn.XLOOKUP(L2,Location_details!$A$2:$M$2,Location_details!$A$1:$M$1)</f>
        <v>English</v>
      </c>
      <c r="O2" t="str">
        <f>LOWER(F2&amp;"."&amp;D2&amp;"@xyz.org")</f>
        <v>abbott.annie@xyz.org</v>
      </c>
      <c r="P2" s="24" t="s">
        <v>23</v>
      </c>
      <c r="Q2" t="str">
        <f>_xlfn.XLOOKUP(R2,Sports_details!B:B,Sports_details!A:A)</f>
        <v>INDOOR</v>
      </c>
      <c r="R2" s="2" t="s">
        <v>24</v>
      </c>
      <c r="S2" s="20">
        <v>80.73</v>
      </c>
      <c r="T2" s="26">
        <v>94</v>
      </c>
    </row>
    <row r="3" spans="1:20" x14ac:dyDescent="0.25">
      <c r="A3" s="14">
        <v>2</v>
      </c>
      <c r="B3" t="str">
        <f t="shared" ref="B3:B51" si="0">_xlfn.CONCAT(C3," ",D3," ",E3," ",F3)</f>
        <v>Ms. Aurelie  Liesuchke</v>
      </c>
      <c r="C3" s="2" t="s">
        <v>17</v>
      </c>
      <c r="D3" s="2" t="s">
        <v>25</v>
      </c>
      <c r="F3" s="2" t="s">
        <v>26</v>
      </c>
      <c r="G3" s="2">
        <v>1992</v>
      </c>
      <c r="H3" s="15">
        <f t="shared" ref="H3:H51" si="1">DATE(G3,1,1)</f>
        <v>33604</v>
      </c>
      <c r="I3" s="24">
        <f t="shared" ref="I3:I51" si="2">2026-G3</f>
        <v>34</v>
      </c>
      <c r="J3" s="2" t="s">
        <v>27</v>
      </c>
      <c r="K3" s="2" t="s">
        <v>21</v>
      </c>
      <c r="L3" s="2" t="s">
        <v>22</v>
      </c>
      <c r="M3" t="str">
        <f>_xlfn.XLOOKUP(L3,Location_details!$A$2:$M$2,Location_details!$A$3:$M$3)</f>
        <v>USA</v>
      </c>
      <c r="N3" t="str">
        <f>_xlfn.XLOOKUP(L3,Location_details!$A$2:$M$2,Location_details!$A$1:$M$1)</f>
        <v>English</v>
      </c>
      <c r="O3" t="str">
        <f>LOWER(F3&amp;"."&amp;D3&amp;"@xyz.org")</f>
        <v>liesuchke.aurelie@xyz.org</v>
      </c>
      <c r="P3" s="24" t="s">
        <v>28</v>
      </c>
      <c r="Q3" t="str">
        <f>_xlfn.XLOOKUP(R3,Sports_details!B:B,Sports_details!A:A)</f>
        <v>INDOOR</v>
      </c>
      <c r="R3" s="2" t="s">
        <v>29</v>
      </c>
      <c r="S3" s="20">
        <v>87.47</v>
      </c>
      <c r="T3" s="26">
        <v>84</v>
      </c>
    </row>
    <row r="4" spans="1:20" x14ac:dyDescent="0.25">
      <c r="A4" s="14">
        <v>3</v>
      </c>
      <c r="B4" t="str">
        <f t="shared" si="0"/>
        <v>Sr. Tomas Ferreira Filho</v>
      </c>
      <c r="C4" s="2" t="s">
        <v>30</v>
      </c>
      <c r="D4" s="2" t="s">
        <v>31</v>
      </c>
      <c r="E4" s="2" t="s">
        <v>32</v>
      </c>
      <c r="F4" s="2" t="s">
        <v>33</v>
      </c>
      <c r="G4" s="2">
        <v>1969</v>
      </c>
      <c r="H4" s="15">
        <f t="shared" si="1"/>
        <v>25204</v>
      </c>
      <c r="I4" s="24">
        <f t="shared" si="2"/>
        <v>57</v>
      </c>
      <c r="J4" s="2" t="s">
        <v>34</v>
      </c>
      <c r="K4" s="2" t="s">
        <v>35</v>
      </c>
      <c r="L4" s="2" t="s">
        <v>36</v>
      </c>
      <c r="M4" t="str">
        <f>_xlfn.XLOOKUP(L4,Location_details!$A$2:$M$2,Location_details!$A$3:$M$3)</f>
        <v>BRAZIL</v>
      </c>
      <c r="N4" t="str">
        <f>_xlfn.XLOOKUP(L4,Location_details!$A$2:$M$2,Location_details!$A$1:$M$1)</f>
        <v>Portuguese</v>
      </c>
      <c r="O4" t="str">
        <f>LOWER(F4&amp;"."&amp;D4&amp;"xyz.com")</f>
        <v>filho.tomasxyz.com</v>
      </c>
      <c r="P4" s="24" t="s">
        <v>23</v>
      </c>
      <c r="Q4" t="str">
        <f>_xlfn.XLOOKUP(R4,Sports_details!B:B,Sports_details!A:A)</f>
        <v>OUTDOOR</v>
      </c>
      <c r="R4" s="2" t="s">
        <v>37</v>
      </c>
      <c r="S4" s="20">
        <v>64.72</v>
      </c>
      <c r="T4" s="26">
        <v>53</v>
      </c>
    </row>
    <row r="5" spans="1:20" x14ac:dyDescent="0.25">
      <c r="A5" s="14">
        <v>4</v>
      </c>
      <c r="B5" t="str">
        <f t="shared" si="0"/>
        <v>Ms. Darby  Cruickshank</v>
      </c>
      <c r="C5" s="2" t="s">
        <v>17</v>
      </c>
      <c r="D5" s="2" t="s">
        <v>38</v>
      </c>
      <c r="F5" s="2" t="s">
        <v>39</v>
      </c>
      <c r="G5" s="2">
        <v>1975</v>
      </c>
      <c r="H5" s="15">
        <f t="shared" si="1"/>
        <v>27395</v>
      </c>
      <c r="I5" s="24">
        <f t="shared" si="2"/>
        <v>51</v>
      </c>
      <c r="J5" s="2" t="s">
        <v>40</v>
      </c>
      <c r="K5" s="2" t="s">
        <v>21</v>
      </c>
      <c r="L5" s="2" t="s">
        <v>22</v>
      </c>
      <c r="M5" t="str">
        <f>_xlfn.XLOOKUP(L5,Location_details!$A$2:$M$2,Location_details!$A$3:$M$3)</f>
        <v>USA</v>
      </c>
      <c r="N5" t="str">
        <f>_xlfn.XLOOKUP(L5,Location_details!$A$2:$M$2,Location_details!$A$1:$M$1)</f>
        <v>English</v>
      </c>
      <c r="O5" t="str">
        <f t="shared" ref="O5:O14" si="3">LOWER(F5&amp;"."&amp;D5&amp;"@xyz.org")</f>
        <v>cruickshank.darby@xyz.org</v>
      </c>
      <c r="P5" s="24" t="s">
        <v>28</v>
      </c>
      <c r="Q5" t="str">
        <f>_xlfn.XLOOKUP(R5,Sports_details!B:B,Sports_details!A:A)</f>
        <v>OUTDOOR</v>
      </c>
      <c r="R5" s="2" t="s">
        <v>41</v>
      </c>
      <c r="S5" s="20">
        <v>110.8</v>
      </c>
      <c r="T5" s="26">
        <v>49</v>
      </c>
    </row>
    <row r="6" spans="1:20" x14ac:dyDescent="0.25">
      <c r="A6" s="14">
        <v>5</v>
      </c>
      <c r="B6" t="str">
        <f t="shared" si="0"/>
        <v>Dr. Jaydon  Borer</v>
      </c>
      <c r="C6" s="2" t="s">
        <v>42</v>
      </c>
      <c r="D6" s="2" t="s">
        <v>43</v>
      </c>
      <c r="F6" s="2" t="s">
        <v>44</v>
      </c>
      <c r="G6" s="2">
        <v>1970</v>
      </c>
      <c r="H6" s="15">
        <f t="shared" si="1"/>
        <v>25569</v>
      </c>
      <c r="I6" s="24">
        <f t="shared" si="2"/>
        <v>56</v>
      </c>
      <c r="J6" s="2" t="s">
        <v>40</v>
      </c>
      <c r="K6" s="2" t="s">
        <v>35</v>
      </c>
      <c r="L6" s="2" t="s">
        <v>22</v>
      </c>
      <c r="M6" t="str">
        <f>_xlfn.XLOOKUP(L6,Location_details!$A$2:$M$2,Location_details!$A$3:$M$3)</f>
        <v>USA</v>
      </c>
      <c r="N6" t="str">
        <f>_xlfn.XLOOKUP(L6,Location_details!$A$2:$M$2,Location_details!$A$1:$M$1)</f>
        <v>English</v>
      </c>
      <c r="O6" t="str">
        <f t="shared" si="3"/>
        <v>borer.jaydon@xyz.org</v>
      </c>
      <c r="P6" s="24" t="s">
        <v>45</v>
      </c>
      <c r="Q6" t="str">
        <f>_xlfn.XLOOKUP(R6,Sports_details!B:B,Sports_details!A:A)</f>
        <v>INDOOR</v>
      </c>
      <c r="R6" s="2" t="s">
        <v>46</v>
      </c>
      <c r="S6" s="20">
        <v>56.92</v>
      </c>
      <c r="T6" s="26">
        <v>85</v>
      </c>
    </row>
    <row r="7" spans="1:20" x14ac:dyDescent="0.25">
      <c r="A7" s="14">
        <v>6</v>
      </c>
      <c r="B7" t="str">
        <f t="shared" si="0"/>
        <v>Mr. Moriah  Lynch</v>
      </c>
      <c r="C7" s="2" t="s">
        <v>47</v>
      </c>
      <c r="D7" s="2" t="s">
        <v>48</v>
      </c>
      <c r="F7" s="2" t="s">
        <v>49</v>
      </c>
      <c r="G7" s="2">
        <v>1992</v>
      </c>
      <c r="H7" s="15">
        <f t="shared" si="1"/>
        <v>33604</v>
      </c>
      <c r="I7" s="24">
        <f t="shared" si="2"/>
        <v>34</v>
      </c>
      <c r="J7" s="2" t="s">
        <v>50</v>
      </c>
      <c r="K7" s="2" t="s">
        <v>35</v>
      </c>
      <c r="L7" s="2" t="s">
        <v>22</v>
      </c>
      <c r="M7" t="str">
        <f>_xlfn.XLOOKUP(L7,Location_details!$A$2:$M$2,Location_details!$A$3:$M$3)</f>
        <v>USA</v>
      </c>
      <c r="N7" t="str">
        <f>_xlfn.XLOOKUP(L7,Location_details!$A$2:$M$2,Location_details!$A$1:$M$1)</f>
        <v>English</v>
      </c>
      <c r="O7" t="str">
        <f t="shared" si="3"/>
        <v>lynch.moriah@xyz.org</v>
      </c>
      <c r="P7" s="24" t="s">
        <v>28</v>
      </c>
      <c r="Q7" t="str">
        <f>_xlfn.XLOOKUP(R7,Sports_details!B:B,Sports_details!A:A)</f>
        <v>INDOOR</v>
      </c>
      <c r="R7" s="2" t="s">
        <v>51</v>
      </c>
      <c r="S7" s="20">
        <v>51.13</v>
      </c>
      <c r="T7" s="26">
        <v>83</v>
      </c>
    </row>
    <row r="8" spans="1:20" x14ac:dyDescent="0.25">
      <c r="A8" s="14">
        <v>7</v>
      </c>
      <c r="B8" t="str">
        <f t="shared" si="0"/>
        <v>Ms. Amiya  Eichmann</v>
      </c>
      <c r="C8" s="2" t="s">
        <v>17</v>
      </c>
      <c r="D8" s="2" t="s">
        <v>52</v>
      </c>
      <c r="F8" s="2" t="s">
        <v>53</v>
      </c>
      <c r="G8" s="2">
        <v>1999</v>
      </c>
      <c r="H8" s="15">
        <f t="shared" si="1"/>
        <v>36161</v>
      </c>
      <c r="I8" s="24">
        <f t="shared" si="2"/>
        <v>27</v>
      </c>
      <c r="J8" s="2" t="s">
        <v>54</v>
      </c>
      <c r="K8" s="2" t="s">
        <v>21</v>
      </c>
      <c r="L8" s="2" t="s">
        <v>22</v>
      </c>
      <c r="M8" t="str">
        <f>_xlfn.XLOOKUP(L8,Location_details!$A$2:$M$2,Location_details!$A$3:$M$3)</f>
        <v>USA</v>
      </c>
      <c r="N8" t="str">
        <f>_xlfn.XLOOKUP(L8,Location_details!$A$2:$M$2,Location_details!$A$1:$M$1)</f>
        <v>English</v>
      </c>
      <c r="O8" t="str">
        <f t="shared" si="3"/>
        <v>eichmann.amiya@xyz.org</v>
      </c>
      <c r="P8" s="24" t="s">
        <v>45</v>
      </c>
      <c r="Q8" t="str">
        <f>_xlfn.XLOOKUP(R8,Sports_details!B:B,Sports_details!A:A)</f>
        <v>OUTDOOR</v>
      </c>
      <c r="R8" s="2" t="s">
        <v>55</v>
      </c>
      <c r="S8" s="20">
        <v>65.47</v>
      </c>
      <c r="T8" s="26">
        <v>61</v>
      </c>
    </row>
    <row r="9" spans="1:20" x14ac:dyDescent="0.25">
      <c r="A9" s="14">
        <v>8</v>
      </c>
      <c r="B9" t="str">
        <f t="shared" si="0"/>
        <v>Mr. Pierce  Rau</v>
      </c>
      <c r="C9" s="2" t="s">
        <v>47</v>
      </c>
      <c r="D9" s="2" t="s">
        <v>56</v>
      </c>
      <c r="F9" s="2" t="s">
        <v>57</v>
      </c>
      <c r="G9" s="2">
        <v>1963</v>
      </c>
      <c r="H9" s="15">
        <f t="shared" si="1"/>
        <v>23012</v>
      </c>
      <c r="I9" s="24">
        <f t="shared" si="2"/>
        <v>63</v>
      </c>
      <c r="J9" s="2" t="s">
        <v>40</v>
      </c>
      <c r="K9" s="2" t="s">
        <v>35</v>
      </c>
      <c r="L9" s="2" t="s">
        <v>22</v>
      </c>
      <c r="M9" t="str">
        <f>_xlfn.XLOOKUP(L9,Location_details!$A$2:$M$2,Location_details!$A$3:$M$3)</f>
        <v>USA</v>
      </c>
      <c r="N9" t="str">
        <f>_xlfn.XLOOKUP(L9,Location_details!$A$2:$M$2,Location_details!$A$1:$M$1)</f>
        <v>English</v>
      </c>
      <c r="O9" t="str">
        <f t="shared" si="3"/>
        <v>rau.pierce@xyz.org</v>
      </c>
      <c r="P9" s="24" t="s">
        <v>58</v>
      </c>
      <c r="Q9" t="str">
        <f>_xlfn.XLOOKUP(R9,Sports_details!B:B,Sports_details!A:A)</f>
        <v>INDOOR</v>
      </c>
      <c r="R9" s="2" t="s">
        <v>59</v>
      </c>
      <c r="S9" s="20">
        <v>109.9</v>
      </c>
      <c r="T9" s="26">
        <v>106</v>
      </c>
    </row>
    <row r="10" spans="1:20" x14ac:dyDescent="0.25">
      <c r="A10" s="14">
        <v>9</v>
      </c>
      <c r="B10" t="str">
        <f t="shared" si="0"/>
        <v>Ms. Amelia  Stevens</v>
      </c>
      <c r="C10" s="2" t="s">
        <v>17</v>
      </c>
      <c r="D10" s="2" t="s">
        <v>60</v>
      </c>
      <c r="F10" s="2" t="s">
        <v>61</v>
      </c>
      <c r="G10" s="2">
        <v>1971</v>
      </c>
      <c r="H10" s="15">
        <f t="shared" si="1"/>
        <v>25934</v>
      </c>
      <c r="I10" s="24">
        <f t="shared" si="2"/>
        <v>55</v>
      </c>
      <c r="J10" s="2" t="s">
        <v>27</v>
      </c>
      <c r="K10" s="2" t="s">
        <v>21</v>
      </c>
      <c r="L10" s="2" t="s">
        <v>62</v>
      </c>
      <c r="M10" t="str">
        <f>_xlfn.XLOOKUP(L10,Location_details!$A$2:$M$2,Location_details!$A$3:$M$3)</f>
        <v>UK</v>
      </c>
      <c r="N10" t="str">
        <f>_xlfn.XLOOKUP(L10,Location_details!$A$2:$M$2,Location_details!$A$1:$M$1)</f>
        <v>English</v>
      </c>
      <c r="O10" t="str">
        <f t="shared" si="3"/>
        <v>stevens.amelia@xyz.org</v>
      </c>
      <c r="P10" s="24" t="s">
        <v>58</v>
      </c>
      <c r="Q10" t="str">
        <f>_xlfn.XLOOKUP(R10,Sports_details!B:B,Sports_details!A:A)</f>
        <v>INDOOR</v>
      </c>
      <c r="R10" s="2" t="s">
        <v>63</v>
      </c>
      <c r="S10" s="20">
        <v>60.06</v>
      </c>
      <c r="T10" s="26">
        <v>65</v>
      </c>
    </row>
    <row r="11" spans="1:20" x14ac:dyDescent="0.25">
      <c r="A11" s="14">
        <v>10</v>
      </c>
      <c r="B11" t="str">
        <f t="shared" si="0"/>
        <v>Mr. Toby  Simpson</v>
      </c>
      <c r="C11" s="2" t="s">
        <v>47</v>
      </c>
      <c r="D11" s="2" t="s">
        <v>64</v>
      </c>
      <c r="F11" s="2" t="s">
        <v>65</v>
      </c>
      <c r="G11" s="2">
        <v>1964</v>
      </c>
      <c r="H11" s="15">
        <f t="shared" si="1"/>
        <v>23377</v>
      </c>
      <c r="I11" s="24">
        <f t="shared" si="2"/>
        <v>62</v>
      </c>
      <c r="J11" s="2" t="s">
        <v>50</v>
      </c>
      <c r="K11" s="2" t="s">
        <v>35</v>
      </c>
      <c r="L11" s="2" t="s">
        <v>62</v>
      </c>
      <c r="M11" t="str">
        <f>_xlfn.XLOOKUP(L11,Location_details!$A$2:$M$2,Location_details!$A$3:$M$3)</f>
        <v>UK</v>
      </c>
      <c r="N11" t="str">
        <f>_xlfn.XLOOKUP(L11,Location_details!$A$2:$M$2,Location_details!$A$1:$M$1)</f>
        <v>English</v>
      </c>
      <c r="O11" t="str">
        <f t="shared" si="3"/>
        <v>simpson.toby@xyz.org</v>
      </c>
      <c r="P11" s="24" t="s">
        <v>66</v>
      </c>
      <c r="Q11" t="str">
        <f>_xlfn.XLOOKUP(R11,Sports_details!B:B,Sports_details!A:A)</f>
        <v>OUTDOOR</v>
      </c>
      <c r="R11" s="2" t="s">
        <v>55</v>
      </c>
      <c r="S11" s="20">
        <v>32.76</v>
      </c>
      <c r="T11" s="26">
        <v>63</v>
      </c>
    </row>
    <row r="12" spans="1:20" x14ac:dyDescent="0.25">
      <c r="A12" s="14">
        <v>11</v>
      </c>
      <c r="B12" t="str">
        <f t="shared" si="0"/>
        <v>Sir Ethan  Murphy</v>
      </c>
      <c r="C12" s="2" t="s">
        <v>67</v>
      </c>
      <c r="D12" s="2" t="s">
        <v>68</v>
      </c>
      <c r="F12" s="2" t="s">
        <v>69</v>
      </c>
      <c r="G12" s="2">
        <v>1986</v>
      </c>
      <c r="H12" s="15">
        <f t="shared" si="1"/>
        <v>31413</v>
      </c>
      <c r="I12" s="24">
        <f t="shared" si="2"/>
        <v>40</v>
      </c>
      <c r="J12" s="2" t="s">
        <v>70</v>
      </c>
      <c r="K12" s="2" t="s">
        <v>35</v>
      </c>
      <c r="L12" s="2" t="s">
        <v>62</v>
      </c>
      <c r="M12" t="str">
        <f>_xlfn.XLOOKUP(L12,Location_details!$A$2:$M$2,Location_details!$A$3:$M$3)</f>
        <v>UK</v>
      </c>
      <c r="N12" t="str">
        <f>_xlfn.XLOOKUP(L12,Location_details!$A$2:$M$2,Location_details!$A$1:$M$1)</f>
        <v>English</v>
      </c>
      <c r="O12" t="str">
        <f t="shared" si="3"/>
        <v>murphy.ethan@xyz.org</v>
      </c>
      <c r="P12" s="24" t="s">
        <v>66</v>
      </c>
      <c r="Q12" t="str">
        <f>_xlfn.XLOOKUP(R12,Sports_details!B:B,Sports_details!A:A)</f>
        <v>OUTDOOR</v>
      </c>
      <c r="R12" s="2" t="s">
        <v>71</v>
      </c>
      <c r="S12" s="20">
        <v>99.61</v>
      </c>
      <c r="T12" s="26">
        <v>104</v>
      </c>
    </row>
    <row r="13" spans="1:20" x14ac:dyDescent="0.25">
      <c r="A13" s="14">
        <v>12</v>
      </c>
      <c r="B13" t="str">
        <f t="shared" si="0"/>
        <v>Mrs. Ashley  Wood</v>
      </c>
      <c r="C13" s="2" t="s">
        <v>72</v>
      </c>
      <c r="D13" s="2" t="s">
        <v>73</v>
      </c>
      <c r="F13" s="2" t="s">
        <v>74</v>
      </c>
      <c r="G13" s="2">
        <v>1977</v>
      </c>
      <c r="H13" s="15">
        <f t="shared" si="1"/>
        <v>28126</v>
      </c>
      <c r="I13" s="24">
        <f t="shared" si="2"/>
        <v>49</v>
      </c>
      <c r="J13" s="2" t="s">
        <v>20</v>
      </c>
      <c r="K13" s="2" t="s">
        <v>21</v>
      </c>
      <c r="L13" s="2" t="s">
        <v>62</v>
      </c>
      <c r="M13" t="str">
        <f>_xlfn.XLOOKUP(L13,Location_details!$A$2:$M$2,Location_details!$A$3:$M$3)</f>
        <v>UK</v>
      </c>
      <c r="N13" t="str">
        <f>_xlfn.XLOOKUP(L13,Location_details!$A$2:$M$2,Location_details!$A$1:$M$1)</f>
        <v>English</v>
      </c>
      <c r="O13" t="str">
        <f t="shared" si="3"/>
        <v>wood.ashley@xyz.org</v>
      </c>
      <c r="P13" s="24" t="s">
        <v>66</v>
      </c>
      <c r="Q13" t="str">
        <f>_xlfn.XLOOKUP(R13,Sports_details!B:B,Sports_details!A:A)</f>
        <v>OUTDOOR</v>
      </c>
      <c r="R13" s="2" t="s">
        <v>75</v>
      </c>
      <c r="S13" s="20">
        <v>56.6</v>
      </c>
      <c r="T13" s="26">
        <v>101</v>
      </c>
    </row>
    <row r="14" spans="1:20" x14ac:dyDescent="0.25">
      <c r="A14" s="14">
        <v>13</v>
      </c>
      <c r="B14" t="str">
        <f t="shared" si="0"/>
        <v>Ms. Megan  Scott</v>
      </c>
      <c r="C14" s="2" t="s">
        <v>17</v>
      </c>
      <c r="D14" s="2" t="s">
        <v>76</v>
      </c>
      <c r="F14" s="2" t="s">
        <v>77</v>
      </c>
      <c r="G14" s="2">
        <v>1977</v>
      </c>
      <c r="H14" s="15">
        <f t="shared" si="1"/>
        <v>28126</v>
      </c>
      <c r="I14" s="24">
        <f t="shared" si="2"/>
        <v>49</v>
      </c>
      <c r="J14" s="2" t="s">
        <v>27</v>
      </c>
      <c r="K14" s="2" t="s">
        <v>21</v>
      </c>
      <c r="L14" s="2" t="s">
        <v>62</v>
      </c>
      <c r="M14" t="str">
        <f>_xlfn.XLOOKUP(L14,Location_details!$A$2:$M$2,Location_details!$A$3:$M$3)</f>
        <v>UK</v>
      </c>
      <c r="N14" t="str">
        <f>_xlfn.XLOOKUP(L14,Location_details!$A$2:$M$2,Location_details!$A$1:$M$1)</f>
        <v>English</v>
      </c>
      <c r="O14" t="str">
        <f t="shared" si="3"/>
        <v>scott.megan@xyz.org</v>
      </c>
      <c r="P14" s="24" t="s">
        <v>23</v>
      </c>
      <c r="Q14" t="str">
        <f>_xlfn.XLOOKUP(R14,Sports_details!B:B,Sports_details!A:A)</f>
        <v>OUTDOOR</v>
      </c>
      <c r="R14" s="2" t="s">
        <v>78</v>
      </c>
      <c r="S14" s="20">
        <v>117.4</v>
      </c>
      <c r="T14" s="26">
        <v>71</v>
      </c>
    </row>
    <row r="15" spans="1:20" x14ac:dyDescent="0.25">
      <c r="A15" s="14">
        <v>14</v>
      </c>
      <c r="B15" t="str">
        <f t="shared" si="0"/>
        <v>Hr. Helmut  Weinhae</v>
      </c>
      <c r="C15" s="2" t="s">
        <v>79</v>
      </c>
      <c r="D15" s="2" t="s">
        <v>80</v>
      </c>
      <c r="F15" s="2" t="s">
        <v>81</v>
      </c>
      <c r="G15" s="2">
        <v>1959</v>
      </c>
      <c r="H15" s="15">
        <f t="shared" si="1"/>
        <v>21551</v>
      </c>
      <c r="I15" s="24">
        <f t="shared" si="2"/>
        <v>67</v>
      </c>
      <c r="J15" s="2" t="s">
        <v>82</v>
      </c>
      <c r="K15" s="2" t="s">
        <v>35</v>
      </c>
      <c r="L15" s="2" t="s">
        <v>83</v>
      </c>
      <c r="M15" t="str">
        <f>_xlfn.XLOOKUP(L15,Location_details!$A$2:$M$2,Location_details!$A$3:$M$3)</f>
        <v>GERMANY</v>
      </c>
      <c r="N15" t="str">
        <f>_xlfn.XLOOKUP(L15,Location_details!$A$2:$M$2,Location_details!$A$1:$M$1)</f>
        <v>German</v>
      </c>
      <c r="O15" t="str">
        <f>LOWER(F15&amp;"."&amp;D15&amp;"xyz.com")</f>
        <v>weinhae.helmutxyz.com</v>
      </c>
      <c r="P15" s="24" t="s">
        <v>58</v>
      </c>
      <c r="Q15" t="str">
        <f>_xlfn.XLOOKUP(R15,Sports_details!B:B,Sports_details!A:A)</f>
        <v>OUTDOOR</v>
      </c>
      <c r="R15" s="2" t="s">
        <v>84</v>
      </c>
      <c r="S15" s="20">
        <v>64.86</v>
      </c>
      <c r="T15" s="26">
        <v>68</v>
      </c>
    </row>
    <row r="16" spans="1:20" x14ac:dyDescent="0.25">
      <c r="A16" s="14">
        <v>15</v>
      </c>
      <c r="B16" t="str">
        <f t="shared" si="0"/>
        <v>Prof. Milena  Schotin</v>
      </c>
      <c r="C16" s="2" t="s">
        <v>85</v>
      </c>
      <c r="D16" s="2" t="s">
        <v>86</v>
      </c>
      <c r="F16" s="2" t="s">
        <v>87</v>
      </c>
      <c r="G16" s="2">
        <v>1965</v>
      </c>
      <c r="H16" s="15">
        <f t="shared" si="1"/>
        <v>23743</v>
      </c>
      <c r="I16" s="24">
        <f t="shared" si="2"/>
        <v>61</v>
      </c>
      <c r="J16" s="2" t="s">
        <v>88</v>
      </c>
      <c r="K16" s="2" t="s">
        <v>21</v>
      </c>
      <c r="L16" s="2" t="s">
        <v>83</v>
      </c>
      <c r="M16" t="str">
        <f>_xlfn.XLOOKUP(L16,Location_details!$A$2:$M$2,Location_details!$A$3:$M$3)</f>
        <v>GERMANY</v>
      </c>
      <c r="N16" t="str">
        <f>_xlfn.XLOOKUP(L16,Location_details!$A$2:$M$2,Location_details!$A$1:$M$1)</f>
        <v>German</v>
      </c>
      <c r="O16" t="str">
        <f>LOWER(F16&amp;"."&amp;D16&amp;"xyz.com")</f>
        <v>schotin.milenaxyz.com</v>
      </c>
      <c r="P16" s="24" t="s">
        <v>66</v>
      </c>
      <c r="Q16" t="str">
        <f>_xlfn.XLOOKUP(R16,Sports_details!B:B,Sports_details!A:A)</f>
        <v>INDOOR</v>
      </c>
      <c r="R16" s="2" t="s">
        <v>89</v>
      </c>
      <c r="S16" s="20">
        <v>10.24</v>
      </c>
      <c r="T16" s="26">
        <v>105</v>
      </c>
    </row>
    <row r="17" spans="1:20" x14ac:dyDescent="0.25">
      <c r="A17" s="14">
        <v>16</v>
      </c>
      <c r="B17" t="str">
        <f t="shared" si="0"/>
        <v>Hr. Lothar  Birnbaum</v>
      </c>
      <c r="C17" s="2" t="s">
        <v>79</v>
      </c>
      <c r="D17" s="2" t="s">
        <v>90</v>
      </c>
      <c r="F17" s="2" t="s">
        <v>91</v>
      </c>
      <c r="G17" s="2">
        <v>1969</v>
      </c>
      <c r="H17" s="15">
        <f t="shared" si="1"/>
        <v>25204</v>
      </c>
      <c r="I17" s="24">
        <f t="shared" si="2"/>
        <v>57</v>
      </c>
      <c r="J17" s="2" t="s">
        <v>34</v>
      </c>
      <c r="K17" s="2" t="s">
        <v>35</v>
      </c>
      <c r="L17" s="2" t="s">
        <v>83</v>
      </c>
      <c r="M17" t="str">
        <f>_xlfn.XLOOKUP(L17,Location_details!$A$2:$M$2,Location_details!$A$3:$M$3)</f>
        <v>GERMANY</v>
      </c>
      <c r="N17" t="str">
        <f>_xlfn.XLOOKUP(L17,Location_details!$A$2:$M$2,Location_details!$A$1:$M$1)</f>
        <v>German</v>
      </c>
      <c r="O17" t="str">
        <f>LOWER(F17&amp;"."&amp;D17&amp;"xyz.com")</f>
        <v>birnbaum.lotharxyz.com</v>
      </c>
      <c r="P17" s="24" t="s">
        <v>66</v>
      </c>
      <c r="Q17" t="str">
        <f>_xlfn.XLOOKUP(R17,Sports_details!B:B,Sports_details!A:A)</f>
        <v>OUTDOOR</v>
      </c>
      <c r="R17" s="2" t="s">
        <v>41</v>
      </c>
      <c r="S17" s="20">
        <v>88.76</v>
      </c>
      <c r="T17" s="26">
        <v>49</v>
      </c>
    </row>
    <row r="18" spans="1:20" x14ac:dyDescent="0.25">
      <c r="A18" s="14">
        <v>17</v>
      </c>
      <c r="B18" t="str">
        <f t="shared" si="0"/>
        <v>Hr. Pietro  Stolze</v>
      </c>
      <c r="C18" s="2" t="s">
        <v>79</v>
      </c>
      <c r="D18" s="2" t="s">
        <v>92</v>
      </c>
      <c r="F18" s="2" t="s">
        <v>93</v>
      </c>
      <c r="G18" s="2">
        <v>1972</v>
      </c>
      <c r="H18" s="15">
        <f t="shared" si="1"/>
        <v>26299</v>
      </c>
      <c r="I18" s="24">
        <f t="shared" si="2"/>
        <v>54</v>
      </c>
      <c r="J18" s="2" t="s">
        <v>20</v>
      </c>
      <c r="K18" s="2" t="s">
        <v>35</v>
      </c>
      <c r="L18" s="2" t="s">
        <v>83</v>
      </c>
      <c r="M18" t="str">
        <f>_xlfn.XLOOKUP(L18,Location_details!$A$2:$M$2,Location_details!$A$3:$M$3)</f>
        <v>GERMANY</v>
      </c>
      <c r="N18" t="str">
        <f>_xlfn.XLOOKUP(L18,Location_details!$A$2:$M$2,Location_details!$A$1:$M$1)</f>
        <v>German</v>
      </c>
      <c r="O18" t="str">
        <f>LOWER(F18&amp;"."&amp;D18&amp;"xyz.com")</f>
        <v>stolze.pietroxyz.com</v>
      </c>
      <c r="P18" s="24" t="s">
        <v>23</v>
      </c>
      <c r="Q18" t="str">
        <f>_xlfn.XLOOKUP(R18,Sports_details!B:B,Sports_details!A:A)</f>
        <v>INDOOR</v>
      </c>
      <c r="R18" s="2" t="s">
        <v>94</v>
      </c>
      <c r="S18" s="20">
        <v>80.760000000000005</v>
      </c>
      <c r="T18" s="26">
        <v>106</v>
      </c>
    </row>
    <row r="19" spans="1:20" x14ac:dyDescent="0.25">
      <c r="A19" s="14">
        <v>18</v>
      </c>
      <c r="B19" t="str">
        <f t="shared" si="0"/>
        <v>Hr. Richard  Tlustek</v>
      </c>
      <c r="C19" s="2" t="s">
        <v>79</v>
      </c>
      <c r="D19" s="2" t="s">
        <v>95</v>
      </c>
      <c r="F19" s="2" t="s">
        <v>96</v>
      </c>
      <c r="G19" s="2">
        <v>1959</v>
      </c>
      <c r="H19" s="15">
        <f t="shared" si="1"/>
        <v>21551</v>
      </c>
      <c r="I19" s="24">
        <f t="shared" si="2"/>
        <v>67</v>
      </c>
      <c r="J19" s="2" t="s">
        <v>82</v>
      </c>
      <c r="K19" s="2" t="s">
        <v>35</v>
      </c>
      <c r="L19" s="2" t="s">
        <v>83</v>
      </c>
      <c r="M19" t="str">
        <f>_xlfn.XLOOKUP(L19,Location_details!$A$2:$M$2,Location_details!$A$3:$M$3)</f>
        <v>GERMANY</v>
      </c>
      <c r="N19" t="str">
        <f>_xlfn.XLOOKUP(L19,Location_details!$A$2:$M$2,Location_details!$A$1:$M$1)</f>
        <v>German</v>
      </c>
      <c r="O19" t="str">
        <f>LOWER(F19&amp;"."&amp;D19&amp;"xyz.com")</f>
        <v>tlustek.richardxyz.com</v>
      </c>
      <c r="P19" s="24" t="s">
        <v>23</v>
      </c>
      <c r="Q19" t="str">
        <f>_xlfn.XLOOKUP(R19,Sports_details!B:B,Sports_details!A:A)</f>
        <v>OUTDOOR</v>
      </c>
      <c r="R19" s="2" t="s">
        <v>97</v>
      </c>
      <c r="S19" s="20">
        <v>88.79</v>
      </c>
      <c r="T19" s="26">
        <v>71</v>
      </c>
    </row>
    <row r="20" spans="1:20" x14ac:dyDescent="0.25">
      <c r="A20" s="14">
        <v>19</v>
      </c>
      <c r="B20" t="str">
        <f t="shared" si="0"/>
        <v>Dr. Earnestine  Raynor</v>
      </c>
      <c r="C20" s="2" t="s">
        <v>42</v>
      </c>
      <c r="D20" s="2" t="s">
        <v>98</v>
      </c>
      <c r="F20" s="2" t="s">
        <v>99</v>
      </c>
      <c r="G20" s="2">
        <v>1977</v>
      </c>
      <c r="H20" s="15">
        <f t="shared" si="1"/>
        <v>28126</v>
      </c>
      <c r="I20" s="24">
        <f t="shared" si="2"/>
        <v>49</v>
      </c>
      <c r="J20" s="2" t="s">
        <v>40</v>
      </c>
      <c r="K20" s="2" t="s">
        <v>21</v>
      </c>
      <c r="L20" s="2" t="s">
        <v>100</v>
      </c>
      <c r="M20" t="str">
        <f>_xlfn.XLOOKUP(L20,Location_details!$A$2:$M$2,Location_details!$A$3:$M$3)</f>
        <v>AUSTRALIA</v>
      </c>
      <c r="N20" t="str">
        <f>_xlfn.XLOOKUP(L20,Location_details!$A$2:$M$2,Location_details!$A$1:$M$1)</f>
        <v>English</v>
      </c>
      <c r="O20" t="str">
        <f t="shared" ref="O20:O27" si="4">LOWER(F20&amp;"."&amp;D20&amp;"@xyz.org")</f>
        <v>raynor.earnestine@xyz.org</v>
      </c>
      <c r="P20" s="24" t="s">
        <v>58</v>
      </c>
      <c r="Q20" t="str">
        <f>_xlfn.XLOOKUP(R20,Sports_details!B:B,Sports_details!A:A)</f>
        <v>INDOOR</v>
      </c>
      <c r="R20" s="2" t="s">
        <v>101</v>
      </c>
      <c r="S20" s="20">
        <v>63.53</v>
      </c>
      <c r="T20" s="26">
        <v>70</v>
      </c>
    </row>
    <row r="21" spans="1:20" x14ac:dyDescent="0.25">
      <c r="A21" s="14">
        <v>20</v>
      </c>
      <c r="B21" t="str">
        <f t="shared" si="0"/>
        <v>Mr. Jason  Gaylord</v>
      </c>
      <c r="C21" s="2" t="s">
        <v>47</v>
      </c>
      <c r="D21" s="2" t="s">
        <v>102</v>
      </c>
      <c r="F21" s="2" t="s">
        <v>103</v>
      </c>
      <c r="G21" s="2">
        <v>1976</v>
      </c>
      <c r="H21" s="15">
        <f t="shared" si="1"/>
        <v>27760</v>
      </c>
      <c r="I21" s="24">
        <f t="shared" si="2"/>
        <v>50</v>
      </c>
      <c r="J21" s="2" t="s">
        <v>104</v>
      </c>
      <c r="K21" s="2" t="s">
        <v>35</v>
      </c>
      <c r="L21" s="2" t="s">
        <v>100</v>
      </c>
      <c r="M21" t="str">
        <f>_xlfn.XLOOKUP(L21,Location_details!$A$2:$M$2,Location_details!$A$3:$M$3)</f>
        <v>AUSTRALIA</v>
      </c>
      <c r="N21" t="str">
        <f>_xlfn.XLOOKUP(L21,Location_details!$A$2:$M$2,Location_details!$A$1:$M$1)</f>
        <v>English</v>
      </c>
      <c r="O21" t="str">
        <f t="shared" si="4"/>
        <v>gaylord.jason@xyz.org</v>
      </c>
      <c r="P21" s="24" t="s">
        <v>28</v>
      </c>
      <c r="Q21" t="str">
        <f>_xlfn.XLOOKUP(R21,Sports_details!B:B,Sports_details!A:A)</f>
        <v>INDOOR</v>
      </c>
      <c r="R21" s="2" t="s">
        <v>105</v>
      </c>
      <c r="S21" s="20">
        <v>46.35</v>
      </c>
      <c r="T21" s="26">
        <v>55</v>
      </c>
    </row>
    <row r="22" spans="1:20" x14ac:dyDescent="0.25">
      <c r="A22" s="14">
        <v>21</v>
      </c>
      <c r="B22" t="str">
        <f t="shared" si="0"/>
        <v>Mr. Kendrick  Sauer</v>
      </c>
      <c r="C22" s="2" t="s">
        <v>47</v>
      </c>
      <c r="D22" s="2" t="s">
        <v>106</v>
      </c>
      <c r="F22" s="2" t="s">
        <v>107</v>
      </c>
      <c r="G22" s="2">
        <v>1996</v>
      </c>
      <c r="H22" s="15">
        <f t="shared" si="1"/>
        <v>35065</v>
      </c>
      <c r="I22" s="24">
        <f t="shared" si="2"/>
        <v>30</v>
      </c>
      <c r="J22" s="2" t="s">
        <v>34</v>
      </c>
      <c r="K22" s="2" t="s">
        <v>35</v>
      </c>
      <c r="L22" s="2" t="s">
        <v>100</v>
      </c>
      <c r="M22" t="str">
        <f>_xlfn.XLOOKUP(L22,Location_details!$A$2:$M$2,Location_details!$A$3:$M$3)</f>
        <v>AUSTRALIA</v>
      </c>
      <c r="N22" t="str">
        <f>_xlfn.XLOOKUP(L22,Location_details!$A$2:$M$2,Location_details!$A$1:$M$1)</f>
        <v>English</v>
      </c>
      <c r="O22" t="str">
        <f t="shared" si="4"/>
        <v>sauer.kendrick@xyz.org</v>
      </c>
      <c r="P22" s="24" t="s">
        <v>45</v>
      </c>
      <c r="Q22" t="str">
        <f>_xlfn.XLOOKUP(R22,Sports_details!B:B,Sports_details!A:A)</f>
        <v>OUTDOOR</v>
      </c>
      <c r="R22" s="2" t="s">
        <v>108</v>
      </c>
      <c r="S22" s="20">
        <v>106.8</v>
      </c>
      <c r="T22" s="26">
        <v>101</v>
      </c>
    </row>
    <row r="23" spans="1:20" x14ac:dyDescent="0.25">
      <c r="A23" s="14">
        <v>22</v>
      </c>
      <c r="B23" t="str">
        <f t="shared" si="0"/>
        <v>Dr. Annabell  Olson</v>
      </c>
      <c r="C23" s="2" t="s">
        <v>42</v>
      </c>
      <c r="D23" s="2" t="s">
        <v>109</v>
      </c>
      <c r="F23" s="2" t="s">
        <v>110</v>
      </c>
      <c r="G23" s="2">
        <v>1964</v>
      </c>
      <c r="H23" s="15">
        <f t="shared" si="1"/>
        <v>23377</v>
      </c>
      <c r="I23" s="24">
        <f t="shared" si="2"/>
        <v>62</v>
      </c>
      <c r="J23" s="2" t="s">
        <v>111</v>
      </c>
      <c r="K23" s="2" t="s">
        <v>21</v>
      </c>
      <c r="L23" s="2" t="s">
        <v>100</v>
      </c>
      <c r="M23" t="str">
        <f>_xlfn.XLOOKUP(L23,Location_details!$A$2:$M$2,Location_details!$A$3:$M$3)</f>
        <v>AUSTRALIA</v>
      </c>
      <c r="N23" t="str">
        <f>_xlfn.XLOOKUP(L23,Location_details!$A$2:$M$2,Location_details!$A$1:$M$1)</f>
        <v>English</v>
      </c>
      <c r="O23" t="str">
        <f t="shared" si="4"/>
        <v>olson.annabell@xyz.org</v>
      </c>
      <c r="P23" s="24" t="s">
        <v>58</v>
      </c>
      <c r="Q23" t="str">
        <f>_xlfn.XLOOKUP(R23,Sports_details!B:B,Sports_details!A:A)</f>
        <v>OUTDOOR</v>
      </c>
      <c r="R23" s="2" t="s">
        <v>112</v>
      </c>
      <c r="S23" s="20">
        <v>96.47</v>
      </c>
      <c r="T23" s="26">
        <v>84</v>
      </c>
    </row>
    <row r="24" spans="1:20" x14ac:dyDescent="0.25">
      <c r="A24" s="14">
        <v>23</v>
      </c>
      <c r="B24" t="str">
        <f t="shared" si="0"/>
        <v>Dr. Jena  Upton</v>
      </c>
      <c r="C24" s="2" t="s">
        <v>42</v>
      </c>
      <c r="D24" s="2" t="s">
        <v>113</v>
      </c>
      <c r="F24" s="2" t="s">
        <v>114</v>
      </c>
      <c r="G24" s="2">
        <v>1955</v>
      </c>
      <c r="H24" s="15">
        <f t="shared" si="1"/>
        <v>20090</v>
      </c>
      <c r="I24" s="24">
        <f t="shared" si="2"/>
        <v>71</v>
      </c>
      <c r="J24" s="2" t="s">
        <v>50</v>
      </c>
      <c r="K24" s="2" t="s">
        <v>21</v>
      </c>
      <c r="L24" s="2" t="s">
        <v>100</v>
      </c>
      <c r="M24" t="str">
        <f>_xlfn.XLOOKUP(L24,Location_details!$A$2:$M$2,Location_details!$A$3:$M$3)</f>
        <v>AUSTRALIA</v>
      </c>
      <c r="N24" t="str">
        <f>_xlfn.XLOOKUP(L24,Location_details!$A$2:$M$2,Location_details!$A$1:$M$1)</f>
        <v>English</v>
      </c>
      <c r="O24" t="str">
        <f t="shared" si="4"/>
        <v>upton.jena@xyz.org</v>
      </c>
      <c r="P24" s="24" t="s">
        <v>66</v>
      </c>
      <c r="Q24" t="str">
        <f>_xlfn.XLOOKUP(R24,Sports_details!B:B,Sports_details!A:A)</f>
        <v>OUTDOOR</v>
      </c>
      <c r="R24" s="2" t="s">
        <v>115</v>
      </c>
      <c r="S24" s="20">
        <v>16.53</v>
      </c>
      <c r="T24" s="26">
        <v>67</v>
      </c>
    </row>
    <row r="25" spans="1:20" x14ac:dyDescent="0.25">
      <c r="A25" s="14">
        <v>24</v>
      </c>
      <c r="B25" t="str">
        <f t="shared" si="0"/>
        <v>Dr. Shanny  Bins</v>
      </c>
      <c r="C25" s="2" t="s">
        <v>42</v>
      </c>
      <c r="D25" s="2" t="s">
        <v>116</v>
      </c>
      <c r="F25" s="2" t="s">
        <v>117</v>
      </c>
      <c r="G25" s="2">
        <v>1999</v>
      </c>
      <c r="H25" s="15">
        <f t="shared" si="1"/>
        <v>36161</v>
      </c>
      <c r="I25" s="24">
        <f t="shared" si="2"/>
        <v>27</v>
      </c>
      <c r="J25" s="2" t="s">
        <v>82</v>
      </c>
      <c r="K25" s="2" t="s">
        <v>21</v>
      </c>
      <c r="L25" s="2" t="s">
        <v>100</v>
      </c>
      <c r="M25" t="str">
        <f>_xlfn.XLOOKUP(L25,Location_details!$A$2:$M$2,Location_details!$A$3:$M$3)</f>
        <v>AUSTRALIA</v>
      </c>
      <c r="N25" t="str">
        <f>_xlfn.XLOOKUP(L25,Location_details!$A$2:$M$2,Location_details!$A$1:$M$1)</f>
        <v>English</v>
      </c>
      <c r="O25" t="str">
        <f t="shared" si="4"/>
        <v>bins.shanny@xyz.org</v>
      </c>
      <c r="P25" s="24" t="s">
        <v>45</v>
      </c>
      <c r="Q25" t="str">
        <f>_xlfn.XLOOKUP(R25,Sports_details!B:B,Sports_details!A:A)</f>
        <v>OUTDOOR</v>
      </c>
      <c r="R25" s="2" t="s">
        <v>118</v>
      </c>
      <c r="S25" s="20">
        <v>21.89</v>
      </c>
      <c r="T25" s="26">
        <v>59</v>
      </c>
    </row>
    <row r="26" spans="1:20" x14ac:dyDescent="0.25">
      <c r="A26" s="14">
        <v>25</v>
      </c>
      <c r="B26" t="str">
        <f t="shared" si="0"/>
        <v>Dr. Tia  Abshire</v>
      </c>
      <c r="C26" s="2" t="s">
        <v>42</v>
      </c>
      <c r="D26" s="2" t="s">
        <v>119</v>
      </c>
      <c r="F26" s="2" t="s">
        <v>120</v>
      </c>
      <c r="G26" s="2">
        <v>1966</v>
      </c>
      <c r="H26" s="15">
        <f t="shared" si="1"/>
        <v>24108</v>
      </c>
      <c r="I26" s="24">
        <f t="shared" si="2"/>
        <v>60</v>
      </c>
      <c r="J26" s="2" t="s">
        <v>34</v>
      </c>
      <c r="K26" s="2" t="s">
        <v>21</v>
      </c>
      <c r="L26" s="2" t="s">
        <v>100</v>
      </c>
      <c r="M26" t="str">
        <f>_xlfn.XLOOKUP(L26,Location_details!$A$2:$M$2,Location_details!$A$3:$M$3)</f>
        <v>AUSTRALIA</v>
      </c>
      <c r="N26" t="str">
        <f>_xlfn.XLOOKUP(L26,Location_details!$A$2:$M$2,Location_details!$A$1:$M$1)</f>
        <v>English</v>
      </c>
      <c r="O26" t="str">
        <f t="shared" si="4"/>
        <v>abshire.tia@xyz.org</v>
      </c>
      <c r="P26" s="24" t="s">
        <v>58</v>
      </c>
      <c r="Q26" t="str">
        <f>_xlfn.XLOOKUP(R26,Sports_details!B:B,Sports_details!A:A)</f>
        <v>OUTDOOR</v>
      </c>
      <c r="R26" s="2" t="s">
        <v>55</v>
      </c>
      <c r="S26" s="20">
        <v>62.04</v>
      </c>
      <c r="T26" s="26">
        <v>78</v>
      </c>
    </row>
    <row r="27" spans="1:20" x14ac:dyDescent="0.25">
      <c r="A27" s="14">
        <v>26</v>
      </c>
      <c r="B27" t="str">
        <f t="shared" si="0"/>
        <v>Ms. Isabel  Runolfsdottir</v>
      </c>
      <c r="C27" s="2" t="s">
        <v>17</v>
      </c>
      <c r="D27" s="2" t="s">
        <v>121</v>
      </c>
      <c r="F27" s="2" t="s">
        <v>122</v>
      </c>
      <c r="G27" s="2">
        <v>1978</v>
      </c>
      <c r="H27" s="15">
        <f t="shared" si="1"/>
        <v>28491</v>
      </c>
      <c r="I27" s="24">
        <f t="shared" si="2"/>
        <v>48</v>
      </c>
      <c r="J27" s="2" t="s">
        <v>111</v>
      </c>
      <c r="K27" s="2" t="s">
        <v>21</v>
      </c>
      <c r="L27" s="2" t="s">
        <v>100</v>
      </c>
      <c r="M27" t="str">
        <f>_xlfn.XLOOKUP(L27,Location_details!$A$2:$M$2,Location_details!$A$3:$M$3)</f>
        <v>AUSTRALIA</v>
      </c>
      <c r="N27" t="str">
        <f>_xlfn.XLOOKUP(L27,Location_details!$A$2:$M$2,Location_details!$A$1:$M$1)</f>
        <v>English</v>
      </c>
      <c r="O27" t="str">
        <f t="shared" si="4"/>
        <v>runolfsdottir.isabel@xyz.org</v>
      </c>
      <c r="P27" s="24" t="s">
        <v>123</v>
      </c>
      <c r="Q27" t="str">
        <f>_xlfn.XLOOKUP(R27,Sports_details!B:B,Sports_details!A:A)</f>
        <v>INDOOR</v>
      </c>
      <c r="R27" s="2" t="s">
        <v>24</v>
      </c>
      <c r="S27" s="20">
        <v>89.74</v>
      </c>
      <c r="T27" s="26">
        <v>86</v>
      </c>
    </row>
    <row r="28" spans="1:20" x14ac:dyDescent="0.25">
      <c r="A28" s="14">
        <v>27</v>
      </c>
      <c r="B28" t="str">
        <f t="shared" si="0"/>
        <v>Hr. Barney  Wesack</v>
      </c>
      <c r="C28" s="2" t="s">
        <v>79</v>
      </c>
      <c r="D28" s="2" t="s">
        <v>124</v>
      </c>
      <c r="F28" s="2" t="s">
        <v>125</v>
      </c>
      <c r="G28" s="2">
        <v>1970</v>
      </c>
      <c r="H28" s="15">
        <f t="shared" si="1"/>
        <v>25569</v>
      </c>
      <c r="I28" s="24">
        <f t="shared" si="2"/>
        <v>56</v>
      </c>
      <c r="J28" s="2" t="s">
        <v>34</v>
      </c>
      <c r="K28" s="2" t="s">
        <v>35</v>
      </c>
      <c r="L28" s="2" t="s">
        <v>126</v>
      </c>
      <c r="M28" t="str">
        <f>_xlfn.XLOOKUP(L28,Location_details!$A$2:$M$2,Location_details!$A$3:$M$3)</f>
        <v>AUSTRIA</v>
      </c>
      <c r="N28" t="str">
        <f>_xlfn.XLOOKUP(L28,Location_details!$A$2:$M$2,Location_details!$A$1:$M$1)</f>
        <v>German</v>
      </c>
      <c r="O28" t="str">
        <f t="shared" ref="O28:O51" si="5">LOWER(F28&amp;"."&amp;D28&amp;"xyz.com")</f>
        <v>wesack.barneyxyz.com</v>
      </c>
      <c r="P28" s="24" t="s">
        <v>123</v>
      </c>
      <c r="Q28" t="str">
        <f>_xlfn.XLOOKUP(R28,Sports_details!B:B,Sports_details!A:A)</f>
        <v>INDOOR</v>
      </c>
      <c r="R28" s="2" t="s">
        <v>127</v>
      </c>
      <c r="S28" s="20">
        <v>41.04</v>
      </c>
      <c r="T28" s="26">
        <v>93</v>
      </c>
    </row>
    <row r="29" spans="1:20" x14ac:dyDescent="0.25">
      <c r="A29" s="14">
        <v>28</v>
      </c>
      <c r="B29" t="str">
        <f t="shared" si="0"/>
        <v>Hr. Baruch  Kade</v>
      </c>
      <c r="C29" s="2" t="s">
        <v>79</v>
      </c>
      <c r="D29" s="2" t="s">
        <v>128</v>
      </c>
      <c r="F29" s="2" t="s">
        <v>129</v>
      </c>
      <c r="G29" s="2">
        <v>1982</v>
      </c>
      <c r="H29" s="15">
        <f t="shared" si="1"/>
        <v>29952</v>
      </c>
      <c r="I29" s="24">
        <f t="shared" si="2"/>
        <v>44</v>
      </c>
      <c r="J29" s="2" t="s">
        <v>88</v>
      </c>
      <c r="K29" s="2" t="s">
        <v>35</v>
      </c>
      <c r="L29" s="2" t="s">
        <v>126</v>
      </c>
      <c r="M29" t="str">
        <f>_xlfn.XLOOKUP(L29,Location_details!$A$2:$M$2,Location_details!$A$3:$M$3)</f>
        <v>AUSTRIA</v>
      </c>
      <c r="N29" t="str">
        <f>_xlfn.XLOOKUP(L29,Location_details!$A$2:$M$2,Location_details!$A$1:$M$1)</f>
        <v>German</v>
      </c>
      <c r="O29" t="str">
        <f t="shared" si="5"/>
        <v>kade.baruchxyz.com</v>
      </c>
      <c r="P29" s="24" t="s">
        <v>28</v>
      </c>
      <c r="Q29" t="str">
        <f>_xlfn.XLOOKUP(R29,Sports_details!B:B,Sports_details!A:A)</f>
        <v>OUTDOOR</v>
      </c>
      <c r="R29" s="2" t="s">
        <v>78</v>
      </c>
      <c r="S29" s="20">
        <v>28.46</v>
      </c>
      <c r="T29" s="26">
        <v>96</v>
      </c>
    </row>
    <row r="30" spans="1:20" x14ac:dyDescent="0.25">
      <c r="A30" s="14">
        <v>29</v>
      </c>
      <c r="B30" t="str">
        <f t="shared" si="0"/>
        <v>Prof. Liesbeth  Rosemann</v>
      </c>
      <c r="C30" s="2" t="s">
        <v>85</v>
      </c>
      <c r="D30" s="2" t="s">
        <v>130</v>
      </c>
      <c r="F30" s="2" t="s">
        <v>131</v>
      </c>
      <c r="G30" s="2">
        <v>1994</v>
      </c>
      <c r="H30" s="15">
        <f t="shared" si="1"/>
        <v>34335</v>
      </c>
      <c r="I30" s="24">
        <f t="shared" si="2"/>
        <v>32</v>
      </c>
      <c r="J30" s="2" t="s">
        <v>27</v>
      </c>
      <c r="K30" s="2" t="s">
        <v>21</v>
      </c>
      <c r="L30" s="2" t="s">
        <v>126</v>
      </c>
      <c r="M30" t="str">
        <f>_xlfn.XLOOKUP(L30,Location_details!$A$2:$M$2,Location_details!$A$3:$M$3)</f>
        <v>AUSTRIA</v>
      </c>
      <c r="N30" t="str">
        <f>_xlfn.XLOOKUP(L30,Location_details!$A$2:$M$2,Location_details!$A$1:$M$1)</f>
        <v>German</v>
      </c>
      <c r="O30" t="str">
        <f t="shared" si="5"/>
        <v>rosemann.liesbethxyz.com</v>
      </c>
      <c r="P30" s="24" t="s">
        <v>66</v>
      </c>
      <c r="Q30" t="str">
        <f>_xlfn.XLOOKUP(R30,Sports_details!B:B,Sports_details!A:A)</f>
        <v>OUTDOOR</v>
      </c>
      <c r="R30" s="2" t="s">
        <v>55</v>
      </c>
      <c r="S30" s="20">
        <v>55.01</v>
      </c>
      <c r="T30" s="26">
        <v>52</v>
      </c>
    </row>
    <row r="31" spans="1:20" x14ac:dyDescent="0.25">
      <c r="A31" s="14">
        <v>30</v>
      </c>
      <c r="B31" t="str">
        <f t="shared" si="0"/>
        <v>Mme. Valentine  Moreau</v>
      </c>
      <c r="C31" s="2" t="s">
        <v>132</v>
      </c>
      <c r="D31" s="2" t="s">
        <v>133</v>
      </c>
      <c r="F31" s="2" t="s">
        <v>134</v>
      </c>
      <c r="G31" s="2">
        <v>1979</v>
      </c>
      <c r="H31" s="15">
        <f t="shared" si="1"/>
        <v>28856</v>
      </c>
      <c r="I31" s="24">
        <f t="shared" si="2"/>
        <v>47</v>
      </c>
      <c r="J31" s="2" t="s">
        <v>20</v>
      </c>
      <c r="K31" s="2" t="s">
        <v>21</v>
      </c>
      <c r="L31" s="2" t="s">
        <v>135</v>
      </c>
      <c r="M31" t="str">
        <f>_xlfn.XLOOKUP(L31,Location_details!$A$2:$M$2,Location_details!$A$3:$M$3)</f>
        <v>FRANCE</v>
      </c>
      <c r="N31" t="str">
        <f>_xlfn.XLOOKUP(L31,Location_details!$A$2:$M$2,Location_details!$A$1:$M$1)</f>
        <v>French</v>
      </c>
      <c r="O31" t="str">
        <f t="shared" si="5"/>
        <v>moreau.valentinexyz.com</v>
      </c>
      <c r="P31" s="24" t="s">
        <v>123</v>
      </c>
      <c r="Q31" t="str">
        <f>_xlfn.XLOOKUP(R31,Sports_details!B:B,Sports_details!A:A)</f>
        <v>OUTDOOR</v>
      </c>
      <c r="R31" s="2" t="s">
        <v>136</v>
      </c>
      <c r="S31" s="20">
        <v>69.040000000000006</v>
      </c>
      <c r="T31" s="26">
        <v>75</v>
      </c>
    </row>
    <row r="32" spans="1:20" x14ac:dyDescent="0.25">
      <c r="A32" s="14">
        <v>31</v>
      </c>
      <c r="B32" t="str">
        <f t="shared" si="0"/>
        <v>Mme. Paulette  Durand</v>
      </c>
      <c r="C32" s="2" t="s">
        <v>132</v>
      </c>
      <c r="D32" s="2" t="s">
        <v>137</v>
      </c>
      <c r="F32" s="2" t="s">
        <v>138</v>
      </c>
      <c r="G32" s="2">
        <v>1989</v>
      </c>
      <c r="H32" s="15">
        <f t="shared" si="1"/>
        <v>32509</v>
      </c>
      <c r="I32" s="24">
        <f t="shared" si="2"/>
        <v>37</v>
      </c>
      <c r="J32" s="2" t="s">
        <v>104</v>
      </c>
      <c r="K32" s="2" t="s">
        <v>21</v>
      </c>
      <c r="L32" s="2" t="s">
        <v>135</v>
      </c>
      <c r="M32" t="str">
        <f>_xlfn.XLOOKUP(L32,Location_details!$A$2:$M$2,Location_details!$A$3:$M$3)</f>
        <v>FRANCE</v>
      </c>
      <c r="N32" t="str">
        <f>_xlfn.XLOOKUP(L32,Location_details!$A$2:$M$2,Location_details!$A$1:$M$1)</f>
        <v>French</v>
      </c>
      <c r="O32" t="str">
        <f t="shared" si="5"/>
        <v>durand.paulettexyz.com</v>
      </c>
      <c r="P32" s="24" t="s">
        <v>28</v>
      </c>
      <c r="Q32" t="str">
        <f>_xlfn.XLOOKUP(R32,Sports_details!B:B,Sports_details!A:A)</f>
        <v>INDOOR</v>
      </c>
      <c r="R32" s="2" t="s">
        <v>127</v>
      </c>
      <c r="S32" s="20">
        <v>86.26</v>
      </c>
      <c r="T32" s="26">
        <v>82</v>
      </c>
    </row>
    <row r="33" spans="1:20" x14ac:dyDescent="0.25">
      <c r="A33" s="14">
        <v>32</v>
      </c>
      <c r="B33" t="str">
        <f t="shared" si="0"/>
        <v>Mme. Laure-Alix  Chevalier</v>
      </c>
      <c r="C33" s="2" t="s">
        <v>132</v>
      </c>
      <c r="D33" s="2" t="s">
        <v>139</v>
      </c>
      <c r="F33" s="2" t="s">
        <v>140</v>
      </c>
      <c r="G33" s="2">
        <v>1970</v>
      </c>
      <c r="H33" s="15">
        <f t="shared" si="1"/>
        <v>25569</v>
      </c>
      <c r="I33" s="24">
        <f t="shared" si="2"/>
        <v>56</v>
      </c>
      <c r="J33" s="2" t="s">
        <v>104</v>
      </c>
      <c r="K33" s="2" t="s">
        <v>21</v>
      </c>
      <c r="L33" s="2" t="s">
        <v>135</v>
      </c>
      <c r="M33" t="str">
        <f>_xlfn.XLOOKUP(L33,Location_details!$A$2:$M$2,Location_details!$A$3:$M$3)</f>
        <v>FRANCE</v>
      </c>
      <c r="N33" t="str">
        <f>_xlfn.XLOOKUP(L33,Location_details!$A$2:$M$2,Location_details!$A$1:$M$1)</f>
        <v>French</v>
      </c>
      <c r="O33" t="str">
        <f t="shared" si="5"/>
        <v>chevalier.laure-alixxyz.com</v>
      </c>
      <c r="P33" s="24" t="s">
        <v>66</v>
      </c>
      <c r="Q33" t="str">
        <f>_xlfn.XLOOKUP(R33,Sports_details!B:B,Sports_details!A:A)</f>
        <v>OUTDOOR</v>
      </c>
      <c r="R33" s="2" t="s">
        <v>115</v>
      </c>
      <c r="S33" s="20">
        <v>19.23</v>
      </c>
      <c r="T33" s="26">
        <v>78</v>
      </c>
    </row>
    <row r="34" spans="1:20" x14ac:dyDescent="0.25">
      <c r="A34" s="14">
        <v>33</v>
      </c>
      <c r="B34" t="str">
        <f t="shared" si="0"/>
        <v>M. Claude  Toussaint</v>
      </c>
      <c r="C34" s="2" t="s">
        <v>141</v>
      </c>
      <c r="D34" s="2" t="s">
        <v>142</v>
      </c>
      <c r="F34" s="2" t="s">
        <v>143</v>
      </c>
      <c r="G34" s="2">
        <v>1980</v>
      </c>
      <c r="H34" s="15">
        <f t="shared" si="1"/>
        <v>29221</v>
      </c>
      <c r="I34" s="24">
        <f t="shared" si="2"/>
        <v>46</v>
      </c>
      <c r="J34" s="2" t="s">
        <v>70</v>
      </c>
      <c r="K34" s="2" t="s">
        <v>35</v>
      </c>
      <c r="L34" s="2" t="s">
        <v>135</v>
      </c>
      <c r="M34" t="str">
        <f>_xlfn.XLOOKUP(L34,Location_details!$A$2:$M$2,Location_details!$A$3:$M$3)</f>
        <v>FRANCE</v>
      </c>
      <c r="N34" t="str">
        <f>_xlfn.XLOOKUP(L34,Location_details!$A$2:$M$2,Location_details!$A$1:$M$1)</f>
        <v>French</v>
      </c>
      <c r="O34" t="str">
        <f t="shared" si="5"/>
        <v>toussaint.claudexyz.com</v>
      </c>
      <c r="P34" s="24" t="s">
        <v>66</v>
      </c>
      <c r="Q34" t="str">
        <f>_xlfn.XLOOKUP(R34,Sports_details!B:B,Sports_details!A:A)</f>
        <v>INDOOR</v>
      </c>
      <c r="R34" s="2" t="s">
        <v>144</v>
      </c>
      <c r="S34" s="20">
        <v>95.12</v>
      </c>
      <c r="T34" s="26">
        <v>57</v>
      </c>
    </row>
    <row r="35" spans="1:20" x14ac:dyDescent="0.25">
      <c r="A35" s="14">
        <v>34</v>
      </c>
      <c r="B35" t="str">
        <f t="shared" si="0"/>
        <v>M. Victor  Lenoir</v>
      </c>
      <c r="C35" s="2" t="s">
        <v>141</v>
      </c>
      <c r="D35" s="2" t="s">
        <v>145</v>
      </c>
      <c r="F35" s="2" t="s">
        <v>146</v>
      </c>
      <c r="G35" s="2">
        <v>1981</v>
      </c>
      <c r="H35" s="15">
        <f t="shared" si="1"/>
        <v>29587</v>
      </c>
      <c r="I35" s="24">
        <f t="shared" si="2"/>
        <v>45</v>
      </c>
      <c r="J35" s="2" t="s">
        <v>20</v>
      </c>
      <c r="K35" s="2" t="s">
        <v>35</v>
      </c>
      <c r="L35" s="2" t="s">
        <v>135</v>
      </c>
      <c r="M35" t="str">
        <f>_xlfn.XLOOKUP(L35,Location_details!$A$2:$M$2,Location_details!$A$3:$M$3)</f>
        <v>FRANCE</v>
      </c>
      <c r="N35" t="str">
        <f>_xlfn.XLOOKUP(L35,Location_details!$A$2:$M$2,Location_details!$A$1:$M$1)</f>
        <v>French</v>
      </c>
      <c r="O35" t="str">
        <f t="shared" si="5"/>
        <v>lenoir.victorxyz.com</v>
      </c>
      <c r="P35" s="24" t="s">
        <v>123</v>
      </c>
      <c r="Q35" t="str">
        <f>_xlfn.XLOOKUP(R35,Sports_details!B:B,Sports_details!A:A)</f>
        <v>OUTDOOR</v>
      </c>
      <c r="R35" s="2" t="s">
        <v>108</v>
      </c>
      <c r="S35" s="20">
        <v>62.76</v>
      </c>
      <c r="T35" s="26">
        <v>56</v>
      </c>
    </row>
    <row r="36" spans="1:20" x14ac:dyDescent="0.25">
      <c r="A36" s="14">
        <v>35</v>
      </c>
      <c r="B36" t="str">
        <f t="shared" si="0"/>
        <v>M. Arthur  Lenoir</v>
      </c>
      <c r="C36" s="2" t="s">
        <v>141</v>
      </c>
      <c r="D36" s="2" t="s">
        <v>147</v>
      </c>
      <c r="F36" s="2" t="s">
        <v>146</v>
      </c>
      <c r="G36" s="2">
        <v>1955</v>
      </c>
      <c r="H36" s="15">
        <f t="shared" si="1"/>
        <v>20090</v>
      </c>
      <c r="I36" s="24">
        <f t="shared" si="2"/>
        <v>71</v>
      </c>
      <c r="J36" s="2" t="s">
        <v>54</v>
      </c>
      <c r="K36" s="2" t="s">
        <v>35</v>
      </c>
      <c r="L36" s="2" t="s">
        <v>135</v>
      </c>
      <c r="M36" t="str">
        <f>_xlfn.XLOOKUP(L36,Location_details!$A$2:$M$2,Location_details!$A$3:$M$3)</f>
        <v>FRANCE</v>
      </c>
      <c r="N36" t="str">
        <f>_xlfn.XLOOKUP(L36,Location_details!$A$2:$M$2,Location_details!$A$1:$M$1)</f>
        <v>French</v>
      </c>
      <c r="O36" t="str">
        <f t="shared" si="5"/>
        <v>lenoir.arthurxyz.com</v>
      </c>
      <c r="P36" s="24" t="s">
        <v>66</v>
      </c>
      <c r="Q36" t="str">
        <f>_xlfn.XLOOKUP(R36,Sports_details!B:B,Sports_details!A:A)</f>
        <v>OUTDOOR</v>
      </c>
      <c r="R36" s="2" t="s">
        <v>148</v>
      </c>
      <c r="S36" s="20">
        <v>108.4</v>
      </c>
      <c r="T36" s="26">
        <v>89</v>
      </c>
    </row>
    <row r="37" spans="1:20" x14ac:dyDescent="0.25">
      <c r="A37" s="14">
        <v>36</v>
      </c>
      <c r="B37" t="str">
        <f t="shared" si="0"/>
        <v>M. Benjamin  Lebrun-Brun</v>
      </c>
      <c r="C37" s="2" t="s">
        <v>141</v>
      </c>
      <c r="D37" s="2" t="s">
        <v>149</v>
      </c>
      <c r="F37" s="2" t="s">
        <v>150</v>
      </c>
      <c r="G37" s="2">
        <v>1975</v>
      </c>
      <c r="H37" s="15">
        <f t="shared" si="1"/>
        <v>27395</v>
      </c>
      <c r="I37" s="24">
        <f t="shared" si="2"/>
        <v>51</v>
      </c>
      <c r="J37" s="2" t="s">
        <v>27</v>
      </c>
      <c r="K37" s="2" t="s">
        <v>35</v>
      </c>
      <c r="L37" s="2" t="s">
        <v>135</v>
      </c>
      <c r="M37" t="str">
        <f>_xlfn.XLOOKUP(L37,Location_details!$A$2:$M$2,Location_details!$A$3:$M$3)</f>
        <v>FRANCE</v>
      </c>
      <c r="N37" t="str">
        <f>_xlfn.XLOOKUP(L37,Location_details!$A$2:$M$2,Location_details!$A$1:$M$1)</f>
        <v>French</v>
      </c>
      <c r="O37" t="str">
        <f t="shared" si="5"/>
        <v>lebrun-brun.benjaminxyz.com</v>
      </c>
      <c r="P37" s="24" t="s">
        <v>28</v>
      </c>
      <c r="Q37" t="str">
        <f>_xlfn.XLOOKUP(R37,Sports_details!B:B,Sports_details!A:A)</f>
        <v>OUTDOOR</v>
      </c>
      <c r="R37" s="2" t="s">
        <v>108</v>
      </c>
      <c r="S37" s="20">
        <v>66.27</v>
      </c>
      <c r="T37" s="26">
        <v>78</v>
      </c>
    </row>
    <row r="38" spans="1:20" x14ac:dyDescent="0.25">
      <c r="A38" s="14">
        <v>37</v>
      </c>
      <c r="B38" t="str">
        <f t="shared" si="0"/>
        <v>M. Antoine  Maillard</v>
      </c>
      <c r="C38" s="2" t="s">
        <v>141</v>
      </c>
      <c r="D38" s="2" t="s">
        <v>151</v>
      </c>
      <c r="F38" s="2" t="s">
        <v>152</v>
      </c>
      <c r="G38" s="2">
        <v>1986</v>
      </c>
      <c r="H38" s="15">
        <f t="shared" si="1"/>
        <v>31413</v>
      </c>
      <c r="I38" s="24">
        <f t="shared" si="2"/>
        <v>40</v>
      </c>
      <c r="J38" s="2" t="s">
        <v>34</v>
      </c>
      <c r="K38" s="2" t="s">
        <v>35</v>
      </c>
      <c r="L38" s="2" t="s">
        <v>135</v>
      </c>
      <c r="M38" t="str">
        <f>_xlfn.XLOOKUP(L38,Location_details!$A$2:$M$2,Location_details!$A$3:$M$3)</f>
        <v>FRANCE</v>
      </c>
      <c r="N38" t="str">
        <f>_xlfn.XLOOKUP(L38,Location_details!$A$2:$M$2,Location_details!$A$1:$M$1)</f>
        <v>French</v>
      </c>
      <c r="O38" t="str">
        <f t="shared" si="5"/>
        <v>maillard.antoinexyz.com</v>
      </c>
      <c r="P38" s="24" t="s">
        <v>45</v>
      </c>
      <c r="Q38" t="str">
        <f>_xlfn.XLOOKUP(R38,Sports_details!B:B,Sports_details!A:A)</f>
        <v>OUTDOOR</v>
      </c>
      <c r="R38" s="2" t="s">
        <v>153</v>
      </c>
      <c r="S38" s="20">
        <v>33.97</v>
      </c>
      <c r="T38" s="26">
        <v>96</v>
      </c>
    </row>
    <row r="39" spans="1:20" x14ac:dyDescent="0.25">
      <c r="A39" s="14">
        <v>38</v>
      </c>
      <c r="B39" t="str">
        <f t="shared" si="0"/>
        <v>M. Bernard  Hoarau-Guyon</v>
      </c>
      <c r="C39" s="2" t="s">
        <v>141</v>
      </c>
      <c r="D39" s="2" t="s">
        <v>154</v>
      </c>
      <c r="F39" s="2" t="s">
        <v>155</v>
      </c>
      <c r="G39" s="2">
        <v>1983</v>
      </c>
      <c r="H39" s="15">
        <f t="shared" si="1"/>
        <v>30317</v>
      </c>
      <c r="I39" s="24">
        <f t="shared" si="2"/>
        <v>43</v>
      </c>
      <c r="J39" s="2" t="s">
        <v>104</v>
      </c>
      <c r="K39" s="2" t="s">
        <v>35</v>
      </c>
      <c r="L39" s="2" t="s">
        <v>135</v>
      </c>
      <c r="M39" t="str">
        <f>_xlfn.XLOOKUP(L39,Location_details!$A$2:$M$2,Location_details!$A$3:$M$3)</f>
        <v>FRANCE</v>
      </c>
      <c r="N39" t="str">
        <f>_xlfn.XLOOKUP(L39,Location_details!$A$2:$M$2,Location_details!$A$1:$M$1)</f>
        <v>French</v>
      </c>
      <c r="O39" t="str">
        <f t="shared" si="5"/>
        <v>hoarau-guyon.bernardxyz.com</v>
      </c>
      <c r="P39" s="24" t="s">
        <v>28</v>
      </c>
      <c r="Q39" t="str">
        <f>_xlfn.XLOOKUP(R39,Sports_details!B:B,Sports_details!A:A)</f>
        <v>INDOOR</v>
      </c>
      <c r="R39" s="2" t="s">
        <v>24</v>
      </c>
      <c r="S39" s="20">
        <v>71.349999999999994</v>
      </c>
      <c r="T39" s="26">
        <v>60</v>
      </c>
    </row>
    <row r="40" spans="1:20" x14ac:dyDescent="0.25">
      <c r="A40" s="14">
        <v>39</v>
      </c>
      <c r="B40" t="str">
        <f t="shared" si="0"/>
        <v>Sr. Hidalgo Cantu Tercero</v>
      </c>
      <c r="C40" s="2" t="s">
        <v>30</v>
      </c>
      <c r="D40" s="2" t="s">
        <v>156</v>
      </c>
      <c r="E40" s="2" t="s">
        <v>157</v>
      </c>
      <c r="F40" s="2" t="s">
        <v>158</v>
      </c>
      <c r="G40" s="2">
        <v>1984</v>
      </c>
      <c r="H40" s="15">
        <f t="shared" si="1"/>
        <v>30682</v>
      </c>
      <c r="I40" s="24">
        <f t="shared" si="2"/>
        <v>42</v>
      </c>
      <c r="J40" s="2" t="s">
        <v>50</v>
      </c>
      <c r="K40" s="2" t="s">
        <v>35</v>
      </c>
      <c r="L40" s="2" t="s">
        <v>159</v>
      </c>
      <c r="M40" t="str">
        <f>_xlfn.XLOOKUP(L40,Location_details!$A$2:$M$2,Location_details!$A$3:$M$3)</f>
        <v>ARGENTINA</v>
      </c>
      <c r="N40" t="str">
        <f>_xlfn.XLOOKUP(L40,Location_details!$A$2:$M$2,Location_details!$A$1:$M$1)</f>
        <v>Spanish</v>
      </c>
      <c r="O40" t="str">
        <f t="shared" si="5"/>
        <v>tercero.hidalgoxyz.com</v>
      </c>
      <c r="P40" s="24" t="s">
        <v>45</v>
      </c>
      <c r="Q40" t="str">
        <f>_xlfn.XLOOKUP(R40,Sports_details!B:B,Sports_details!A:A)</f>
        <v>OUTDOOR</v>
      </c>
      <c r="R40" s="2" t="s">
        <v>118</v>
      </c>
      <c r="S40" s="20">
        <v>116.4</v>
      </c>
      <c r="T40" s="26">
        <v>78</v>
      </c>
    </row>
    <row r="41" spans="1:20" x14ac:dyDescent="0.25">
      <c r="A41" s="14">
        <v>40</v>
      </c>
      <c r="B41" t="str">
        <f t="shared" si="0"/>
        <v>Sr. Hadalgo  Polanco</v>
      </c>
      <c r="C41" s="2" t="s">
        <v>30</v>
      </c>
      <c r="D41" s="2" t="s">
        <v>160</v>
      </c>
      <c r="F41" s="2" t="s">
        <v>161</v>
      </c>
      <c r="G41" s="2">
        <v>1988</v>
      </c>
      <c r="H41" s="15">
        <f t="shared" si="1"/>
        <v>32143</v>
      </c>
      <c r="I41" s="24">
        <f t="shared" si="2"/>
        <v>38</v>
      </c>
      <c r="J41" s="2" t="s">
        <v>162</v>
      </c>
      <c r="K41" s="2" t="s">
        <v>35</v>
      </c>
      <c r="L41" s="2" t="s">
        <v>159</v>
      </c>
      <c r="M41" t="str">
        <f>_xlfn.XLOOKUP(L41,Location_details!$A$2:$M$2,Location_details!$A$3:$M$3)</f>
        <v>ARGENTINA</v>
      </c>
      <c r="N41" t="str">
        <f>_xlfn.XLOOKUP(L41,Location_details!$A$2:$M$2,Location_details!$A$1:$M$1)</f>
        <v>Spanish</v>
      </c>
      <c r="O41" t="str">
        <f t="shared" si="5"/>
        <v>polanco.hadalgoxyz.com</v>
      </c>
      <c r="P41" s="24" t="s">
        <v>23</v>
      </c>
      <c r="Q41" t="str">
        <f>_xlfn.XLOOKUP(R41,Sports_details!B:B,Sports_details!A:A)</f>
        <v>OUTDOOR</v>
      </c>
      <c r="R41" s="2" t="s">
        <v>115</v>
      </c>
      <c r="S41" s="20">
        <v>114.1</v>
      </c>
      <c r="T41" s="26">
        <v>98</v>
      </c>
    </row>
    <row r="42" spans="1:20" x14ac:dyDescent="0.25">
      <c r="A42" s="14">
        <v>41</v>
      </c>
      <c r="B42" t="str">
        <f t="shared" si="0"/>
        <v>Sra. Laura  Oliviera</v>
      </c>
      <c r="C42" s="2" t="s">
        <v>163</v>
      </c>
      <c r="D42" s="2" t="s">
        <v>164</v>
      </c>
      <c r="F42" s="2" t="s">
        <v>165</v>
      </c>
      <c r="G42" s="2">
        <v>1974</v>
      </c>
      <c r="H42" s="15">
        <f t="shared" si="1"/>
        <v>27030</v>
      </c>
      <c r="I42" s="24">
        <f t="shared" si="2"/>
        <v>52</v>
      </c>
      <c r="J42" s="2" t="s">
        <v>27</v>
      </c>
      <c r="K42" s="2" t="s">
        <v>21</v>
      </c>
      <c r="L42" s="2" t="s">
        <v>159</v>
      </c>
      <c r="M42" t="str">
        <f>_xlfn.XLOOKUP(L42,Location_details!$A$2:$M$2,Location_details!$A$3:$M$3)</f>
        <v>ARGENTINA</v>
      </c>
      <c r="N42" t="str">
        <f>_xlfn.XLOOKUP(L42,Location_details!$A$2:$M$2,Location_details!$A$1:$M$1)</f>
        <v>Spanish</v>
      </c>
      <c r="O42" t="str">
        <f t="shared" si="5"/>
        <v>oliviera.lauraxyz.com</v>
      </c>
      <c r="P42" s="24" t="s">
        <v>28</v>
      </c>
      <c r="Q42" t="str">
        <f>_xlfn.XLOOKUP(R42,Sports_details!B:B,Sports_details!A:A)</f>
        <v>OUTDOOR</v>
      </c>
      <c r="R42" s="2" t="s">
        <v>166</v>
      </c>
      <c r="S42" s="20">
        <v>79.87</v>
      </c>
      <c r="T42" s="26">
        <v>52</v>
      </c>
    </row>
    <row r="43" spans="1:20" x14ac:dyDescent="0.25">
      <c r="A43" s="14">
        <v>42</v>
      </c>
      <c r="B43" t="str">
        <f t="shared" si="0"/>
        <v>Sra. Ainhoa  Garza</v>
      </c>
      <c r="C43" s="2" t="s">
        <v>163</v>
      </c>
      <c r="D43" s="2" t="s">
        <v>167</v>
      </c>
      <c r="F43" s="2" t="s">
        <v>168</v>
      </c>
      <c r="G43" s="2">
        <v>1990</v>
      </c>
      <c r="H43" s="15">
        <f t="shared" si="1"/>
        <v>32874</v>
      </c>
      <c r="I43" s="24">
        <f t="shared" si="2"/>
        <v>36</v>
      </c>
      <c r="J43" s="2" t="s">
        <v>88</v>
      </c>
      <c r="K43" s="2" t="s">
        <v>21</v>
      </c>
      <c r="L43" s="2" t="s">
        <v>169</v>
      </c>
      <c r="M43" t="str">
        <f>_xlfn.XLOOKUP(L43,Location_details!$A$2:$M$2,Location_details!$A$3:$M$3)</f>
        <v>SPAIN</v>
      </c>
      <c r="N43" t="str">
        <f>_xlfn.XLOOKUP(L43,Location_details!$A$2:$M$2,Location_details!$A$1:$M$1)</f>
        <v>Spanish</v>
      </c>
      <c r="O43" t="str">
        <f t="shared" si="5"/>
        <v>garza.ainhoaxyz.com</v>
      </c>
      <c r="P43" s="24" t="s">
        <v>66</v>
      </c>
      <c r="Q43" t="str">
        <f>_xlfn.XLOOKUP(R43,Sports_details!B:B,Sports_details!A:A)</f>
        <v>INDOOR</v>
      </c>
      <c r="R43" s="2" t="s">
        <v>170</v>
      </c>
      <c r="S43" s="20">
        <v>102</v>
      </c>
      <c r="T43" s="26">
        <v>56</v>
      </c>
    </row>
    <row r="44" spans="1:20" x14ac:dyDescent="0.25">
      <c r="A44" s="14">
        <v>43</v>
      </c>
      <c r="B44" t="str">
        <f t="shared" si="0"/>
        <v>Sra. Isabel  Banda</v>
      </c>
      <c r="C44" s="2" t="s">
        <v>163</v>
      </c>
      <c r="D44" s="2" t="s">
        <v>121</v>
      </c>
      <c r="F44" s="2" t="s">
        <v>171</v>
      </c>
      <c r="G44" s="2">
        <v>1960</v>
      </c>
      <c r="H44" s="15">
        <f t="shared" si="1"/>
        <v>21916</v>
      </c>
      <c r="I44" s="24">
        <f t="shared" si="2"/>
        <v>66</v>
      </c>
      <c r="J44" s="2" t="s">
        <v>104</v>
      </c>
      <c r="K44" s="2" t="s">
        <v>21</v>
      </c>
      <c r="L44" s="2" t="s">
        <v>169</v>
      </c>
      <c r="M44" t="str">
        <f>_xlfn.XLOOKUP(L44,Location_details!$A$2:$M$2,Location_details!$A$3:$M$3)</f>
        <v>SPAIN</v>
      </c>
      <c r="N44" t="str">
        <f>_xlfn.XLOOKUP(L44,Location_details!$A$2:$M$2,Location_details!$A$1:$M$1)</f>
        <v>Spanish</v>
      </c>
      <c r="O44" t="str">
        <f t="shared" si="5"/>
        <v>banda.isabelxyz.com</v>
      </c>
      <c r="P44" s="24" t="s">
        <v>66</v>
      </c>
      <c r="Q44" t="str">
        <f>_xlfn.XLOOKUP(R44,Sports_details!B:B,Sports_details!A:A)</f>
        <v>OUTDOOR</v>
      </c>
      <c r="R44" s="2" t="s">
        <v>118</v>
      </c>
      <c r="S44" s="20">
        <v>50.66</v>
      </c>
      <c r="T44" s="26">
        <v>102</v>
      </c>
    </row>
    <row r="45" spans="1:20" x14ac:dyDescent="0.25">
      <c r="A45" s="14">
        <v>44</v>
      </c>
      <c r="B45" t="str">
        <f t="shared" si="0"/>
        <v>Sra. Carolota  Mateos</v>
      </c>
      <c r="C45" s="2" t="s">
        <v>163</v>
      </c>
      <c r="D45" s="2" t="s">
        <v>172</v>
      </c>
      <c r="F45" s="2" t="s">
        <v>173</v>
      </c>
      <c r="G45" s="2">
        <v>1965</v>
      </c>
      <c r="H45" s="15">
        <f t="shared" si="1"/>
        <v>23743</v>
      </c>
      <c r="I45" s="24">
        <f t="shared" si="2"/>
        <v>61</v>
      </c>
      <c r="J45" s="2" t="s">
        <v>54</v>
      </c>
      <c r="K45" s="2" t="s">
        <v>21</v>
      </c>
      <c r="L45" s="2" t="s">
        <v>169</v>
      </c>
      <c r="M45" t="str">
        <f>_xlfn.XLOOKUP(L45,Location_details!$A$2:$M$2,Location_details!$A$3:$M$3)</f>
        <v>SPAIN</v>
      </c>
      <c r="N45" t="str">
        <f>_xlfn.XLOOKUP(L45,Location_details!$A$2:$M$2,Location_details!$A$1:$M$1)</f>
        <v>Spanish</v>
      </c>
      <c r="O45" t="str">
        <f t="shared" si="5"/>
        <v>mateos.carolotaxyz.com</v>
      </c>
      <c r="P45" s="24" t="s">
        <v>28</v>
      </c>
      <c r="Q45" t="str">
        <f>_xlfn.XLOOKUP(R45,Sports_details!B:B,Sports_details!A:A)</f>
        <v>OUTDOOR</v>
      </c>
      <c r="R45" s="2" t="s">
        <v>166</v>
      </c>
      <c r="S45" s="20">
        <v>58.22</v>
      </c>
      <c r="T45" s="26">
        <v>59</v>
      </c>
    </row>
    <row r="46" spans="1:20" x14ac:dyDescent="0.25">
      <c r="A46" s="14">
        <v>45</v>
      </c>
      <c r="B46" t="str">
        <f t="shared" si="0"/>
        <v>Mw. Elize  Prins</v>
      </c>
      <c r="C46" s="2" t="s">
        <v>174</v>
      </c>
      <c r="D46" s="2" t="s">
        <v>175</v>
      </c>
      <c r="F46" s="2" t="s">
        <v>176</v>
      </c>
      <c r="G46" s="2">
        <v>1960</v>
      </c>
      <c r="H46" s="15">
        <f t="shared" si="1"/>
        <v>21916</v>
      </c>
      <c r="I46" s="24">
        <f t="shared" si="2"/>
        <v>66</v>
      </c>
      <c r="J46" s="2" t="s">
        <v>40</v>
      </c>
      <c r="K46" s="2" t="s">
        <v>21</v>
      </c>
      <c r="L46" s="2" t="s">
        <v>177</v>
      </c>
      <c r="M46" t="str">
        <f>_xlfn.XLOOKUP(L46,Location_details!$A$2:$M$2,Location_details!$A$3:$M$3)</f>
        <v>NETHERLANDS</v>
      </c>
      <c r="N46" t="str">
        <f>_xlfn.XLOOKUP(L46,Location_details!$A$2:$M$2,Location_details!$A$1:$M$1)</f>
        <v>Dutch</v>
      </c>
      <c r="O46" t="str">
        <f t="shared" si="5"/>
        <v>prins.elizexyz.com</v>
      </c>
      <c r="P46" s="24" t="s">
        <v>66</v>
      </c>
      <c r="Q46" t="str">
        <f>_xlfn.XLOOKUP(R46,Sports_details!B:B,Sports_details!A:A)</f>
        <v>INDOOR</v>
      </c>
      <c r="R46" s="2" t="s">
        <v>178</v>
      </c>
      <c r="S46" s="20">
        <v>39.94</v>
      </c>
      <c r="T46" s="26">
        <v>64</v>
      </c>
    </row>
    <row r="47" spans="1:20" x14ac:dyDescent="0.25">
      <c r="A47" s="14">
        <v>46</v>
      </c>
      <c r="B47" t="str">
        <f t="shared" si="0"/>
        <v>dhr. Ryan  Pham</v>
      </c>
      <c r="C47" s="2" t="s">
        <v>179</v>
      </c>
      <c r="D47" s="2" t="s">
        <v>180</v>
      </c>
      <c r="F47" s="2" t="s">
        <v>181</v>
      </c>
      <c r="G47" s="2">
        <v>1973</v>
      </c>
      <c r="H47" s="15">
        <f t="shared" si="1"/>
        <v>26665</v>
      </c>
      <c r="I47" s="24">
        <f t="shared" si="2"/>
        <v>53</v>
      </c>
      <c r="J47" s="2" t="s">
        <v>20</v>
      </c>
      <c r="K47" s="2" t="s">
        <v>35</v>
      </c>
      <c r="L47" s="2" t="s">
        <v>177</v>
      </c>
      <c r="M47" t="str">
        <f>_xlfn.XLOOKUP(L47,Location_details!$A$2:$M$2,Location_details!$A$3:$M$3)</f>
        <v>NETHERLANDS</v>
      </c>
      <c r="N47" t="str">
        <f>_xlfn.XLOOKUP(L47,Location_details!$A$2:$M$2,Location_details!$A$1:$M$1)</f>
        <v>Dutch</v>
      </c>
      <c r="O47" t="str">
        <f t="shared" si="5"/>
        <v>pham.ryanxyz.com</v>
      </c>
      <c r="P47" s="24" t="s">
        <v>123</v>
      </c>
      <c r="Q47" t="str">
        <f>_xlfn.XLOOKUP(R47,Sports_details!B:B,Sports_details!A:A)</f>
        <v>OUTDOOR</v>
      </c>
      <c r="R47" s="2" t="s">
        <v>115</v>
      </c>
      <c r="S47" s="20">
        <v>44.87</v>
      </c>
      <c r="T47" s="26">
        <v>99</v>
      </c>
    </row>
    <row r="48" spans="1:20" x14ac:dyDescent="0.25">
      <c r="A48" s="14">
        <v>47</v>
      </c>
      <c r="B48" t="str">
        <f t="shared" si="0"/>
        <v>Mw Elise  Rotteveel</v>
      </c>
      <c r="C48" s="2" t="s">
        <v>182</v>
      </c>
      <c r="D48" s="2" t="s">
        <v>183</v>
      </c>
      <c r="F48" s="2" t="s">
        <v>184</v>
      </c>
      <c r="G48" s="2">
        <v>1968</v>
      </c>
      <c r="H48" s="15">
        <f t="shared" si="1"/>
        <v>24838</v>
      </c>
      <c r="I48" s="24">
        <f t="shared" si="2"/>
        <v>58</v>
      </c>
      <c r="J48" s="2" t="s">
        <v>111</v>
      </c>
      <c r="K48" s="2" t="s">
        <v>21</v>
      </c>
      <c r="L48" s="2" t="s">
        <v>177</v>
      </c>
      <c r="M48" t="str">
        <f>_xlfn.XLOOKUP(L48,Location_details!$A$2:$M$2,Location_details!$A$3:$M$3)</f>
        <v>NETHERLANDS</v>
      </c>
      <c r="N48" t="str">
        <f>_xlfn.XLOOKUP(L48,Location_details!$A$2:$M$2,Location_details!$A$1:$M$1)</f>
        <v>Dutch</v>
      </c>
      <c r="O48" t="str">
        <f t="shared" si="5"/>
        <v>rotteveel.elisexyz.com</v>
      </c>
      <c r="P48" s="24" t="s">
        <v>28</v>
      </c>
      <c r="Q48" t="str">
        <f>_xlfn.XLOOKUP(R48,Sports_details!B:B,Sports_details!A:A)</f>
        <v>OUTDOOR</v>
      </c>
      <c r="R48" s="2" t="s">
        <v>115</v>
      </c>
      <c r="S48" s="20">
        <v>90.48</v>
      </c>
      <c r="T48" s="26">
        <v>62</v>
      </c>
    </row>
    <row r="49" spans="1:20" x14ac:dyDescent="0.25">
      <c r="A49" s="14">
        <v>48</v>
      </c>
      <c r="B49" t="str">
        <f t="shared" si="0"/>
        <v>Fru. Mirjam  Soderberg</v>
      </c>
      <c r="C49" s="2" t="s">
        <v>185</v>
      </c>
      <c r="D49" s="2" t="s">
        <v>186</v>
      </c>
      <c r="F49" s="2" t="s">
        <v>187</v>
      </c>
      <c r="G49" s="2">
        <v>1997</v>
      </c>
      <c r="H49" s="15">
        <f t="shared" si="1"/>
        <v>35431</v>
      </c>
      <c r="I49" s="24">
        <f t="shared" si="2"/>
        <v>29</v>
      </c>
      <c r="J49" s="2" t="s">
        <v>40</v>
      </c>
      <c r="K49" s="2" t="s">
        <v>21</v>
      </c>
      <c r="L49" s="2" t="s">
        <v>188</v>
      </c>
      <c r="M49" t="str">
        <f>_xlfn.XLOOKUP(L49,Location_details!$A$2:$M$2,Location_details!$A$3:$M$3)</f>
        <v>SWEDEN</v>
      </c>
      <c r="N49" t="str">
        <f>_xlfn.XLOOKUP(L49,Location_details!$A$2:$M$2,Location_details!$A$1:$M$1)</f>
        <v>Swedish</v>
      </c>
      <c r="O49" t="str">
        <f t="shared" si="5"/>
        <v>soderberg.mirjamxyz.com</v>
      </c>
      <c r="P49" s="24" t="s">
        <v>66</v>
      </c>
      <c r="Q49" t="str">
        <f>_xlfn.XLOOKUP(R49,Sports_details!B:B,Sports_details!A:A)</f>
        <v>OUTDOOR</v>
      </c>
      <c r="R49" s="2" t="s">
        <v>37</v>
      </c>
      <c r="S49" s="20">
        <v>38.97</v>
      </c>
      <c r="T49" s="26">
        <v>50</v>
      </c>
    </row>
    <row r="50" spans="1:20" x14ac:dyDescent="0.25">
      <c r="A50" s="14">
        <v>49</v>
      </c>
      <c r="B50" t="str">
        <f t="shared" si="0"/>
        <v>H. Berndt  Palsson</v>
      </c>
      <c r="C50" s="2" t="s">
        <v>189</v>
      </c>
      <c r="D50" s="2" t="s">
        <v>190</v>
      </c>
      <c r="F50" s="2" t="s">
        <v>191</v>
      </c>
      <c r="G50" s="2">
        <v>1987</v>
      </c>
      <c r="H50" s="15">
        <f t="shared" si="1"/>
        <v>31778</v>
      </c>
      <c r="I50" s="24">
        <f t="shared" si="2"/>
        <v>39</v>
      </c>
      <c r="J50" s="2" t="s">
        <v>88</v>
      </c>
      <c r="K50" s="2" t="s">
        <v>35</v>
      </c>
      <c r="L50" s="2" t="s">
        <v>188</v>
      </c>
      <c r="M50" t="str">
        <f>_xlfn.XLOOKUP(L50,Location_details!$A$2:$M$2,Location_details!$A$3:$M$3)</f>
        <v>SWEDEN</v>
      </c>
      <c r="N50" t="str">
        <f>_xlfn.XLOOKUP(L50,Location_details!$A$2:$M$2,Location_details!$A$1:$M$1)</f>
        <v>Swedish</v>
      </c>
      <c r="O50" t="str">
        <f t="shared" si="5"/>
        <v>palsson.berndtxyz.com</v>
      </c>
      <c r="P50" s="24" t="s">
        <v>23</v>
      </c>
      <c r="Q50" t="str">
        <f>_xlfn.XLOOKUP(R50,Sports_details!B:B,Sports_details!A:A)</f>
        <v>OUTDOOR</v>
      </c>
      <c r="R50" s="2" t="s">
        <v>192</v>
      </c>
      <c r="S50" s="20">
        <v>35.39</v>
      </c>
      <c r="T50" s="26">
        <v>46</v>
      </c>
    </row>
    <row r="51" spans="1:20" x14ac:dyDescent="0.25">
      <c r="A51" s="14">
        <v>50</v>
      </c>
      <c r="B51" t="str">
        <f t="shared" si="0"/>
        <v>Sr. Adriano Pontes Sobrinho</v>
      </c>
      <c r="C51" s="2" t="s">
        <v>30</v>
      </c>
      <c r="D51" s="2" t="s">
        <v>193</v>
      </c>
      <c r="E51" s="2" t="s">
        <v>194</v>
      </c>
      <c r="F51" s="2" t="s">
        <v>195</v>
      </c>
      <c r="G51" s="2">
        <v>1993</v>
      </c>
      <c r="H51" s="15">
        <f t="shared" si="1"/>
        <v>33970</v>
      </c>
      <c r="I51" s="24">
        <f t="shared" si="2"/>
        <v>33</v>
      </c>
      <c r="J51" s="2" t="s">
        <v>54</v>
      </c>
      <c r="K51" s="2" t="s">
        <v>35</v>
      </c>
      <c r="L51" s="2" t="s">
        <v>196</v>
      </c>
      <c r="M51" t="str">
        <f>_xlfn.XLOOKUP(L51,Location_details!$A$2:$M$2,Location_details!$A$3:$M$3)</f>
        <v>BRAZIL</v>
      </c>
      <c r="N51" t="str">
        <f>_xlfn.XLOOKUP(L51,Location_details!$A$2:$M$2,Location_details!$A$1:$M$1)</f>
        <v>Portuguese</v>
      </c>
      <c r="O51" t="str">
        <f t="shared" si="5"/>
        <v>sobrinho.adrianoxyz.com</v>
      </c>
      <c r="P51" s="24" t="s">
        <v>58</v>
      </c>
      <c r="Q51" t="str">
        <f>_xlfn.XLOOKUP(R51,Sports_details!B:B,Sports_details!A:A)</f>
        <v>INDOOR</v>
      </c>
      <c r="R51" s="2" t="s">
        <v>197</v>
      </c>
      <c r="S51" s="20">
        <v>20.53</v>
      </c>
      <c r="T51" s="26">
        <v>93</v>
      </c>
    </row>
  </sheetData>
  <autoFilter ref="A1:S51" xr:uid="{00000000-0001-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3A064-54AA-4E04-B0F8-E18FBE9AE6E5}">
  <dimension ref="A3:D16"/>
  <sheetViews>
    <sheetView workbookViewId="0">
      <selection activeCell="A6" sqref="A6"/>
    </sheetView>
  </sheetViews>
  <sheetFormatPr defaultRowHeight="13.2" x14ac:dyDescent="0.25"/>
  <cols>
    <col min="1" max="1" width="19.6640625" bestFit="1" customWidth="1"/>
    <col min="2" max="2" width="16.21875" bestFit="1" customWidth="1"/>
    <col min="3" max="3" width="4.88671875" bestFit="1" customWidth="1"/>
    <col min="4" max="4" width="11.33203125" bestFit="1" customWidth="1"/>
    <col min="5" max="5" width="19.6640625" bestFit="1" customWidth="1"/>
    <col min="6" max="6" width="16.44140625" bestFit="1" customWidth="1"/>
    <col min="7" max="7" width="16.21875" bestFit="1" customWidth="1"/>
    <col min="8" max="8" width="4.88671875" bestFit="1" customWidth="1"/>
    <col min="9" max="9" width="11.33203125" bestFit="1" customWidth="1"/>
    <col min="10" max="31" width="7.109375" bestFit="1" customWidth="1"/>
    <col min="32" max="32" width="12" bestFit="1" customWidth="1"/>
    <col min="33" max="57" width="7.109375" bestFit="1" customWidth="1"/>
    <col min="58" max="58" width="9.77734375" bestFit="1" customWidth="1"/>
    <col min="59" max="59" width="11.33203125" bestFit="1" customWidth="1"/>
  </cols>
  <sheetData>
    <row r="3" spans="1:4" x14ac:dyDescent="0.25">
      <c r="A3" s="16" t="s">
        <v>222</v>
      </c>
      <c r="B3" s="16" t="s">
        <v>223</v>
      </c>
    </row>
    <row r="4" spans="1:4" x14ac:dyDescent="0.25">
      <c r="A4" s="16" t="s">
        <v>220</v>
      </c>
      <c r="B4" t="s">
        <v>21</v>
      </c>
      <c r="C4" t="s">
        <v>35</v>
      </c>
      <c r="D4" t="s">
        <v>221</v>
      </c>
    </row>
    <row r="5" spans="1:4" x14ac:dyDescent="0.25">
      <c r="A5" s="17" t="s">
        <v>212</v>
      </c>
      <c r="B5" s="27">
        <v>1</v>
      </c>
      <c r="C5" s="27">
        <v>2</v>
      </c>
      <c r="D5" s="27">
        <v>3</v>
      </c>
    </row>
    <row r="6" spans="1:4" x14ac:dyDescent="0.25">
      <c r="A6" s="17" t="s">
        <v>209</v>
      </c>
      <c r="B6" s="27">
        <v>6</v>
      </c>
      <c r="C6" s="27">
        <v>2</v>
      </c>
      <c r="D6" s="27">
        <v>8</v>
      </c>
    </row>
    <row r="7" spans="1:4" x14ac:dyDescent="0.25">
      <c r="A7" s="17" t="s">
        <v>210</v>
      </c>
      <c r="B7" s="27">
        <v>1</v>
      </c>
      <c r="C7" s="27">
        <v>2</v>
      </c>
      <c r="D7" s="27">
        <v>3</v>
      </c>
    </row>
    <row r="8" spans="1:4" x14ac:dyDescent="0.25">
      <c r="A8" s="17" t="s">
        <v>206</v>
      </c>
      <c r="B8" s="27"/>
      <c r="C8" s="27">
        <v>2</v>
      </c>
      <c r="D8" s="27">
        <v>2</v>
      </c>
    </row>
    <row r="9" spans="1:4" x14ac:dyDescent="0.25">
      <c r="A9" s="17" t="s">
        <v>211</v>
      </c>
      <c r="B9" s="27">
        <v>3</v>
      </c>
      <c r="C9" s="27">
        <v>6</v>
      </c>
      <c r="D9" s="27">
        <v>9</v>
      </c>
    </row>
    <row r="10" spans="1:4" x14ac:dyDescent="0.25">
      <c r="A10" s="17" t="s">
        <v>208</v>
      </c>
      <c r="B10" s="27">
        <v>1</v>
      </c>
      <c r="C10" s="27">
        <v>4</v>
      </c>
      <c r="D10" s="27">
        <v>5</v>
      </c>
    </row>
    <row r="11" spans="1:4" x14ac:dyDescent="0.25">
      <c r="A11" s="17" t="s">
        <v>214</v>
      </c>
      <c r="B11" s="27">
        <v>2</v>
      </c>
      <c r="C11" s="27">
        <v>1</v>
      </c>
      <c r="D11" s="27">
        <v>3</v>
      </c>
    </row>
    <row r="12" spans="1:4" x14ac:dyDescent="0.25">
      <c r="A12" s="17" t="s">
        <v>213</v>
      </c>
      <c r="B12" s="27">
        <v>3</v>
      </c>
      <c r="C12" s="27"/>
      <c r="D12" s="27">
        <v>3</v>
      </c>
    </row>
    <row r="13" spans="1:4" x14ac:dyDescent="0.25">
      <c r="A13" s="17" t="s">
        <v>215</v>
      </c>
      <c r="B13" s="27">
        <v>1</v>
      </c>
      <c r="C13" s="27">
        <v>1</v>
      </c>
      <c r="D13" s="27">
        <v>2</v>
      </c>
    </row>
    <row r="14" spans="1:4" x14ac:dyDescent="0.25">
      <c r="A14" s="17" t="s">
        <v>207</v>
      </c>
      <c r="B14" s="27">
        <v>3</v>
      </c>
      <c r="C14" s="27">
        <v>2</v>
      </c>
      <c r="D14" s="27">
        <v>5</v>
      </c>
    </row>
    <row r="15" spans="1:4" x14ac:dyDescent="0.25">
      <c r="A15" s="17" t="s">
        <v>205</v>
      </c>
      <c r="B15" s="27">
        <v>4</v>
      </c>
      <c r="C15" s="27">
        <v>3</v>
      </c>
      <c r="D15" s="27">
        <v>7</v>
      </c>
    </row>
    <row r="16" spans="1:4" x14ac:dyDescent="0.25">
      <c r="A16" s="17" t="s">
        <v>221</v>
      </c>
      <c r="B16" s="27">
        <v>25</v>
      </c>
      <c r="C16" s="27">
        <v>25</v>
      </c>
      <c r="D16" s="27">
        <v>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1C7E1-3551-4DD9-8481-7AA7E71E1E9F}">
  <dimension ref="A3:D16"/>
  <sheetViews>
    <sheetView workbookViewId="0">
      <selection activeCell="E22" sqref="E22"/>
    </sheetView>
  </sheetViews>
  <sheetFormatPr defaultRowHeight="13.2" x14ac:dyDescent="0.25"/>
  <cols>
    <col min="1" max="1" width="15" bestFit="1" customWidth="1"/>
    <col min="2" max="2" width="16.21875" bestFit="1" customWidth="1"/>
    <col min="3" max="3" width="8" bestFit="1" customWidth="1"/>
    <col min="4" max="4" width="11.33203125" bestFit="1" customWidth="1"/>
  </cols>
  <sheetData>
    <row r="3" spans="1:4" x14ac:dyDescent="0.25">
      <c r="A3" s="16" t="s">
        <v>224</v>
      </c>
      <c r="B3" s="16" t="s">
        <v>223</v>
      </c>
    </row>
    <row r="4" spans="1:4" x14ac:dyDescent="0.25">
      <c r="A4" s="16" t="s">
        <v>220</v>
      </c>
      <c r="B4" t="s">
        <v>21</v>
      </c>
      <c r="C4" t="s">
        <v>35</v>
      </c>
      <c r="D4" t="s">
        <v>221</v>
      </c>
    </row>
    <row r="5" spans="1:4" x14ac:dyDescent="0.25">
      <c r="A5" s="17" t="s">
        <v>212</v>
      </c>
      <c r="B5" s="27">
        <v>79.87</v>
      </c>
      <c r="C5" s="27">
        <v>230.5</v>
      </c>
      <c r="D5" s="27">
        <v>310.37</v>
      </c>
    </row>
    <row r="6" spans="1:4" x14ac:dyDescent="0.25">
      <c r="A6" s="17" t="s">
        <v>209</v>
      </c>
      <c r="B6" s="27">
        <v>350.20000000000005</v>
      </c>
      <c r="C6" s="27">
        <v>153.15</v>
      </c>
      <c r="D6" s="27">
        <v>503.35</v>
      </c>
    </row>
    <row r="7" spans="1:4" x14ac:dyDescent="0.25">
      <c r="A7" s="17" t="s">
        <v>210</v>
      </c>
      <c r="B7" s="27">
        <v>55.01</v>
      </c>
      <c r="C7" s="27">
        <v>69.5</v>
      </c>
      <c r="D7" s="27">
        <v>124.50999999999999</v>
      </c>
    </row>
    <row r="8" spans="1:4" x14ac:dyDescent="0.25">
      <c r="A8" s="17" t="s">
        <v>206</v>
      </c>
      <c r="B8" s="27"/>
      <c r="C8" s="27">
        <v>85.25</v>
      </c>
      <c r="D8" s="27">
        <v>85.25</v>
      </c>
    </row>
    <row r="9" spans="1:4" x14ac:dyDescent="0.25">
      <c r="A9" s="17" t="s">
        <v>211</v>
      </c>
      <c r="B9" s="27">
        <v>174.53</v>
      </c>
      <c r="C9" s="27">
        <v>437.87</v>
      </c>
      <c r="D9" s="27">
        <v>612.4</v>
      </c>
    </row>
    <row r="10" spans="1:4" x14ac:dyDescent="0.25">
      <c r="A10" s="17" t="s">
        <v>208</v>
      </c>
      <c r="B10" s="27">
        <v>10.24</v>
      </c>
      <c r="C10" s="27">
        <v>323.17</v>
      </c>
      <c r="D10" s="27">
        <v>333.41</v>
      </c>
    </row>
    <row r="11" spans="1:4" x14ac:dyDescent="0.25">
      <c r="A11" s="17" t="s">
        <v>214</v>
      </c>
      <c r="B11" s="27">
        <v>130.42000000000002</v>
      </c>
      <c r="C11" s="27">
        <v>44.87</v>
      </c>
      <c r="D11" s="27">
        <v>175.29000000000002</v>
      </c>
    </row>
    <row r="12" spans="1:4" x14ac:dyDescent="0.25">
      <c r="A12" s="17" t="s">
        <v>213</v>
      </c>
      <c r="B12" s="27">
        <v>210.88</v>
      </c>
      <c r="C12" s="27"/>
      <c r="D12" s="27">
        <v>210.88</v>
      </c>
    </row>
    <row r="13" spans="1:4" x14ac:dyDescent="0.25">
      <c r="A13" s="17" t="s">
        <v>215</v>
      </c>
      <c r="B13" s="27">
        <v>38.97</v>
      </c>
      <c r="C13" s="27">
        <v>35.39</v>
      </c>
      <c r="D13" s="27">
        <v>74.36</v>
      </c>
    </row>
    <row r="14" spans="1:4" x14ac:dyDescent="0.25">
      <c r="A14" s="17" t="s">
        <v>207</v>
      </c>
      <c r="B14" s="27">
        <v>234.06</v>
      </c>
      <c r="C14" s="27">
        <v>132.37</v>
      </c>
      <c r="D14" s="27">
        <v>366.43</v>
      </c>
    </row>
    <row r="15" spans="1:4" x14ac:dyDescent="0.25">
      <c r="A15" s="17" t="s">
        <v>205</v>
      </c>
      <c r="B15" s="27">
        <v>344.47</v>
      </c>
      <c r="C15" s="27">
        <v>217.95000000000002</v>
      </c>
      <c r="D15" s="27">
        <v>562.42000000000007</v>
      </c>
    </row>
    <row r="16" spans="1:4" x14ac:dyDescent="0.25">
      <c r="A16" s="17" t="s">
        <v>221</v>
      </c>
      <c r="B16" s="27">
        <v>1628.6499999999999</v>
      </c>
      <c r="C16" s="27">
        <v>1730.0200000000002</v>
      </c>
      <c r="D16" s="27">
        <v>3358.6700000000005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EBE46-B5AA-4F53-950C-D1FA15F6F802}">
  <dimension ref="A3:F44"/>
  <sheetViews>
    <sheetView workbookViewId="0">
      <selection activeCell="Q23" sqref="Q23"/>
    </sheetView>
  </sheetViews>
  <sheetFormatPr defaultRowHeight="13.2" x14ac:dyDescent="0.25"/>
  <cols>
    <col min="1" max="1" width="13.33203125" bestFit="1" customWidth="1"/>
    <col min="2" max="2" width="15" bestFit="1" customWidth="1"/>
    <col min="6" max="6" width="9.88671875" bestFit="1" customWidth="1"/>
  </cols>
  <sheetData>
    <row r="3" spans="1:6" x14ac:dyDescent="0.25">
      <c r="A3" s="16" t="s">
        <v>220</v>
      </c>
      <c r="B3" t="s">
        <v>224</v>
      </c>
    </row>
    <row r="4" spans="1:6" x14ac:dyDescent="0.25">
      <c r="A4" s="17">
        <v>27</v>
      </c>
      <c r="B4" s="22">
        <v>87.36</v>
      </c>
      <c r="E4" s="17">
        <v>27</v>
      </c>
      <c r="F4" s="22">
        <v>87.36</v>
      </c>
    </row>
    <row r="5" spans="1:6" x14ac:dyDescent="0.25">
      <c r="A5" s="17">
        <v>29</v>
      </c>
      <c r="B5" s="22">
        <v>119.7</v>
      </c>
      <c r="E5" s="17">
        <v>29</v>
      </c>
      <c r="F5" s="22">
        <v>119.7</v>
      </c>
    </row>
    <row r="6" spans="1:6" x14ac:dyDescent="0.25">
      <c r="A6" s="17">
        <v>30</v>
      </c>
      <c r="B6" s="22">
        <v>106.8</v>
      </c>
      <c r="E6" s="17">
        <v>30</v>
      </c>
      <c r="F6" s="22">
        <v>106.8</v>
      </c>
    </row>
    <row r="7" spans="1:6" x14ac:dyDescent="0.25">
      <c r="A7" s="17">
        <v>32</v>
      </c>
      <c r="B7" s="22">
        <v>55.01</v>
      </c>
      <c r="E7" s="17">
        <v>32</v>
      </c>
      <c r="F7" s="22">
        <v>55.01</v>
      </c>
    </row>
    <row r="8" spans="1:6" x14ac:dyDescent="0.25">
      <c r="A8" s="17">
        <v>33</v>
      </c>
      <c r="B8" s="22">
        <v>20.53</v>
      </c>
      <c r="E8" s="17">
        <v>33</v>
      </c>
      <c r="F8" s="22">
        <v>20.53</v>
      </c>
    </row>
    <row r="9" spans="1:6" x14ac:dyDescent="0.25">
      <c r="A9" s="17">
        <v>34</v>
      </c>
      <c r="B9" s="22">
        <v>138.6</v>
      </c>
      <c r="E9" s="17">
        <v>34</v>
      </c>
      <c r="F9" s="22">
        <v>138.6</v>
      </c>
    </row>
    <row r="10" spans="1:6" x14ac:dyDescent="0.25">
      <c r="A10" s="17">
        <v>36</v>
      </c>
      <c r="B10" s="22">
        <v>102</v>
      </c>
      <c r="E10" s="17">
        <v>36</v>
      </c>
      <c r="F10" s="22">
        <v>102</v>
      </c>
    </row>
    <row r="11" spans="1:6" x14ac:dyDescent="0.25">
      <c r="A11" s="17">
        <v>37</v>
      </c>
      <c r="B11" s="22">
        <v>86.26</v>
      </c>
      <c r="E11" s="17">
        <v>37</v>
      </c>
      <c r="F11" s="22">
        <v>86.26</v>
      </c>
    </row>
    <row r="12" spans="1:6" x14ac:dyDescent="0.25">
      <c r="A12" s="17">
        <v>38</v>
      </c>
      <c r="B12" s="22">
        <v>114.1</v>
      </c>
      <c r="E12" s="17">
        <v>38</v>
      </c>
      <c r="F12" s="22">
        <v>114.1</v>
      </c>
    </row>
    <row r="13" spans="1:6" x14ac:dyDescent="0.25">
      <c r="A13" s="17">
        <v>39</v>
      </c>
      <c r="B13" s="22">
        <v>35.39</v>
      </c>
      <c r="E13" s="17">
        <v>39</v>
      </c>
      <c r="F13" s="22">
        <v>35.39</v>
      </c>
    </row>
    <row r="14" spans="1:6" x14ac:dyDescent="0.25">
      <c r="A14" s="17">
        <v>40</v>
      </c>
      <c r="B14" s="22">
        <v>133.57999999999998</v>
      </c>
      <c r="E14" s="17">
        <v>40</v>
      </c>
      <c r="F14" s="22">
        <v>133.57999999999998</v>
      </c>
    </row>
    <row r="15" spans="1:6" x14ac:dyDescent="0.25">
      <c r="A15" s="17">
        <v>42</v>
      </c>
      <c r="B15" s="22">
        <v>116.4</v>
      </c>
      <c r="E15" s="17">
        <v>42</v>
      </c>
      <c r="F15" s="22">
        <v>116.4</v>
      </c>
    </row>
    <row r="16" spans="1:6" x14ac:dyDescent="0.25">
      <c r="A16" s="17">
        <v>43</v>
      </c>
      <c r="B16" s="22">
        <v>71.349999999999994</v>
      </c>
      <c r="E16" s="17">
        <v>43</v>
      </c>
      <c r="F16" s="22">
        <v>71.349999999999994</v>
      </c>
    </row>
    <row r="17" spans="1:6" x14ac:dyDescent="0.25">
      <c r="A17" s="17">
        <v>44</v>
      </c>
      <c r="B17" s="22">
        <v>28.46</v>
      </c>
      <c r="E17" s="17">
        <v>44</v>
      </c>
      <c r="F17" s="22">
        <v>28.46</v>
      </c>
    </row>
    <row r="18" spans="1:6" x14ac:dyDescent="0.25">
      <c r="A18" s="17">
        <v>45</v>
      </c>
      <c r="B18" s="22">
        <v>62.76</v>
      </c>
      <c r="E18" s="17">
        <v>45</v>
      </c>
      <c r="F18" s="22">
        <v>62.76</v>
      </c>
    </row>
    <row r="19" spans="1:6" x14ac:dyDescent="0.25">
      <c r="A19" s="17">
        <v>46</v>
      </c>
      <c r="B19" s="22">
        <v>95.12</v>
      </c>
      <c r="E19" s="17">
        <v>46</v>
      </c>
      <c r="F19" s="22">
        <v>95.12</v>
      </c>
    </row>
    <row r="20" spans="1:6" x14ac:dyDescent="0.25">
      <c r="A20" s="17">
        <v>47</v>
      </c>
      <c r="B20" s="22">
        <v>69.040000000000006</v>
      </c>
      <c r="E20" s="17">
        <v>47</v>
      </c>
      <c r="F20" s="22">
        <v>69.040000000000006</v>
      </c>
    </row>
    <row r="21" spans="1:6" x14ac:dyDescent="0.25">
      <c r="A21" s="17">
        <v>48</v>
      </c>
      <c r="B21" s="22">
        <v>89.74</v>
      </c>
      <c r="E21" s="17">
        <v>48</v>
      </c>
      <c r="F21" s="22">
        <v>89.74</v>
      </c>
    </row>
    <row r="22" spans="1:6" x14ac:dyDescent="0.25">
      <c r="A22" s="17">
        <v>49</v>
      </c>
      <c r="B22" s="22">
        <v>237.53</v>
      </c>
      <c r="E22" s="17">
        <v>49</v>
      </c>
      <c r="F22" s="22">
        <v>237.53</v>
      </c>
    </row>
    <row r="23" spans="1:6" x14ac:dyDescent="0.25">
      <c r="A23" s="17">
        <v>50</v>
      </c>
      <c r="B23" s="22">
        <v>46.35</v>
      </c>
      <c r="E23" s="17">
        <v>50</v>
      </c>
      <c r="F23" s="22">
        <v>46.35</v>
      </c>
    </row>
    <row r="24" spans="1:6" x14ac:dyDescent="0.25">
      <c r="A24" s="17">
        <v>51</v>
      </c>
      <c r="B24" s="22">
        <v>177.07</v>
      </c>
      <c r="E24" s="17">
        <v>51</v>
      </c>
      <c r="F24" s="22">
        <v>177.07</v>
      </c>
    </row>
    <row r="25" spans="1:6" x14ac:dyDescent="0.25">
      <c r="A25" s="17">
        <v>52</v>
      </c>
      <c r="B25" s="22">
        <v>79.87</v>
      </c>
      <c r="E25" s="17">
        <v>52</v>
      </c>
      <c r="F25" s="22">
        <v>79.87</v>
      </c>
    </row>
    <row r="26" spans="1:6" x14ac:dyDescent="0.25">
      <c r="A26" s="17">
        <v>53</v>
      </c>
      <c r="B26" s="22">
        <v>44.87</v>
      </c>
      <c r="E26" s="17">
        <v>53</v>
      </c>
      <c r="F26" s="22">
        <v>44.87</v>
      </c>
    </row>
    <row r="27" spans="1:6" x14ac:dyDescent="0.25">
      <c r="A27" s="17">
        <v>54</v>
      </c>
      <c r="B27" s="22">
        <v>80.760000000000005</v>
      </c>
      <c r="E27" s="17">
        <v>54</v>
      </c>
      <c r="F27" s="22">
        <v>80.760000000000005</v>
      </c>
    </row>
    <row r="28" spans="1:6" x14ac:dyDescent="0.25">
      <c r="A28" s="17">
        <v>55</v>
      </c>
      <c r="B28" s="22">
        <v>60.06</v>
      </c>
      <c r="E28" s="17">
        <v>55</v>
      </c>
      <c r="F28" s="22">
        <v>60.06</v>
      </c>
    </row>
    <row r="29" spans="1:6" x14ac:dyDescent="0.25">
      <c r="A29" s="17">
        <v>56</v>
      </c>
      <c r="B29" s="22">
        <v>117.19000000000001</v>
      </c>
      <c r="E29" s="17">
        <v>56</v>
      </c>
      <c r="F29" s="22">
        <v>117.19000000000001</v>
      </c>
    </row>
    <row r="30" spans="1:6" x14ac:dyDescent="0.25">
      <c r="A30" s="17">
        <v>57</v>
      </c>
      <c r="B30" s="22">
        <v>153.48000000000002</v>
      </c>
      <c r="E30" s="17">
        <v>57</v>
      </c>
      <c r="F30" s="22">
        <v>153.48000000000002</v>
      </c>
    </row>
    <row r="31" spans="1:6" x14ac:dyDescent="0.25">
      <c r="A31" s="17">
        <v>58</v>
      </c>
      <c r="B31" s="22">
        <v>90.48</v>
      </c>
      <c r="E31" s="17">
        <v>58</v>
      </c>
      <c r="F31" s="22">
        <v>90.48</v>
      </c>
    </row>
    <row r="32" spans="1:6" x14ac:dyDescent="0.25">
      <c r="A32" s="17">
        <v>60</v>
      </c>
      <c r="B32" s="22">
        <v>62.04</v>
      </c>
      <c r="E32" s="17">
        <v>60</v>
      </c>
      <c r="F32" s="22">
        <v>62.04</v>
      </c>
    </row>
    <row r="33" spans="1:6" x14ac:dyDescent="0.25">
      <c r="A33" s="17">
        <v>61</v>
      </c>
      <c r="B33" s="22">
        <v>68.459999999999994</v>
      </c>
      <c r="E33" s="17">
        <v>61</v>
      </c>
      <c r="F33" s="22">
        <v>68.459999999999994</v>
      </c>
    </row>
    <row r="34" spans="1:6" x14ac:dyDescent="0.25">
      <c r="A34" s="17">
        <v>62</v>
      </c>
      <c r="B34" s="22">
        <v>129.22999999999999</v>
      </c>
      <c r="E34" s="17">
        <v>62</v>
      </c>
      <c r="F34" s="22">
        <v>129.22999999999999</v>
      </c>
    </row>
    <row r="35" spans="1:6" x14ac:dyDescent="0.25">
      <c r="A35" s="17">
        <v>63</v>
      </c>
      <c r="B35" s="22">
        <v>109.9</v>
      </c>
      <c r="E35" s="17">
        <v>63</v>
      </c>
      <c r="F35" s="22">
        <v>109.9</v>
      </c>
    </row>
    <row r="36" spans="1:6" x14ac:dyDescent="0.25">
      <c r="A36" s="17">
        <v>66</v>
      </c>
      <c r="B36" s="22">
        <v>90.6</v>
      </c>
      <c r="E36" s="17">
        <v>66</v>
      </c>
      <c r="F36" s="22">
        <v>90.6</v>
      </c>
    </row>
    <row r="37" spans="1:6" x14ac:dyDescent="0.25">
      <c r="A37" s="17">
        <v>67</v>
      </c>
      <c r="B37" s="22">
        <v>153.65</v>
      </c>
      <c r="E37" s="17">
        <v>67</v>
      </c>
      <c r="F37" s="22">
        <v>153.65</v>
      </c>
    </row>
    <row r="38" spans="1:6" x14ac:dyDescent="0.25">
      <c r="A38" s="17">
        <v>71</v>
      </c>
      <c r="B38" s="22">
        <v>124.93</v>
      </c>
      <c r="E38" s="17">
        <v>71</v>
      </c>
      <c r="F38" s="22">
        <v>124.93</v>
      </c>
    </row>
    <row r="39" spans="1:6" x14ac:dyDescent="0.25">
      <c r="A39" s="17" t="s">
        <v>226</v>
      </c>
      <c r="B39" s="22"/>
    </row>
    <row r="40" spans="1:6" x14ac:dyDescent="0.25">
      <c r="A40" s="17" t="s">
        <v>227</v>
      </c>
      <c r="B40" s="22"/>
    </row>
    <row r="41" spans="1:6" x14ac:dyDescent="0.25">
      <c r="A41" s="17" t="s">
        <v>228</v>
      </c>
      <c r="B41" s="22"/>
    </row>
    <row r="42" spans="1:6" x14ac:dyDescent="0.25">
      <c r="A42" s="17" t="s">
        <v>229</v>
      </c>
      <c r="B42" s="22"/>
    </row>
    <row r="43" spans="1:6" x14ac:dyDescent="0.25">
      <c r="A43" s="17" t="s">
        <v>230</v>
      </c>
      <c r="B43" s="22"/>
    </row>
    <row r="44" spans="1:6" x14ac:dyDescent="0.25">
      <c r="A44" s="17" t="s">
        <v>221</v>
      </c>
      <c r="B44" s="22">
        <v>3358.67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8D105-08BD-440B-9627-15A8DE3DBD1B}">
  <dimension ref="A3:AH16"/>
  <sheetViews>
    <sheetView workbookViewId="0">
      <selection activeCell="L67" sqref="L67"/>
    </sheetView>
  </sheetViews>
  <sheetFormatPr defaultRowHeight="13.2" x14ac:dyDescent="0.25"/>
  <cols>
    <col min="1" max="1" width="14.21875" bestFit="1" customWidth="1"/>
    <col min="2" max="2" width="16.21875" bestFit="1" customWidth="1"/>
    <col min="3" max="3" width="7.88671875" bestFit="1" customWidth="1"/>
    <col min="4" max="4" width="8.5546875" bestFit="1" customWidth="1"/>
    <col min="5" max="5" width="10" bestFit="1" customWidth="1"/>
    <col min="6" max="6" width="15.33203125" bestFit="1" customWidth="1"/>
    <col min="7" max="7" width="8.21875" bestFit="1" customWidth="1"/>
    <col min="8" max="8" width="7.109375" bestFit="1" customWidth="1"/>
    <col min="9" max="9" width="12.88671875" bestFit="1" customWidth="1"/>
    <col min="10" max="10" width="12.44140625" bestFit="1" customWidth="1"/>
    <col min="11" max="11" width="7.33203125" bestFit="1" customWidth="1"/>
    <col min="12" max="12" width="12" bestFit="1" customWidth="1"/>
    <col min="13" max="13" width="20.5546875" bestFit="1" customWidth="1"/>
    <col min="14" max="14" width="12.5546875" bestFit="1" customWidth="1"/>
    <col min="15" max="15" width="12.88671875" bestFit="1" customWidth="1"/>
    <col min="16" max="16" width="6.44140625" bestFit="1" customWidth="1"/>
    <col min="17" max="17" width="20.5546875" bestFit="1" customWidth="1"/>
    <col min="18" max="18" width="7.88671875" bestFit="1" customWidth="1"/>
    <col min="19" max="19" width="8" bestFit="1" customWidth="1"/>
    <col min="20" max="20" width="15" bestFit="1" customWidth="1"/>
    <col min="21" max="21" width="4.5546875" bestFit="1" customWidth="1"/>
    <col min="22" max="22" width="18.21875" bestFit="1" customWidth="1"/>
    <col min="23" max="23" width="8.5546875" bestFit="1" customWidth="1"/>
    <col min="24" max="24" width="7.44140625" bestFit="1" customWidth="1"/>
    <col min="25" max="25" width="5.33203125" bestFit="1" customWidth="1"/>
    <col min="26" max="26" width="6.6640625" bestFit="1" customWidth="1"/>
    <col min="27" max="27" width="6.77734375" bestFit="1" customWidth="1"/>
    <col min="29" max="29" width="24.77734375" bestFit="1" customWidth="1"/>
    <col min="30" max="30" width="9.88671875" bestFit="1" customWidth="1"/>
    <col min="31" max="31" width="8.77734375" bestFit="1" customWidth="1"/>
    <col min="32" max="32" width="9.21875" bestFit="1" customWidth="1"/>
    <col min="33" max="33" width="10.77734375" bestFit="1" customWidth="1"/>
    <col min="34" max="34" width="11.33203125" bestFit="1" customWidth="1"/>
  </cols>
  <sheetData>
    <row r="3" spans="1:34" x14ac:dyDescent="0.25">
      <c r="A3" s="16" t="s">
        <v>232</v>
      </c>
      <c r="B3" s="16" t="s">
        <v>223</v>
      </c>
    </row>
    <row r="4" spans="1:34" x14ac:dyDescent="0.25">
      <c r="A4" s="16" t="s">
        <v>220</v>
      </c>
      <c r="B4" t="s">
        <v>41</v>
      </c>
      <c r="C4" t="s">
        <v>75</v>
      </c>
      <c r="D4" t="s">
        <v>166</v>
      </c>
      <c r="E4" t="s">
        <v>105</v>
      </c>
      <c r="F4" t="s">
        <v>115</v>
      </c>
      <c r="G4" t="s">
        <v>192</v>
      </c>
      <c r="H4" t="s">
        <v>29</v>
      </c>
      <c r="I4" t="s">
        <v>118</v>
      </c>
      <c r="J4" t="s">
        <v>84</v>
      </c>
      <c r="K4" t="s">
        <v>59</v>
      </c>
      <c r="L4" t="s">
        <v>89</v>
      </c>
      <c r="M4" t="s">
        <v>97</v>
      </c>
      <c r="N4" t="s">
        <v>55</v>
      </c>
      <c r="O4" t="s">
        <v>24</v>
      </c>
      <c r="P4" t="s">
        <v>144</v>
      </c>
      <c r="Q4" t="s">
        <v>112</v>
      </c>
      <c r="R4" t="s">
        <v>51</v>
      </c>
      <c r="S4" t="s">
        <v>37</v>
      </c>
      <c r="T4" t="s">
        <v>71</v>
      </c>
      <c r="U4" t="s">
        <v>136</v>
      </c>
      <c r="V4" t="s">
        <v>170</v>
      </c>
      <c r="W4" t="s">
        <v>94</v>
      </c>
      <c r="X4" t="s">
        <v>148</v>
      </c>
      <c r="Y4" t="s">
        <v>178</v>
      </c>
      <c r="Z4" t="s">
        <v>78</v>
      </c>
      <c r="AA4" t="s">
        <v>153</v>
      </c>
      <c r="AB4" t="s">
        <v>63</v>
      </c>
      <c r="AC4" t="s">
        <v>101</v>
      </c>
      <c r="AD4" t="s">
        <v>197</v>
      </c>
      <c r="AE4" t="s">
        <v>108</v>
      </c>
      <c r="AF4" t="s">
        <v>127</v>
      </c>
      <c r="AG4" t="s">
        <v>46</v>
      </c>
      <c r="AH4" t="s">
        <v>221</v>
      </c>
    </row>
    <row r="5" spans="1:34" x14ac:dyDescent="0.25">
      <c r="A5" s="17" t="s">
        <v>212</v>
      </c>
      <c r="B5" s="23"/>
      <c r="C5" s="23"/>
      <c r="D5" s="23">
        <v>52</v>
      </c>
      <c r="E5" s="23"/>
      <c r="F5" s="23">
        <v>98</v>
      </c>
      <c r="G5" s="23"/>
      <c r="H5" s="23"/>
      <c r="I5" s="23">
        <v>78</v>
      </c>
      <c r="J5" s="23"/>
      <c r="K5" s="23"/>
      <c r="L5" s="23"/>
      <c r="M5" s="23"/>
      <c r="N5" s="23"/>
      <c r="O5" s="23"/>
      <c r="P5" s="23"/>
      <c r="Q5" s="23"/>
      <c r="R5" s="23"/>
      <c r="S5" s="23"/>
      <c r="T5" s="23"/>
      <c r="U5" s="23"/>
      <c r="V5" s="23"/>
      <c r="W5" s="23"/>
      <c r="X5" s="23"/>
      <c r="Y5" s="23"/>
      <c r="Z5" s="23"/>
      <c r="AA5" s="23"/>
      <c r="AB5" s="23"/>
      <c r="AC5" s="23"/>
      <c r="AD5" s="23"/>
      <c r="AE5" s="23"/>
      <c r="AF5" s="23"/>
      <c r="AG5" s="23"/>
      <c r="AH5" s="23">
        <v>76</v>
      </c>
    </row>
    <row r="6" spans="1:34" x14ac:dyDescent="0.25">
      <c r="A6" s="17" t="s">
        <v>209</v>
      </c>
      <c r="B6" s="23"/>
      <c r="C6" s="23"/>
      <c r="D6" s="23"/>
      <c r="E6" s="23">
        <v>55</v>
      </c>
      <c r="F6" s="23">
        <v>67</v>
      </c>
      <c r="G6" s="23"/>
      <c r="H6" s="23"/>
      <c r="I6" s="23">
        <v>59</v>
      </c>
      <c r="J6" s="23"/>
      <c r="K6" s="23"/>
      <c r="L6" s="23"/>
      <c r="M6" s="23"/>
      <c r="N6" s="23">
        <v>78</v>
      </c>
      <c r="O6" s="23">
        <v>86</v>
      </c>
      <c r="P6" s="23"/>
      <c r="Q6" s="23">
        <v>84</v>
      </c>
      <c r="R6" s="23"/>
      <c r="S6" s="23"/>
      <c r="T6" s="23"/>
      <c r="U6" s="23"/>
      <c r="V6" s="23"/>
      <c r="W6" s="23"/>
      <c r="X6" s="23"/>
      <c r="Y6" s="23"/>
      <c r="Z6" s="23"/>
      <c r="AA6" s="23"/>
      <c r="AB6" s="23"/>
      <c r="AC6" s="23">
        <v>70</v>
      </c>
      <c r="AD6" s="23"/>
      <c r="AE6" s="23">
        <v>101</v>
      </c>
      <c r="AF6" s="23"/>
      <c r="AG6" s="23"/>
      <c r="AH6" s="23">
        <v>75</v>
      </c>
    </row>
    <row r="7" spans="1:34" x14ac:dyDescent="0.25">
      <c r="A7" s="17" t="s">
        <v>210</v>
      </c>
      <c r="B7" s="23"/>
      <c r="C7" s="23"/>
      <c r="D7" s="23"/>
      <c r="E7" s="23"/>
      <c r="F7" s="23"/>
      <c r="G7" s="23"/>
      <c r="H7" s="23"/>
      <c r="I7" s="23"/>
      <c r="J7" s="23"/>
      <c r="K7" s="23"/>
      <c r="L7" s="23"/>
      <c r="M7" s="23"/>
      <c r="N7" s="23">
        <v>52</v>
      </c>
      <c r="O7" s="23"/>
      <c r="P7" s="23"/>
      <c r="Q7" s="23"/>
      <c r="R7" s="23"/>
      <c r="S7" s="23"/>
      <c r="T7" s="23"/>
      <c r="U7" s="23"/>
      <c r="V7" s="23"/>
      <c r="W7" s="23"/>
      <c r="X7" s="23"/>
      <c r="Y7" s="23"/>
      <c r="Z7" s="23">
        <v>96</v>
      </c>
      <c r="AA7" s="23"/>
      <c r="AB7" s="23"/>
      <c r="AC7" s="23"/>
      <c r="AD7" s="23"/>
      <c r="AE7" s="23"/>
      <c r="AF7" s="23">
        <v>93</v>
      </c>
      <c r="AG7" s="23"/>
      <c r="AH7" s="23">
        <v>80.333333333333329</v>
      </c>
    </row>
    <row r="8" spans="1:34" x14ac:dyDescent="0.25">
      <c r="A8" s="17" t="s">
        <v>206</v>
      </c>
      <c r="B8" s="23"/>
      <c r="C8" s="23"/>
      <c r="D8" s="23"/>
      <c r="E8" s="23"/>
      <c r="F8" s="23"/>
      <c r="G8" s="23"/>
      <c r="H8" s="23"/>
      <c r="I8" s="23"/>
      <c r="J8" s="23"/>
      <c r="K8" s="23"/>
      <c r="L8" s="23"/>
      <c r="M8" s="23"/>
      <c r="N8" s="23"/>
      <c r="O8" s="23"/>
      <c r="P8" s="23"/>
      <c r="Q8" s="23"/>
      <c r="R8" s="23"/>
      <c r="S8" s="23">
        <v>53</v>
      </c>
      <c r="T8" s="23"/>
      <c r="U8" s="23"/>
      <c r="V8" s="23"/>
      <c r="W8" s="23"/>
      <c r="X8" s="23"/>
      <c r="Y8" s="23"/>
      <c r="Z8" s="23"/>
      <c r="AA8" s="23"/>
      <c r="AB8" s="23"/>
      <c r="AC8" s="23"/>
      <c r="AD8" s="23">
        <v>93</v>
      </c>
      <c r="AE8" s="23"/>
      <c r="AF8" s="23"/>
      <c r="AG8" s="23"/>
      <c r="AH8" s="23">
        <v>73</v>
      </c>
    </row>
    <row r="9" spans="1:34" x14ac:dyDescent="0.25">
      <c r="A9" s="17" t="s">
        <v>211</v>
      </c>
      <c r="B9" s="23"/>
      <c r="C9" s="23"/>
      <c r="D9" s="23"/>
      <c r="E9" s="23"/>
      <c r="F9" s="23">
        <v>78</v>
      </c>
      <c r="G9" s="23"/>
      <c r="H9" s="23"/>
      <c r="I9" s="23"/>
      <c r="J9" s="23"/>
      <c r="K9" s="23"/>
      <c r="L9" s="23"/>
      <c r="M9" s="23"/>
      <c r="N9" s="23"/>
      <c r="O9" s="23">
        <v>60</v>
      </c>
      <c r="P9" s="23">
        <v>57</v>
      </c>
      <c r="Q9" s="23"/>
      <c r="R9" s="23"/>
      <c r="S9" s="23"/>
      <c r="T9" s="23"/>
      <c r="U9" s="23">
        <v>75</v>
      </c>
      <c r="V9" s="23"/>
      <c r="W9" s="23"/>
      <c r="X9" s="23">
        <v>89</v>
      </c>
      <c r="Y9" s="23"/>
      <c r="Z9" s="23"/>
      <c r="AA9" s="23">
        <v>96</v>
      </c>
      <c r="AB9" s="23"/>
      <c r="AC9" s="23"/>
      <c r="AD9" s="23"/>
      <c r="AE9" s="23">
        <v>67</v>
      </c>
      <c r="AF9" s="23">
        <v>82</v>
      </c>
      <c r="AG9" s="23"/>
      <c r="AH9" s="23">
        <v>74.555555555555557</v>
      </c>
    </row>
    <row r="10" spans="1:34" x14ac:dyDescent="0.25">
      <c r="A10" s="17" t="s">
        <v>208</v>
      </c>
      <c r="B10" s="23">
        <v>49</v>
      </c>
      <c r="C10" s="23"/>
      <c r="D10" s="23"/>
      <c r="E10" s="23"/>
      <c r="F10" s="23"/>
      <c r="G10" s="23"/>
      <c r="H10" s="23"/>
      <c r="I10" s="23"/>
      <c r="J10" s="23">
        <v>68</v>
      </c>
      <c r="K10" s="23"/>
      <c r="L10" s="23">
        <v>105</v>
      </c>
      <c r="M10" s="23">
        <v>71</v>
      </c>
      <c r="N10" s="23"/>
      <c r="O10" s="23"/>
      <c r="P10" s="23"/>
      <c r="Q10" s="23"/>
      <c r="R10" s="23"/>
      <c r="S10" s="23"/>
      <c r="T10" s="23"/>
      <c r="U10" s="23"/>
      <c r="V10" s="23"/>
      <c r="W10" s="23">
        <v>106</v>
      </c>
      <c r="X10" s="23"/>
      <c r="Y10" s="23"/>
      <c r="Z10" s="23"/>
      <c r="AA10" s="23"/>
      <c r="AB10" s="23"/>
      <c r="AC10" s="23"/>
      <c r="AD10" s="23"/>
      <c r="AE10" s="23"/>
      <c r="AF10" s="23"/>
      <c r="AG10" s="23"/>
      <c r="AH10" s="23">
        <v>79.8</v>
      </c>
    </row>
    <row r="11" spans="1:34" x14ac:dyDescent="0.25">
      <c r="A11" s="17" t="s">
        <v>214</v>
      </c>
      <c r="B11" s="23"/>
      <c r="C11" s="23"/>
      <c r="D11" s="23"/>
      <c r="E11" s="23"/>
      <c r="F11" s="23">
        <v>80.5</v>
      </c>
      <c r="G11" s="23"/>
      <c r="H11" s="23"/>
      <c r="I11" s="23"/>
      <c r="J11" s="23"/>
      <c r="K11" s="23"/>
      <c r="L11" s="23"/>
      <c r="M11" s="23"/>
      <c r="N11" s="23"/>
      <c r="O11" s="23"/>
      <c r="P11" s="23"/>
      <c r="Q11" s="23"/>
      <c r="R11" s="23"/>
      <c r="S11" s="23"/>
      <c r="T11" s="23"/>
      <c r="U11" s="23"/>
      <c r="V11" s="23"/>
      <c r="W11" s="23"/>
      <c r="X11" s="23"/>
      <c r="Y11" s="23">
        <v>64</v>
      </c>
      <c r="Z11" s="23"/>
      <c r="AA11" s="23"/>
      <c r="AB11" s="23"/>
      <c r="AC11" s="23"/>
      <c r="AD11" s="23"/>
      <c r="AE11" s="23"/>
      <c r="AF11" s="23"/>
      <c r="AG11" s="23"/>
      <c r="AH11" s="23">
        <v>75</v>
      </c>
    </row>
    <row r="12" spans="1:34" x14ac:dyDescent="0.25">
      <c r="A12" s="17" t="s">
        <v>213</v>
      </c>
      <c r="B12" s="23"/>
      <c r="C12" s="23"/>
      <c r="D12" s="23">
        <v>59</v>
      </c>
      <c r="E12" s="23"/>
      <c r="F12" s="23"/>
      <c r="G12" s="23"/>
      <c r="H12" s="23"/>
      <c r="I12" s="23">
        <v>102</v>
      </c>
      <c r="J12" s="23"/>
      <c r="K12" s="23"/>
      <c r="L12" s="23"/>
      <c r="M12" s="23"/>
      <c r="N12" s="23"/>
      <c r="O12" s="23"/>
      <c r="P12" s="23"/>
      <c r="Q12" s="23"/>
      <c r="R12" s="23"/>
      <c r="S12" s="23"/>
      <c r="T12" s="23"/>
      <c r="U12" s="23"/>
      <c r="V12" s="23">
        <v>56</v>
      </c>
      <c r="W12" s="23"/>
      <c r="X12" s="23"/>
      <c r="Y12" s="23"/>
      <c r="Z12" s="23"/>
      <c r="AA12" s="23"/>
      <c r="AB12" s="23"/>
      <c r="AC12" s="23"/>
      <c r="AD12" s="23"/>
      <c r="AE12" s="23"/>
      <c r="AF12" s="23"/>
      <c r="AG12" s="23"/>
      <c r="AH12" s="23">
        <v>72.333333333333329</v>
      </c>
    </row>
    <row r="13" spans="1:34" x14ac:dyDescent="0.25">
      <c r="A13" s="17" t="s">
        <v>215</v>
      </c>
      <c r="B13" s="23"/>
      <c r="C13" s="23"/>
      <c r="D13" s="23"/>
      <c r="E13" s="23"/>
      <c r="F13" s="23"/>
      <c r="G13" s="23">
        <v>46</v>
      </c>
      <c r="H13" s="23"/>
      <c r="I13" s="23"/>
      <c r="J13" s="23"/>
      <c r="K13" s="23"/>
      <c r="L13" s="23"/>
      <c r="M13" s="23"/>
      <c r="N13" s="23"/>
      <c r="O13" s="23"/>
      <c r="P13" s="23"/>
      <c r="Q13" s="23"/>
      <c r="R13" s="23"/>
      <c r="S13" s="23">
        <v>50</v>
      </c>
      <c r="T13" s="23"/>
      <c r="U13" s="23"/>
      <c r="V13" s="23"/>
      <c r="W13" s="23"/>
      <c r="X13" s="23"/>
      <c r="Y13" s="23"/>
      <c r="Z13" s="23"/>
      <c r="AA13" s="23"/>
      <c r="AB13" s="23"/>
      <c r="AC13" s="23"/>
      <c r="AD13" s="23"/>
      <c r="AE13" s="23"/>
      <c r="AF13" s="23"/>
      <c r="AG13" s="23"/>
      <c r="AH13" s="23">
        <v>48</v>
      </c>
    </row>
    <row r="14" spans="1:34" x14ac:dyDescent="0.25">
      <c r="A14" s="17" t="s">
        <v>207</v>
      </c>
      <c r="B14" s="23"/>
      <c r="C14" s="23">
        <v>101</v>
      </c>
      <c r="D14" s="23"/>
      <c r="E14" s="23"/>
      <c r="F14" s="23"/>
      <c r="G14" s="23"/>
      <c r="H14" s="23"/>
      <c r="I14" s="23"/>
      <c r="J14" s="23"/>
      <c r="K14" s="23"/>
      <c r="L14" s="23"/>
      <c r="M14" s="23"/>
      <c r="N14" s="23">
        <v>63</v>
      </c>
      <c r="O14" s="23"/>
      <c r="P14" s="23"/>
      <c r="Q14" s="23"/>
      <c r="R14" s="23"/>
      <c r="S14" s="23"/>
      <c r="T14" s="23">
        <v>104</v>
      </c>
      <c r="U14" s="23"/>
      <c r="V14" s="23"/>
      <c r="W14" s="23"/>
      <c r="X14" s="23"/>
      <c r="Y14" s="23"/>
      <c r="Z14" s="23">
        <v>71</v>
      </c>
      <c r="AA14" s="23"/>
      <c r="AB14" s="23">
        <v>65</v>
      </c>
      <c r="AC14" s="23"/>
      <c r="AD14" s="23"/>
      <c r="AE14" s="23"/>
      <c r="AF14" s="23"/>
      <c r="AG14" s="23"/>
      <c r="AH14" s="23">
        <v>80.8</v>
      </c>
    </row>
    <row r="15" spans="1:34" x14ac:dyDescent="0.25">
      <c r="A15" s="17" t="s">
        <v>205</v>
      </c>
      <c r="B15" s="23">
        <v>49</v>
      </c>
      <c r="C15" s="23"/>
      <c r="D15" s="23"/>
      <c r="E15" s="23"/>
      <c r="F15" s="23"/>
      <c r="G15" s="23"/>
      <c r="H15" s="23">
        <v>84</v>
      </c>
      <c r="I15" s="23"/>
      <c r="J15" s="23"/>
      <c r="K15" s="23">
        <v>106</v>
      </c>
      <c r="L15" s="23"/>
      <c r="M15" s="23"/>
      <c r="N15" s="23">
        <v>61</v>
      </c>
      <c r="O15" s="23">
        <v>94</v>
      </c>
      <c r="P15" s="23"/>
      <c r="Q15" s="23"/>
      <c r="R15" s="23">
        <v>83</v>
      </c>
      <c r="S15" s="23"/>
      <c r="T15" s="23"/>
      <c r="U15" s="23"/>
      <c r="V15" s="23"/>
      <c r="W15" s="23"/>
      <c r="X15" s="23"/>
      <c r="Y15" s="23"/>
      <c r="Z15" s="23"/>
      <c r="AA15" s="23"/>
      <c r="AB15" s="23"/>
      <c r="AC15" s="23"/>
      <c r="AD15" s="23"/>
      <c r="AE15" s="23"/>
      <c r="AF15" s="23"/>
      <c r="AG15" s="23">
        <v>85</v>
      </c>
      <c r="AH15" s="23">
        <v>80.285714285714292</v>
      </c>
    </row>
    <row r="16" spans="1:34" x14ac:dyDescent="0.25">
      <c r="A16" s="17" t="s">
        <v>221</v>
      </c>
      <c r="B16" s="23">
        <v>49</v>
      </c>
      <c r="C16" s="23">
        <v>101</v>
      </c>
      <c r="D16" s="23">
        <v>55.5</v>
      </c>
      <c r="E16" s="23">
        <v>55</v>
      </c>
      <c r="F16" s="23">
        <v>80.8</v>
      </c>
      <c r="G16" s="23">
        <v>46</v>
      </c>
      <c r="H16" s="23">
        <v>84</v>
      </c>
      <c r="I16" s="23">
        <v>79.666666666666671</v>
      </c>
      <c r="J16" s="23">
        <v>68</v>
      </c>
      <c r="K16" s="23">
        <v>106</v>
      </c>
      <c r="L16" s="23">
        <v>105</v>
      </c>
      <c r="M16" s="23">
        <v>71</v>
      </c>
      <c r="N16" s="23">
        <v>63.5</v>
      </c>
      <c r="O16" s="23">
        <v>80</v>
      </c>
      <c r="P16" s="23">
        <v>57</v>
      </c>
      <c r="Q16" s="23">
        <v>84</v>
      </c>
      <c r="R16" s="23">
        <v>83</v>
      </c>
      <c r="S16" s="23">
        <v>51.5</v>
      </c>
      <c r="T16" s="23">
        <v>104</v>
      </c>
      <c r="U16" s="23">
        <v>75</v>
      </c>
      <c r="V16" s="23">
        <v>56</v>
      </c>
      <c r="W16" s="23">
        <v>106</v>
      </c>
      <c r="X16" s="23">
        <v>89</v>
      </c>
      <c r="Y16" s="23">
        <v>64</v>
      </c>
      <c r="Z16" s="23">
        <v>83.5</v>
      </c>
      <c r="AA16" s="23">
        <v>96</v>
      </c>
      <c r="AB16" s="23">
        <v>65</v>
      </c>
      <c r="AC16" s="23">
        <v>70</v>
      </c>
      <c r="AD16" s="23">
        <v>93</v>
      </c>
      <c r="AE16" s="23">
        <v>78.333333333333329</v>
      </c>
      <c r="AF16" s="23">
        <v>87.5</v>
      </c>
      <c r="AG16" s="23">
        <v>85</v>
      </c>
      <c r="AH16" s="23">
        <v>75.78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8DE15-67CF-44F6-896D-9B0A3A63D687}">
  <dimension ref="A1"/>
  <sheetViews>
    <sheetView tabSelected="1" workbookViewId="0">
      <selection activeCell="T47" sqref="T47"/>
    </sheetView>
  </sheetViews>
  <sheetFormatPr defaultRowHeight="13.2" x14ac:dyDescent="0.25"/>
  <cols>
    <col min="1" max="16384" width="8.88671875" style="2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Sports_details</vt:lpstr>
      <vt:lpstr>Location_details</vt:lpstr>
      <vt:lpstr>Sportsmen</vt:lpstr>
      <vt:lpstr>Sportsperson country and gender</vt:lpstr>
      <vt:lpstr>Salary country and Gender wise</vt:lpstr>
      <vt:lpstr>age vs salary</vt:lpstr>
      <vt:lpstr>Average Weight sports wise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balkrishna tripathi</cp:lastModifiedBy>
  <dcterms:modified xsi:type="dcterms:W3CDTF">2026-10-04T21:29:24Z</dcterms:modified>
</cp:coreProperties>
</file>