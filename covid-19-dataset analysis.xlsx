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Balkrishna\Downloads\"/>
    </mc:Choice>
  </mc:AlternateContent>
  <xr:revisionPtr revIDLastSave="0" documentId="13_ncr:1_{721925AB-9B14-4C49-B58A-06247C4D39F7}" xr6:coauthVersionLast="47" xr6:coauthVersionMax="47" xr10:uidLastSave="{00000000-0000-0000-0000-000000000000}"/>
  <bookViews>
    <workbookView xWindow="-108" yWindow="-108" windowWidth="23256" windowHeight="12456" firstSheet="2" activeTab="6" xr2:uid="{00000000-000D-0000-FFFF-FFFF00000000}"/>
  </bookViews>
  <sheets>
    <sheet name="ZONE WISE TOTAL CASES" sheetId="3" r:id="rId1"/>
    <sheet name="ZONE WISE ACTIVE CASES" sheetId="6" r:id="rId2"/>
    <sheet name="STATE BY CASES" sheetId="7" r:id="rId3"/>
    <sheet name="KPI" sheetId="9" r:id="rId4"/>
    <sheet name="COVID-19" sheetId="1" r:id="rId5"/>
    <sheet name="INSIGHTS" sheetId="2" r:id="rId6"/>
    <sheet name="DASHBOARD" sheetId="10" r:id="rId7"/>
  </sheets>
  <definedNames>
    <definedName name="Slicer_State_UTs">#N/A</definedName>
    <definedName name="Slicer_Zon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9" l="1"/>
  <c r="J11" i="9"/>
  <c r="E13" i="9"/>
  <c r="B13" i="9"/>
  <c r="J9" i="2"/>
  <c r="J10" i="2"/>
  <c r="J11" i="2"/>
  <c r="J14" i="2"/>
  <c r="J15" i="2"/>
  <c r="J16" i="2"/>
  <c r="J17" i="2"/>
  <c r="J20" i="2"/>
  <c r="J21" i="2"/>
  <c r="J22" i="2"/>
  <c r="J28" i="2"/>
  <c r="G4" i="1"/>
  <c r="G5" i="1"/>
  <c r="G3"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2" i="1"/>
  <c r="H5" i="1" l="1"/>
  <c r="H4" i="1"/>
  <c r="H36" i="1"/>
  <c r="H28" i="1"/>
  <c r="H20" i="1"/>
  <c r="H12" i="1"/>
  <c r="H18" i="1"/>
  <c r="H35" i="1"/>
  <c r="H27" i="1"/>
  <c r="H19" i="1"/>
  <c r="H11" i="1"/>
  <c r="H3" i="1"/>
  <c r="H33" i="1"/>
  <c r="H25" i="1"/>
  <c r="H17" i="1"/>
  <c r="H9" i="1"/>
  <c r="H31" i="1"/>
  <c r="H23" i="1"/>
  <c r="H15" i="1"/>
  <c r="H7" i="1"/>
  <c r="H2" i="1"/>
  <c r="H14" i="1"/>
  <c r="H34" i="1"/>
  <c r="H10" i="1"/>
  <c r="H24" i="1"/>
  <c r="H16" i="1"/>
  <c r="H30" i="1"/>
  <c r="H22" i="1"/>
  <c r="H6" i="1"/>
  <c r="H26" i="1"/>
  <c r="H32" i="1"/>
  <c r="H8" i="1"/>
  <c r="H37" i="1"/>
  <c r="H29" i="1"/>
  <c r="H21" i="1"/>
  <c r="H13" i="1"/>
</calcChain>
</file>

<file path=xl/sharedStrings.xml><?xml version="1.0" encoding="utf-8"?>
<sst xmlns="http://schemas.openxmlformats.org/spreadsheetml/2006/main" count="183" uniqueCount="73">
  <si>
    <t>State/UTs</t>
  </si>
  <si>
    <t>Zone</t>
  </si>
  <si>
    <t>Population</t>
  </si>
  <si>
    <t>Active</t>
  </si>
  <si>
    <t>Discharged</t>
  </si>
  <si>
    <t>Deaths</t>
  </si>
  <si>
    <t>Andaman and Nicobar</t>
  </si>
  <si>
    <t>South</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</si>
  <si>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</si>
  <si>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</si>
  <si>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</si>
  <si>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</si>
  <si>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</si>
  <si>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</si>
  <si>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</si>
  <si>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</si>
  <si>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</si>
  <si>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</si>
  <si>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</si>
  <si>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</si>
  <si>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</si>
  <si>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</si>
  <si>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</si>
  <si>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</si>
  <si>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</si>
  <si>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</si>
  <si>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</si>
  <si>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</si>
  <si>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</si>
  <si>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</si>
  <si>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</si>
  <si>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</si>
  <si>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</si>
  <si>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</si>
  <si>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</si>
  <si>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</si>
  <si>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</si>
  <si>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</si>
  <si>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</si>
  <si>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</si>
  <si>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</si>
  <si>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</si>
  <si>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</si>
  <si>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</si>
  <si>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</si>
  <si>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</si>
  <si>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total no of deaths from south zone</t>
  </si>
  <si>
    <t>total no of active cases in north zone</t>
  </si>
  <si>
    <t>total no of dischared people from west zone</t>
  </si>
  <si>
    <t>no of states in east zone</t>
  </si>
  <si>
    <t>no of states in north zone</t>
  </si>
  <si>
    <t>maximum active cases in noth zone</t>
  </si>
  <si>
    <t>maximum discharged cases in south zone</t>
  </si>
  <si>
    <t>most deaths in east zone</t>
  </si>
  <si>
    <t>Total cases</t>
  </si>
  <si>
    <t>state with highest no of total cases</t>
  </si>
  <si>
    <t>state with lowest no of total cases</t>
  </si>
  <si>
    <t>Total case Catagories</t>
  </si>
  <si>
    <t>average total cases</t>
  </si>
  <si>
    <t xml:space="preserve">                                             Insights</t>
  </si>
  <si>
    <t xml:space="preserve">         Maharashtra</t>
  </si>
  <si>
    <t>COUNTIF</t>
  </si>
  <si>
    <t>SUMIF</t>
  </si>
  <si>
    <t>MAXIF</t>
  </si>
  <si>
    <t>no of states which have below average total cases</t>
  </si>
  <si>
    <t>no of states which have above average total cases</t>
  </si>
  <si>
    <t xml:space="preserve">    Andaman and Nicobar</t>
  </si>
  <si>
    <t>Row Labels</t>
  </si>
  <si>
    <t>Grand Total</t>
  </si>
  <si>
    <t>Sum of Total cases</t>
  </si>
  <si>
    <t>Sum of Active</t>
  </si>
  <si>
    <t>Sum of Discharged</t>
  </si>
  <si>
    <t>Sum of Deaths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</si>
</sst>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4" x14ac:knownFonts="1">
    <font>
      <sz val="10"/>
      <color rgb="FF000000"/>
      <name val="Arial"/>
      <scheme val="minor"/>
    </font>
    <font>
      <b/>
      <sz val="14"/>
      <color rgb="FF000000"/>
      <name val="Calibri"/>
    </font>
    <font>
      <sz val="11"/>
      <color rgb="FF000000"/>
      <name val="Calibri"/>
    </font>
    <font>
      <sz val="11"/>
      <color rgb="FFFF0000"/>
      <name val="Calibri"/>
      <family val="2"/>
    </font>
    <font>
      <sz val="20"/>
      <color rgb="FFC00000"/>
      <name val="Calibri"/>
      <family val="2"/>
    </font>
    <font>
      <sz val="10"/>
      <color rgb="FFFF0000"/>
      <name val="Arial"/>
      <family val="2"/>
      <scheme val="minor"/>
    </font>
    <font>
      <b/>
      <sz val="11"/>
      <color rgb="FF0070C0"/>
      <name val="Calibri"/>
      <family val="2"/>
    </font>
    <font>
      <sz val="11"/>
      <color rgb="FFFF0000"/>
      <name val="Calibri"/>
    </font>
    <font>
      <sz val="10"/>
      <color rgb="FFFF0000"/>
      <name val="Arial"/>
      <scheme val="minor"/>
    </font>
    <font>
      <b/>
      <sz val="16"/>
      <color rgb="FFC00000"/>
      <name val="Calibri"/>
      <family val="2"/>
    </font>
    <font>
      <b/>
      <sz val="14"/>
      <color rgb="FF000000"/>
      <name val="Calibri"/>
      <family val="2"/>
    </font>
    <font>
      <b/>
      <sz val="10"/>
      <color theme="1"/>
      <name val="Arial"/>
      <family val="2"/>
      <scheme val="minor"/>
    </font>
    <font>
      <b/>
      <sz val="11"/>
      <color theme="0"/>
      <name val="Arial"/>
      <family val="2"/>
      <scheme val="minor"/>
    </font>
    <font>
      <b/>
      <sz val="10"/>
      <color theme="0"/>
      <name val="Arial"/>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6" tint="0.7999816888943144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9">
    <xf numFmtId="0" fontId="0" fillId="0" borderId="0" xfId="0"/>
    <xf numFmtId="0" fontId="2" fillId="0" borderId="0" xfId="0" applyFont="1"/>
    <xf numFmtId="0" fontId="2" fillId="0" borderId="0" xfId="0" applyFont="1" applyAlignment="1">
      <alignment horizontal="right"/>
    </xf>
    <xf numFmtId="0" fontId="1" fillId="2" borderId="0" xfId="0" applyFont="1" applyFill="1"/>
    <xf numFmtId="0" fontId="2" fillId="0" borderId="0" xfId="0" applyFont="1" applyAlignment="1">
      <alignment horizontal="left"/>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right"/>
    </xf>
    <xf numFmtId="0" fontId="5" fillId="0" borderId="0" xfId="0" applyFont="1"/>
    <xf numFmtId="2" fontId="5" fillId="0" borderId="0" xfId="0" applyNumberFormat="1" applyFont="1"/>
    <xf numFmtId="0" fontId="6" fillId="0" borderId="0" xfId="0" applyFont="1" applyAlignment="1">
      <alignment horizontal="left"/>
    </xf>
    <xf numFmtId="0" fontId="7" fillId="0" borderId="0" xfId="0" applyFont="1" applyAlignment="1">
      <alignment horizontal="right"/>
    </xf>
    <xf numFmtId="0" fontId="8" fillId="0" borderId="0" xfId="0" applyFont="1" applyAlignment="1">
      <alignment horizontal="left"/>
    </xf>
    <xf numFmtId="0" fontId="7" fillId="0" borderId="0" xfId="0" applyFont="1" applyAlignment="1">
      <alignment horizontal="right" vertical="top"/>
    </xf>
    <xf numFmtId="0" fontId="9" fillId="0" borderId="0" xfId="0" applyFont="1" applyAlignment="1">
      <alignment horizontal="right"/>
    </xf>
    <xf numFmtId="0" fontId="0" fillId="0" borderId="0" xfId="0" applyAlignment="1">
      <alignment horizontal="center"/>
    </xf>
    <xf numFmtId="0" fontId="8" fillId="0" borderId="0" xfId="0" applyFont="1" applyAlignment="1">
      <alignment horizontal="right"/>
    </xf>
    <xf numFmtId="0" fontId="10" fillId="3" borderId="0" xfId="0" applyFont="1" applyFill="1"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applyAlignment="1">
      <alignment vertical="top"/>
    </xf>
    <xf numFmtId="0" fontId="0" fillId="4" borderId="0" xfId="0" applyFill="1"/>
    <xf numFmtId="164" fontId="11" fillId="0" borderId="1" xfId="0" applyNumberFormat="1" applyFont="1" applyBorder="1" applyAlignment="1">
      <alignment horizontal="center"/>
    </xf>
    <xf numFmtId="164" fontId="11" fillId="0" borderId="1" xfId="0" applyNumberFormat="1" applyFont="1" applyBorder="1"/>
    <xf numFmtId="164" fontId="13" fillId="0" borderId="0" xfId="0" applyNumberFormat="1" applyFont="1" applyAlignment="1">
      <alignment horizontal="center"/>
    </xf>
    <xf numFmtId="164" fontId="12" fillId="0" borderId="0" xfId="0" applyNumberFormat="1" applyFont="1" applyAlignment="1">
      <alignment horizontal="center"/>
    </xf>
    <xf numFmtId="0" fontId="0" fillId="0" borderId="0" xfId="0" applyNumberFormat="1"/>
  </cellXfs>
  <cellStyles count="1">
    <cellStyle name="Normal" xfId="0" builtinId="0"/>
  </cellStyles>
  <dxfs count="4">
    <dxf>
      <font>
        <color rgb="FF006100"/>
      </font>
      <fill>
        <patternFill>
          <bgColor rgb="FFC6EFCE"/>
        </patternFill>
      </fill>
    </dxf>
    <dxf>
      <fill>
        <patternFill>
          <bgColor theme="5" tint="0.39994506668294322"/>
        </patternFill>
      </fill>
    </dxf>
    <dxf>
      <font>
        <color rgb="FF9C0006"/>
      </font>
      <fill>
        <patternFill>
          <bgColor rgb="FFFFC7CE"/>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[covid-19-dataset.xlsx]ZONE WISE TOTAL CASES!PivotTable1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ZONE WISE TOTAL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'ZONE WISE TOTAL CASES'!$B$3</c:f>
              <c:strCache>
                <c:ptCount val="1"/>
                <c:pt idx="0">
                  <c:v>Total</c:v>
                </c:pt>
              </c:strCache>
            </c:strRef>
          </c:tx>
          <c:spPr>
            <a:solidFill>
              <a:schemeClr val="accent1"/>
            </a:solidFill>
            <a:ln>
              <a:noFill/>
            </a:ln>
            <a:effectLst/>
          </c:spPr>
          <c:invertIfNegative val="0"/>
          <c:cat>
            <c:strRef>
              <c:f>'ZONE WISE TOTAL CASES'!$A$4:$A$8</c:f>
              <c:strCache>
                <c:ptCount val="4"/>
                <c:pt idx="0">
                  <c:v>South</c:v>
                </c:pt>
                <c:pt idx="1">
                  <c:v>West</c:v>
                </c:pt>
                <c:pt idx="2">
                  <c:v>East</c:v>
                </c:pt>
                <c:pt idx="3">
                  <c:v>North</c:v>
                </c:pt>
              </c:strCache>
            </c:strRef>
          </c:cat>
          <c:val>
            <c:numRef>
              <c:f>'ZONE WISE TOTAL CASES'!$B$4:$B$8</c:f>
              <c:numCache>
                <c:formatCode>General</c:formatCode>
                <c:ptCount val="4"/>
                <c:pt idx="0">
                  <c:v>13650538</c:v>
                </c:pt>
                <c:pt idx="1">
                  <c:v>9386876</c:v>
                </c:pt>
                <c:pt idx="2">
                  <c:v>5884786</c:v>
                </c:pt>
                <c:pt idx="3">
                  <c:v>5515107</c:v>
                </c:pt>
              </c:numCache>
            </c:numRef>
          </c:val>
          <c:extLst>
            <c:ext xmlns:c16="http://schemas.microsoft.com/office/drawing/2014/chart" uri="{C3380CC4-5D6E-409C-BE32-E72D297353CC}">
              <c16:uniqueId val="{00000000-F520-46DB-8CA1-11A1720C0517}"/>
            </c:ext>
          </c:extLst>
        </c:ser>
        <c:dLbls>
          <c:showLegendKey val="0"/>
          <c:showVal val="0"/>
          <c:showCatName val="0"/>
          <c:showSerName val="0"/>
          <c:showPercent val="0"/>
          <c:showBubbleSize val="0"/>
        </c:dLbls>
        <c:gapWidth val="219"/>
        <c:overlap val="-27"/>
        <c:axId val="1045894704"/>
        <c:axId val="706526096"/>
      </c:barChart>
      <c:catAx>
        <c:axId val="10458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26096"/>
        <c:crosses val="autoZero"/>
        <c:auto val="1"/>
        <c:lblAlgn val="ctr"/>
        <c:lblOffset val="100"/>
        <c:noMultiLvlLbl val="0"/>
      </c:catAx>
      <c:valAx>
        <c:axId val="70652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89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[covid-19-dataset.xlsx]ZONE WISE TOTAL CASES!PivotTable5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STATES BY TOTAL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'ZONE WISE TOTAL CASES'!$H$4</c:f>
              <c:strCache>
                <c:ptCount val="1"/>
                <c:pt idx="0">
                  <c:v>Total</c:v>
                </c:pt>
              </c:strCache>
            </c:strRef>
          </c:tx>
          <c:spPr>
            <a:solidFill>
              <a:schemeClr val="accent1"/>
            </a:solidFill>
            <a:ln>
              <a:noFill/>
            </a:ln>
            <a:effectLst/>
          </c:spPr>
          <c:invertIfNegative val="0"/>
          <c:cat>
            <c:strRef>
              <c:f>'ZONE WISE TOTAL CASES'!$G$5:$G$9</c:f>
              <c:strCache>
                <c:ptCount val="5"/>
                <c:pt idx="0">
                  <c:v>Andhra Pradesh</c:v>
                </c:pt>
                <c:pt idx="1">
                  <c:v>Karnataka</c:v>
                </c:pt>
                <c:pt idx="2">
                  <c:v>Kerala</c:v>
                </c:pt>
                <c:pt idx="3">
                  <c:v>Maharashtra</c:v>
                </c:pt>
                <c:pt idx="4">
                  <c:v>Tamil Nadu</c:v>
                </c:pt>
              </c:strCache>
            </c:strRef>
          </c:cat>
          <c:val>
            <c:numRef>
              <c:f>'ZONE WISE TOTAL CASES'!$H$5:$H$9</c:f>
              <c:numCache>
                <c:formatCode>General</c:formatCode>
                <c:ptCount val="5"/>
                <c:pt idx="0">
                  <c:v>2069770</c:v>
                </c:pt>
                <c:pt idx="1">
                  <c:v>2991614</c:v>
                </c:pt>
                <c:pt idx="2">
                  <c:v>5055224</c:v>
                </c:pt>
                <c:pt idx="3">
                  <c:v>6623344</c:v>
                </c:pt>
                <c:pt idx="4">
                  <c:v>2714025</c:v>
                </c:pt>
              </c:numCache>
            </c:numRef>
          </c:val>
          <c:extLst>
            <c:ext xmlns:c16="http://schemas.microsoft.com/office/drawing/2014/chart" uri="{C3380CC4-5D6E-409C-BE32-E72D297353CC}">
              <c16:uniqueId val="{00000000-D4A1-455C-8B70-7CEE478DB267}"/>
            </c:ext>
          </c:extLst>
        </c:ser>
        <c:dLbls>
          <c:showLegendKey val="0"/>
          <c:showVal val="0"/>
          <c:showCatName val="0"/>
          <c:showSerName val="0"/>
          <c:showPercent val="0"/>
          <c:showBubbleSize val="0"/>
        </c:dLbls>
        <c:gapWidth val="182"/>
        <c:axId val="932710544"/>
        <c:axId val="706510736"/>
      </c:barChart>
      <c:catAx>
        <c:axId val="93271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10736"/>
        <c:crosses val="autoZero"/>
        <c:auto val="1"/>
        <c:lblAlgn val="ctr"/>
        <c:lblOffset val="100"/>
        <c:noMultiLvlLbl val="0"/>
      </c:catAx>
      <c:valAx>
        <c:axId val="706510736"/>
        <c:scaling>
          <c:orientation val="minMax"/>
        </c:scaling>
        <c:delete val="1"/>
        <c:axPos val="b"/>
        <c:numFmt formatCode="General" sourceLinked="1"/>
        <c:majorTickMark val="none"/>
        <c:minorTickMark val="none"/>
        <c:tickLblPos val="nextTo"/>
        <c:crossAx val="93271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[covid-19-dataset.xlsx]ZONE WISE ACTIVE CASES!PivotTable2</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ZONE WISE ACTIVE CASES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'ZONE WISE ACTIVE CASES'!$B$3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5A5-48C6-8751-3278551B1C5C}"/>
              </c:ext>
            </c:extLst>
          </c:dPt>
          <c:dPt>
            <c:idx val="1"/>
            <c:bubble3D val="0"/>
            <c:spPr>
              <a:solidFill>
                <a:schemeClr val="accent2"/>
              </a:solidFill>
              <a:ln>
                <a:noFill/>
              </a:ln>
              <a:effectLst/>
            </c:spPr>
            <c:extLst>
              <c:ext xmlns:c16="http://schemas.microsoft.com/office/drawing/2014/chart" uri="{C3380CC4-5D6E-409C-BE32-E72D297353CC}">
                <c16:uniqueId val="{00000003-15A5-48C6-8751-3278551B1C5C}"/>
              </c:ext>
            </c:extLst>
          </c:dPt>
          <c:dPt>
            <c:idx val="2"/>
            <c:bubble3D val="0"/>
            <c:spPr>
              <a:solidFill>
                <a:schemeClr val="accent3"/>
              </a:solidFill>
              <a:ln>
                <a:noFill/>
              </a:ln>
              <a:effectLst/>
            </c:spPr>
            <c:extLst>
              <c:ext xmlns:c16="http://schemas.microsoft.com/office/drawing/2014/chart" uri="{C3380CC4-5D6E-409C-BE32-E72D297353CC}">
                <c16:uniqueId val="{00000005-15A5-48C6-8751-3278551B1C5C}"/>
              </c:ext>
            </c:extLst>
          </c:dPt>
          <c:dPt>
            <c:idx val="3"/>
            <c:bubble3D val="0"/>
            <c:spPr>
              <a:solidFill>
                <a:schemeClr val="accent4"/>
              </a:solidFill>
              <a:ln>
                <a:noFill/>
              </a:ln>
              <a:effectLst/>
            </c:spPr>
            <c:extLst>
              <c:ext xmlns:c16="http://schemas.microsoft.com/office/drawing/2014/chart" uri="{C3380CC4-5D6E-409C-BE32-E72D297353CC}">
                <c16:uniqueId val="{00000007-15A5-48C6-8751-3278551B1C5C}"/>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'ZONE WISE ACTIVE CASES'!$A$4:$A$8</c:f>
              <c:strCache>
                <c:ptCount val="4"/>
                <c:pt idx="0">
                  <c:v>East</c:v>
                </c:pt>
                <c:pt idx="1">
                  <c:v>North</c:v>
                </c:pt>
                <c:pt idx="2">
                  <c:v>South</c:v>
                </c:pt>
                <c:pt idx="3">
                  <c:v>West</c:v>
                </c:pt>
              </c:strCache>
            </c:strRef>
          </c:cat>
          <c:val>
            <c:numRef>
              <c:f>'ZONE WISE ACTIVE CASES'!$B$4:$B$8</c:f>
              <c:numCache>
                <c:formatCode>0.00%</c:formatCode>
                <c:ptCount val="4"/>
                <c:pt idx="0">
                  <c:v>0.15749201724569226</c:v>
                </c:pt>
                <c:pt idx="1">
                  <c:v>2.7921246633999912E-2</c:v>
                </c:pt>
                <c:pt idx="2">
                  <c:v>0.69318265424741388</c:v>
                </c:pt>
                <c:pt idx="3">
                  <c:v>0.12140408187289395</c:v>
                </c:pt>
              </c:numCache>
            </c:numRef>
          </c:val>
          <c:extLst>
            <c:ext xmlns:c16="http://schemas.microsoft.com/office/drawing/2014/chart" uri="{C3380CC4-5D6E-409C-BE32-E72D297353CC}">
              <c16:uniqueId val="{00000000-858C-4F36-82C7-FBE89A56746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[covid-19-dataset.xlsx]ZONE WISE ACTIVE CASES!PivotTable3</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ZONE WISE DISCHARGED CASES</a:t>
            </a:r>
          </a:p>
        </c:rich>
      </c:tx>
      <c:layout>
        <c:manualLayout>
          <c:xMode val="edge"/>
          <c:yMode val="edge"/>
          <c:x val="0.13002206245958386"/>
          <c:y val="3.472222222222222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s>
    <c:plotArea>
      <c:layout/>
      <c:pieChart>
        <c:varyColors val="1"/>
        <c:ser>
          <c:idx val="0"/>
          <c:order val="0"/>
          <c:tx>
            <c:strRef>
              <c:f>'ZONE WISE ACTIVE CASES'!$G$3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DF1D-41D3-852F-69FDA412CB81}"/>
              </c:ext>
            </c:extLst>
          </c:dPt>
          <c:dPt>
            <c:idx val="1"/>
            <c:bubble3D val="0"/>
            <c:spPr>
              <a:solidFill>
                <a:schemeClr val="accent5"/>
              </a:solidFill>
              <a:ln>
                <a:noFill/>
              </a:ln>
              <a:effectLst/>
            </c:spPr>
            <c:extLst>
              <c:ext xmlns:c16="http://schemas.microsoft.com/office/drawing/2014/chart" uri="{C3380CC4-5D6E-409C-BE32-E72D297353CC}">
                <c16:uniqueId val="{00000003-DF1D-41D3-852F-69FDA412CB81}"/>
              </c:ext>
            </c:extLst>
          </c:dPt>
          <c:dPt>
            <c:idx val="2"/>
            <c:bubble3D val="0"/>
            <c:spPr>
              <a:solidFill>
                <a:schemeClr val="accent4"/>
              </a:solidFill>
              <a:ln>
                <a:noFill/>
              </a:ln>
              <a:effectLst/>
            </c:spPr>
            <c:extLst>
              <c:ext xmlns:c16="http://schemas.microsoft.com/office/drawing/2014/chart" uri="{C3380CC4-5D6E-409C-BE32-E72D297353CC}">
                <c16:uniqueId val="{00000005-DF1D-41D3-852F-69FDA412CB81}"/>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DF1D-41D3-852F-69FDA412CB81}"/>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'ZONE WISE ACTIVE CASES'!$F$4:$F$8</c:f>
              <c:strCache>
                <c:ptCount val="4"/>
                <c:pt idx="0">
                  <c:v>East</c:v>
                </c:pt>
                <c:pt idx="1">
                  <c:v>North</c:v>
                </c:pt>
                <c:pt idx="2">
                  <c:v>South</c:v>
                </c:pt>
                <c:pt idx="3">
                  <c:v>West</c:v>
                </c:pt>
              </c:strCache>
            </c:strRef>
          </c:cat>
          <c:val>
            <c:numRef>
              <c:f>'ZONE WISE ACTIVE CASES'!$G$4:$G$8</c:f>
              <c:numCache>
                <c:formatCode>0.00%</c:formatCode>
                <c:ptCount val="4"/>
                <c:pt idx="0">
                  <c:v>0.17126399752419325</c:v>
                </c:pt>
                <c:pt idx="1">
                  <c:v>0.16017547091262482</c:v>
                </c:pt>
                <c:pt idx="2">
                  <c:v>0.39676839483254539</c:v>
                </c:pt>
                <c:pt idx="3">
                  <c:v>0.27179213673063651</c:v>
                </c:pt>
              </c:numCache>
            </c:numRef>
          </c:val>
          <c:extLst>
            <c:ext xmlns:c16="http://schemas.microsoft.com/office/drawing/2014/chart" uri="{C3380CC4-5D6E-409C-BE32-E72D297353CC}">
              <c16:uniqueId val="{00000000-188E-43B2-9B23-A711788EE5C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[covid-19-dataset.xlsx]ZONE WISE ACTIVE CASES!PivotTable4</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ZONE WISE DEATH CASES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'ZONE WISE ACTIVE CASES'!$L$3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593-40BA-845F-9FAE784FD0D5}"/>
              </c:ext>
            </c:extLst>
          </c:dPt>
          <c:dPt>
            <c:idx val="1"/>
            <c:bubble3D val="0"/>
            <c:spPr>
              <a:solidFill>
                <a:schemeClr val="accent3"/>
              </a:solidFill>
              <a:ln>
                <a:noFill/>
              </a:ln>
              <a:effectLst/>
            </c:spPr>
            <c:extLst>
              <c:ext xmlns:c16="http://schemas.microsoft.com/office/drawing/2014/chart" uri="{C3380CC4-5D6E-409C-BE32-E72D297353CC}">
                <c16:uniqueId val="{00000003-A593-40BA-845F-9FAE784FD0D5}"/>
              </c:ext>
            </c:extLst>
          </c:dPt>
          <c:dPt>
            <c:idx val="2"/>
            <c:bubble3D val="0"/>
            <c:spPr>
              <a:solidFill>
                <a:schemeClr val="accent5"/>
              </a:solidFill>
              <a:ln>
                <a:noFill/>
              </a:ln>
              <a:effectLst/>
            </c:spPr>
            <c:extLst>
              <c:ext xmlns:c16="http://schemas.microsoft.com/office/drawing/2014/chart" uri="{C3380CC4-5D6E-409C-BE32-E72D297353CC}">
                <c16:uniqueId val="{00000005-A593-40BA-845F-9FAE784FD0D5}"/>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A593-40BA-845F-9FAE784FD0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'ZONE WISE ACTIVE CASES'!$K$4:$K$8</c:f>
              <c:strCache>
                <c:ptCount val="4"/>
                <c:pt idx="0">
                  <c:v>East</c:v>
                </c:pt>
                <c:pt idx="1">
                  <c:v>North</c:v>
                </c:pt>
                <c:pt idx="2">
                  <c:v>South</c:v>
                </c:pt>
                <c:pt idx="3">
                  <c:v>West</c:v>
                </c:pt>
              </c:strCache>
            </c:strRef>
          </c:cat>
          <c:val>
            <c:numRef>
              <c:f>'ZONE WISE ACTIVE CASES'!$L$4:$L$8</c:f>
              <c:numCache>
                <c:formatCode>0.00%</c:formatCode>
                <c:ptCount val="4"/>
                <c:pt idx="0">
                  <c:v>0.14707354432291331</c:v>
                </c:pt>
                <c:pt idx="1">
                  <c:v>0.19700343019869265</c:v>
                </c:pt>
                <c:pt idx="2">
                  <c:v>0.28159773908916358</c:v>
                </c:pt>
                <c:pt idx="3">
                  <c:v>0.37432528638923046</c:v>
                </c:pt>
              </c:numCache>
            </c:numRef>
          </c:val>
          <c:extLst>
            <c:ext xmlns:c16="http://schemas.microsoft.com/office/drawing/2014/chart" uri="{C3380CC4-5D6E-409C-BE32-E72D297353CC}">
              <c16:uniqueId val="{00000000-A634-407E-84E9-DEA5EBA262A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[covid-19-dataset.xlsx]STATE BY CASES!PivotTable6</c:name>
    <c:fmtId val="1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TOP 5 STATES ACTIVE CASE WISE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BY CASES'!$B$4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BY CASES'!$A$5:$A$9</c:f>
              <c:strCache>
                <c:ptCount val="5"/>
                <c:pt idx="0">
                  <c:v>Karnataka</c:v>
                </c:pt>
                <c:pt idx="1">
                  <c:v>Kerala</c:v>
                </c:pt>
                <c:pt idx="2">
                  <c:v>Maharashtra</c:v>
                </c:pt>
                <c:pt idx="3">
                  <c:v>Tamil Nadu</c:v>
                </c:pt>
                <c:pt idx="4">
                  <c:v>West Bengal</c:v>
                </c:pt>
              </c:strCache>
            </c:strRef>
          </c:cat>
          <c:val>
            <c:numRef>
              <c:f>'STATE BY CASES'!$B$5:$B$9</c:f>
              <c:numCache>
                <c:formatCode>General</c:formatCode>
                <c:ptCount val="5"/>
                <c:pt idx="0">
                  <c:v>8056</c:v>
                </c:pt>
                <c:pt idx="1">
                  <c:v>69258</c:v>
                </c:pt>
                <c:pt idx="2">
                  <c:v>15866</c:v>
                </c:pt>
                <c:pt idx="3">
                  <c:v>9751</c:v>
                </c:pt>
                <c:pt idx="4">
                  <c:v>8031</c:v>
                </c:pt>
              </c:numCache>
            </c:numRef>
          </c:val>
          <c:extLst>
            <c:ext xmlns:c16="http://schemas.microsoft.com/office/drawing/2014/chart" uri="{C3380CC4-5D6E-409C-BE32-E72D297353CC}">
              <c16:uniqueId val="{00000000-D128-4F83-90F1-D0C46AA0CEB7}"/>
            </c:ext>
          </c:extLst>
        </c:ser>
        <c:dLbls>
          <c:dLblPos val="outEnd"/>
          <c:showLegendKey val="0"/>
          <c:showVal val="1"/>
          <c:showCatName val="0"/>
          <c:showSerName val="0"/>
          <c:showPercent val="0"/>
          <c:showBubbleSize val="0"/>
        </c:dLbls>
        <c:gapWidth val="219"/>
        <c:overlap val="-27"/>
        <c:axId val="1551444640"/>
        <c:axId val="1979476016"/>
      </c:barChart>
      <c:catAx>
        <c:axId val="15514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76016"/>
        <c:crosses val="autoZero"/>
        <c:auto val="1"/>
        <c:lblAlgn val="ctr"/>
        <c:lblOffset val="100"/>
        <c:noMultiLvlLbl val="0"/>
      </c:catAx>
      <c:valAx>
        <c:axId val="1979476016"/>
        <c:scaling>
          <c:orientation val="minMax"/>
        </c:scaling>
        <c:delete val="1"/>
        <c:axPos val="l"/>
        <c:numFmt formatCode="General" sourceLinked="1"/>
        <c:majorTickMark val="none"/>
        <c:minorTickMark val="none"/>
        <c:tickLblPos val="nextTo"/>
        <c:crossAx val="15514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[covid-19-dataset.xlsx]STATE BY CASES!PivotTable3</c:name>
    <c:fmtId val="1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TOP 5 STATES DISCHARGE CASE WISE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BY CASES'!$F$4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BY CASES'!$E$5:$E$9</c:f>
              <c:strCache>
                <c:ptCount val="5"/>
                <c:pt idx="0">
                  <c:v>Andhra Pradesh</c:v>
                </c:pt>
                <c:pt idx="1">
                  <c:v>Karnataka</c:v>
                </c:pt>
                <c:pt idx="2">
                  <c:v>Kerala</c:v>
                </c:pt>
                <c:pt idx="3">
                  <c:v>Maharashtra</c:v>
                </c:pt>
                <c:pt idx="4">
                  <c:v>Tamil Nadu</c:v>
                </c:pt>
              </c:strCache>
            </c:strRef>
          </c:cat>
          <c:val>
            <c:numRef>
              <c:f>'STATE BY CASES'!$F$5:$F$9</c:f>
              <c:numCache>
                <c:formatCode>General</c:formatCode>
                <c:ptCount val="5"/>
                <c:pt idx="0">
                  <c:v>2052230</c:v>
                </c:pt>
                <c:pt idx="1">
                  <c:v>2945415</c:v>
                </c:pt>
                <c:pt idx="2">
                  <c:v>4950281</c:v>
                </c:pt>
                <c:pt idx="3">
                  <c:v>6466913</c:v>
                </c:pt>
                <c:pt idx="4">
                  <c:v>2668001</c:v>
                </c:pt>
              </c:numCache>
            </c:numRef>
          </c:val>
          <c:extLst>
            <c:ext xmlns:c16="http://schemas.microsoft.com/office/drawing/2014/chart" uri="{C3380CC4-5D6E-409C-BE32-E72D297353CC}">
              <c16:uniqueId val="{00000000-7DF8-4C35-956D-5379A9AD5D68}"/>
            </c:ext>
          </c:extLst>
        </c:ser>
        <c:dLbls>
          <c:dLblPos val="outEnd"/>
          <c:showLegendKey val="0"/>
          <c:showVal val="1"/>
          <c:showCatName val="0"/>
          <c:showSerName val="0"/>
          <c:showPercent val="0"/>
          <c:showBubbleSize val="0"/>
        </c:dLbls>
        <c:gapWidth val="219"/>
        <c:overlap val="-27"/>
        <c:axId val="1551502640"/>
        <c:axId val="1979469296"/>
      </c:barChart>
      <c:catAx>
        <c:axId val="155150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69296"/>
        <c:crosses val="autoZero"/>
        <c:auto val="1"/>
        <c:lblAlgn val="ctr"/>
        <c:lblOffset val="100"/>
        <c:noMultiLvlLbl val="0"/>
      </c:catAx>
      <c:valAx>
        <c:axId val="1979469296"/>
        <c:scaling>
          <c:orientation val="minMax"/>
        </c:scaling>
        <c:delete val="1"/>
        <c:axPos val="l"/>
        <c:numFmt formatCode="General" sourceLinked="1"/>
        <c:majorTickMark val="none"/>
        <c:minorTickMark val="none"/>
        <c:tickLblPos val="nextTo"/>
        <c:crossAx val="155150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[covid-19-dataset.xlsx]STATE BY CASES!PivotTable4</c:name>
    <c:fmtId val="1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TOP 5 STATES DEATH CASE WISE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BY CASES'!$J$4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BY CASES'!$I$5:$I$9</c:f>
              <c:strCache>
                <c:ptCount val="5"/>
                <c:pt idx="0">
                  <c:v>Delhi</c:v>
                </c:pt>
                <c:pt idx="1">
                  <c:v>Karnataka</c:v>
                </c:pt>
                <c:pt idx="2">
                  <c:v>Kerala</c:v>
                </c:pt>
                <c:pt idx="3">
                  <c:v>Maharashtra</c:v>
                </c:pt>
                <c:pt idx="4">
                  <c:v>Tamil Nadu</c:v>
                </c:pt>
              </c:strCache>
            </c:strRef>
          </c:cat>
          <c:val>
            <c:numRef>
              <c:f>'STATE BY CASES'!$J$5:$J$9</c:f>
              <c:numCache>
                <c:formatCode>General</c:formatCode>
                <c:ptCount val="5"/>
                <c:pt idx="0">
                  <c:v>25093</c:v>
                </c:pt>
                <c:pt idx="1">
                  <c:v>38143</c:v>
                </c:pt>
                <c:pt idx="2">
                  <c:v>35685</c:v>
                </c:pt>
                <c:pt idx="3">
                  <c:v>140565</c:v>
                </c:pt>
                <c:pt idx="4">
                  <c:v>36273</c:v>
                </c:pt>
              </c:numCache>
            </c:numRef>
          </c:val>
          <c:extLst>
            <c:ext xmlns:c16="http://schemas.microsoft.com/office/drawing/2014/chart" uri="{C3380CC4-5D6E-409C-BE32-E72D297353CC}">
              <c16:uniqueId val="{00000000-73BF-4075-B035-BCB8DDD2A631}"/>
            </c:ext>
          </c:extLst>
        </c:ser>
        <c:dLbls>
          <c:dLblPos val="outEnd"/>
          <c:showLegendKey val="0"/>
          <c:showVal val="1"/>
          <c:showCatName val="0"/>
          <c:showSerName val="0"/>
          <c:showPercent val="0"/>
          <c:showBubbleSize val="0"/>
        </c:dLbls>
        <c:gapWidth val="219"/>
        <c:overlap val="-27"/>
        <c:axId val="1551472944"/>
        <c:axId val="1979435696"/>
      </c:barChart>
      <c:catAx>
        <c:axId val="15514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35696"/>
        <c:crosses val="autoZero"/>
        <c:auto val="1"/>
        <c:lblAlgn val="ctr"/>
        <c:lblOffset val="100"/>
        <c:noMultiLvlLbl val="0"/>
      </c:catAx>
      <c:valAx>
        <c:axId val="1979435696"/>
        <c:scaling>
          <c:orientation val="minMax"/>
        </c:scaling>
        <c:delete val="1"/>
        <c:axPos val="l"/>
        <c:numFmt formatCode="General" sourceLinked="1"/>
        <c:majorTickMark val="none"/>
        <c:minorTickMark val="none"/>
        <c:tickLblPos val="nextTo"/>
        <c:crossAx val="155147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[covid-19-dataset.xlsx]ZONE WISE ACTIVE CASES!PivotTable2</c:name>
    <c:fmtId val="24"/>
  </c:pivotSource>
  <c:chart>
    <c:title>
      <c:tx>
        <c:rich>
          <a:bodyPr rot="0" spcFirstLastPara="1" vertOverflow="ellipsis" vert="horz" wrap="square" anchor="ctr" anchorCtr="1"/>
          <a:lstStyle/>
          <a:p>
            <a:pPr>
              <a:defRPr sz="1200" b="1" i="0" u="none" strike="noStrike" kern="1200" spc="0" baseline="0">
                <a:solidFill>
                  <a:schemeClr val="bg1"/>
                </a:solidFill>
                <a:latin typeface="+mj-lt"/>
                <a:ea typeface="+mn-ea"/>
                <a:cs typeface="+mn-cs"/>
              </a:defRPr>
            </a:pPr>
            <a:r>
              <a:rPr lang="en-US" sz="1200" b="1">
                <a:latin typeface="+mj-lt"/>
              </a:rPr>
              <a:t>ZONE WISE ACTIVE CASES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manualLayout>
          <c:layoutTarget val="inner"/>
          <c:xMode val="edge"/>
          <c:yMode val="edge"/>
          <c:x val="0.28961731037670668"/>
          <c:y val="0.12907419782859245"/>
          <c:w val="0.4231854129567168"/>
          <c:h val="0.86042479007467243"/>
        </c:manualLayout>
      </c:layout>
      <c:pieChart>
        <c:varyColors val="1"/>
        <c:ser>
          <c:idx val="0"/>
          <c:order val="0"/>
          <c:tx>
            <c:strRef>
              <c:f>'ZONE WISE ACTIVE CASES'!$B$3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E1C-4048-9D8D-61476046AB3B}"/>
              </c:ext>
            </c:extLst>
          </c:dPt>
          <c:dPt>
            <c:idx val="1"/>
            <c:bubble3D val="0"/>
            <c:spPr>
              <a:solidFill>
                <a:schemeClr val="accent2"/>
              </a:solidFill>
              <a:ln>
                <a:noFill/>
              </a:ln>
              <a:effectLst/>
            </c:spPr>
            <c:extLst>
              <c:ext xmlns:c16="http://schemas.microsoft.com/office/drawing/2014/chart" uri="{C3380CC4-5D6E-409C-BE32-E72D297353CC}">
                <c16:uniqueId val="{00000003-0E1C-4048-9D8D-61476046AB3B}"/>
              </c:ext>
            </c:extLst>
          </c:dPt>
          <c:dPt>
            <c:idx val="2"/>
            <c:bubble3D val="0"/>
            <c:spPr>
              <a:solidFill>
                <a:schemeClr val="accent3"/>
              </a:solidFill>
              <a:ln>
                <a:noFill/>
              </a:ln>
              <a:effectLst/>
            </c:spPr>
            <c:extLst>
              <c:ext xmlns:c16="http://schemas.microsoft.com/office/drawing/2014/chart" uri="{C3380CC4-5D6E-409C-BE32-E72D297353CC}">
                <c16:uniqueId val="{00000005-0E1C-4048-9D8D-61476046AB3B}"/>
              </c:ext>
            </c:extLst>
          </c:dPt>
          <c:dPt>
            <c:idx val="3"/>
            <c:bubble3D val="0"/>
            <c:spPr>
              <a:solidFill>
                <a:schemeClr val="accent4"/>
              </a:solidFill>
              <a:ln>
                <a:noFill/>
              </a:ln>
              <a:effectLst/>
            </c:spPr>
            <c:extLst>
              <c:ext xmlns:c16="http://schemas.microsoft.com/office/drawing/2014/chart" uri="{C3380CC4-5D6E-409C-BE32-E72D297353CC}">
                <c16:uniqueId val="{00000007-0E1C-4048-9D8D-61476046AB3B}"/>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'ZONE WISE ACTIVE CASES'!$A$4:$A$8</c:f>
              <c:strCache>
                <c:ptCount val="4"/>
                <c:pt idx="0">
                  <c:v>East</c:v>
                </c:pt>
                <c:pt idx="1">
                  <c:v>North</c:v>
                </c:pt>
                <c:pt idx="2">
                  <c:v>South</c:v>
                </c:pt>
                <c:pt idx="3">
                  <c:v>West</c:v>
                </c:pt>
              </c:strCache>
            </c:strRef>
          </c:cat>
          <c:val>
            <c:numRef>
              <c:f>'ZONE WISE ACTIVE CASES'!$B$4:$B$8</c:f>
              <c:numCache>
                <c:formatCode>0.00%</c:formatCode>
                <c:ptCount val="4"/>
                <c:pt idx="0">
                  <c:v>0.15749201724569226</c:v>
                </c:pt>
                <c:pt idx="1">
                  <c:v>2.7921246633999912E-2</c:v>
                </c:pt>
                <c:pt idx="2">
                  <c:v>0.69318265424741388</c:v>
                </c:pt>
                <c:pt idx="3">
                  <c:v>0.12140408187289395</c:v>
                </c:pt>
              </c:numCache>
            </c:numRef>
          </c:val>
          <c:extLst>
            <c:ext xmlns:c16="http://schemas.microsoft.com/office/drawing/2014/chart" uri="{C3380CC4-5D6E-409C-BE32-E72D297353CC}">
              <c16:uniqueId val="{00000008-0E1C-4048-9D8D-61476046AB3B}"/>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[covid-19-dataset.xlsx]ZONE WISE ACTIVE CASES!PivotTable3</c:name>
    <c:fmtId val="9"/>
  </c:pivotSource>
  <c:chart>
    <c:title>
      <c:tx>
        <c:rich>
          <a:bodyPr rot="0" spcFirstLastPara="1" vertOverflow="ellipsis" vert="horz" wrap="square" anchor="ctr" anchorCtr="1"/>
          <a:lstStyle/>
          <a:p>
            <a:pPr>
              <a:defRPr sz="1200" b="1" i="0" u="none" strike="noStrike" kern="1200" spc="0" baseline="0">
                <a:solidFill>
                  <a:schemeClr val="bg1"/>
                </a:solidFill>
                <a:latin typeface="+mj-lt"/>
                <a:ea typeface="+mn-ea"/>
                <a:cs typeface="+mn-cs"/>
              </a:defRPr>
            </a:pPr>
            <a:r>
              <a:rPr lang="en-US" sz="1200" b="1">
                <a:solidFill>
                  <a:schemeClr val="bg1"/>
                </a:solidFill>
                <a:latin typeface="+mj-lt"/>
              </a:rPr>
              <a:t>ZONE WISE DISCHARGED CASES</a:t>
            </a:r>
          </a:p>
        </c:rich>
      </c:tx>
      <c:layout>
        <c:manualLayout>
          <c:xMode val="edge"/>
          <c:yMode val="edge"/>
          <c:x val="0.2561816136619286"/>
          <c:y val="3.472209083405209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j-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s>
    <c:plotArea>
      <c:layout>
        <c:manualLayout>
          <c:layoutTarget val="inner"/>
          <c:xMode val="edge"/>
          <c:yMode val="edge"/>
          <c:x val="0.3062482774068826"/>
          <c:y val="0.14895263533754394"/>
          <c:w val="0.43199703933112266"/>
          <c:h val="0.82277881342570713"/>
        </c:manualLayout>
      </c:layout>
      <c:pieChart>
        <c:varyColors val="1"/>
        <c:ser>
          <c:idx val="0"/>
          <c:order val="0"/>
          <c:tx>
            <c:strRef>
              <c:f>'ZONE WISE ACTIVE CASES'!$G$3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ACCC-4435-BA49-0603E6CAFC61}"/>
              </c:ext>
            </c:extLst>
          </c:dPt>
          <c:dPt>
            <c:idx val="1"/>
            <c:bubble3D val="0"/>
            <c:spPr>
              <a:solidFill>
                <a:schemeClr val="accent5"/>
              </a:solidFill>
              <a:ln>
                <a:noFill/>
              </a:ln>
              <a:effectLst/>
            </c:spPr>
            <c:extLst>
              <c:ext xmlns:c16="http://schemas.microsoft.com/office/drawing/2014/chart" uri="{C3380CC4-5D6E-409C-BE32-E72D297353CC}">
                <c16:uniqueId val="{00000003-ACCC-4435-BA49-0603E6CAFC61}"/>
              </c:ext>
            </c:extLst>
          </c:dPt>
          <c:dPt>
            <c:idx val="2"/>
            <c:bubble3D val="0"/>
            <c:spPr>
              <a:solidFill>
                <a:schemeClr val="accent4"/>
              </a:solidFill>
              <a:ln>
                <a:noFill/>
              </a:ln>
              <a:effectLst/>
            </c:spPr>
            <c:extLst>
              <c:ext xmlns:c16="http://schemas.microsoft.com/office/drawing/2014/chart" uri="{C3380CC4-5D6E-409C-BE32-E72D297353CC}">
                <c16:uniqueId val="{00000005-ACCC-4435-BA49-0603E6CAFC61}"/>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ACCC-4435-BA49-0603E6CAFC61}"/>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'ZONE WISE ACTIVE CASES'!$F$4:$F$8</c:f>
              <c:strCache>
                <c:ptCount val="4"/>
                <c:pt idx="0">
                  <c:v>East</c:v>
                </c:pt>
                <c:pt idx="1">
                  <c:v>North</c:v>
                </c:pt>
                <c:pt idx="2">
                  <c:v>South</c:v>
                </c:pt>
                <c:pt idx="3">
                  <c:v>West</c:v>
                </c:pt>
              </c:strCache>
            </c:strRef>
          </c:cat>
          <c:val>
            <c:numRef>
              <c:f>'ZONE WISE ACTIVE CASES'!$G$4:$G$8</c:f>
              <c:numCache>
                <c:formatCode>0.00%</c:formatCode>
                <c:ptCount val="4"/>
                <c:pt idx="0">
                  <c:v>0.17126399752419325</c:v>
                </c:pt>
                <c:pt idx="1">
                  <c:v>0.16017547091262482</c:v>
                </c:pt>
                <c:pt idx="2">
                  <c:v>0.39676839483254539</c:v>
                </c:pt>
                <c:pt idx="3">
                  <c:v>0.27179213673063651</c:v>
                </c:pt>
              </c:numCache>
            </c:numRef>
          </c:val>
          <c:extLst>
            <c:ext xmlns:c16="http://schemas.microsoft.com/office/drawing/2014/chart" uri="{C3380CC4-5D6E-409C-BE32-E72D297353CC}">
              <c16:uniqueId val="{00000008-ACCC-4435-BA49-0603E6CAFC6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[covid-19-dataset.xlsx]ZONE WISE ACTIVE CASES!PivotTable4</c:name>
    <c:fmtId val="11"/>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t>ZONE WISE DEATH CASES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manualLayout>
          <c:layoutTarget val="inner"/>
          <c:xMode val="edge"/>
          <c:yMode val="edge"/>
          <c:x val="0.27600436951030838"/>
          <c:y val="0.13072164826499877"/>
          <c:w val="0.45050224654121623"/>
          <c:h val="0.84231261037026739"/>
        </c:manualLayout>
      </c:layout>
      <c:pieChart>
        <c:varyColors val="1"/>
        <c:ser>
          <c:idx val="0"/>
          <c:order val="0"/>
          <c:tx>
            <c:strRef>
              <c:f>'ZONE WISE ACTIVE CASES'!$L$3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FB3-4396-A882-16224733B177}"/>
              </c:ext>
            </c:extLst>
          </c:dPt>
          <c:dPt>
            <c:idx val="1"/>
            <c:bubble3D val="0"/>
            <c:spPr>
              <a:solidFill>
                <a:schemeClr val="accent3"/>
              </a:solidFill>
              <a:ln>
                <a:noFill/>
              </a:ln>
              <a:effectLst/>
            </c:spPr>
            <c:extLst>
              <c:ext xmlns:c16="http://schemas.microsoft.com/office/drawing/2014/chart" uri="{C3380CC4-5D6E-409C-BE32-E72D297353CC}">
                <c16:uniqueId val="{00000003-7FB3-4396-A882-16224733B177}"/>
              </c:ext>
            </c:extLst>
          </c:dPt>
          <c:dPt>
            <c:idx val="2"/>
            <c:bubble3D val="0"/>
            <c:spPr>
              <a:solidFill>
                <a:schemeClr val="accent5"/>
              </a:solidFill>
              <a:ln>
                <a:noFill/>
              </a:ln>
              <a:effectLst/>
            </c:spPr>
            <c:extLst>
              <c:ext xmlns:c16="http://schemas.microsoft.com/office/drawing/2014/chart" uri="{C3380CC4-5D6E-409C-BE32-E72D297353CC}">
                <c16:uniqueId val="{00000005-7FB3-4396-A882-16224733B177}"/>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7FB3-4396-A882-16224733B17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'ZONE WISE ACTIVE CASES'!$K$4:$K$8</c:f>
              <c:strCache>
                <c:ptCount val="4"/>
                <c:pt idx="0">
                  <c:v>East</c:v>
                </c:pt>
                <c:pt idx="1">
                  <c:v>North</c:v>
                </c:pt>
                <c:pt idx="2">
                  <c:v>South</c:v>
                </c:pt>
                <c:pt idx="3">
                  <c:v>West</c:v>
                </c:pt>
              </c:strCache>
            </c:strRef>
          </c:cat>
          <c:val>
            <c:numRef>
              <c:f>'ZONE WISE ACTIVE CASES'!$L$4:$L$8</c:f>
              <c:numCache>
                <c:formatCode>0.00%</c:formatCode>
                <c:ptCount val="4"/>
                <c:pt idx="0">
                  <c:v>0.14707354432291331</c:v>
                </c:pt>
                <c:pt idx="1">
                  <c:v>0.19700343019869265</c:v>
                </c:pt>
                <c:pt idx="2">
                  <c:v>0.28159773908916358</c:v>
                </c:pt>
                <c:pt idx="3">
                  <c:v>0.37432528638923046</c:v>
                </c:pt>
              </c:numCache>
            </c:numRef>
          </c:val>
          <c:extLst>
            <c:ext xmlns:c16="http://schemas.microsoft.com/office/drawing/2014/chart" uri="{C3380CC4-5D6E-409C-BE32-E72D297353CC}">
              <c16:uniqueId val="{00000008-7FB3-4396-A882-16224733B17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[covid-19-dataset.xlsx]STATE BY CASES!PivotTable6</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STATES ACTIVE CASE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s>
    <c:plotArea>
      <c:layout>
        <c:manualLayout>
          <c:layoutTarget val="inner"/>
          <c:xMode val="edge"/>
          <c:yMode val="edge"/>
          <c:x val="0"/>
          <c:y val="0.10754262028186305"/>
          <c:w val="0.99834563362506512"/>
          <c:h val="0.80982961083189109"/>
        </c:manualLayout>
      </c:layout>
      <c:barChart>
        <c:barDir val="col"/>
        <c:grouping val="clustered"/>
        <c:varyColors val="1"/>
        <c:ser>
          <c:idx val="0"/>
          <c:order val="0"/>
          <c:tx>
            <c:strRef>
              <c:f>'STATE BY CASES'!$B$4</c:f>
              <c:strCache>
                <c:ptCount val="1"/>
                <c:pt idx="0">
                  <c:v>Total</c:v>
                </c:pt>
              </c:strCache>
            </c:strRef>
          </c:tx>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5727-4A0D-9A45-8D84189F5D42}"/>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5727-4A0D-9A45-8D84189F5D42}"/>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5727-4A0D-9A45-8D84189F5D42}"/>
              </c:ext>
            </c:extLst>
          </c:dPt>
          <c:dPt>
            <c:idx val="3"/>
            <c:invertIfNegative val="0"/>
            <c:bubble3D val="0"/>
            <c:spPr>
              <a:solidFill>
                <a:schemeClr val="accent6">
                  <a:lumMod val="60000"/>
                </a:schemeClr>
              </a:solidFill>
              <a:ln>
                <a:noFill/>
              </a:ln>
              <a:effectLst/>
            </c:spPr>
            <c:extLst>
              <c:ext xmlns:c16="http://schemas.microsoft.com/office/drawing/2014/chart" uri="{C3380CC4-5D6E-409C-BE32-E72D297353CC}">
                <c16:uniqueId val="{00000007-5727-4A0D-9A45-8D84189F5D42}"/>
              </c:ext>
            </c:extLst>
          </c:dPt>
          <c:dPt>
            <c:idx val="4"/>
            <c:invertIfNegative val="0"/>
            <c:bubble3D val="0"/>
            <c:spPr>
              <a:solidFill>
                <a:schemeClr val="accent5">
                  <a:lumMod val="60000"/>
                </a:schemeClr>
              </a:solidFill>
              <a:ln>
                <a:noFill/>
              </a:ln>
              <a:effectLst/>
            </c:spPr>
            <c:extLst>
              <c:ext xmlns:c16="http://schemas.microsoft.com/office/drawing/2014/chart" uri="{C3380CC4-5D6E-409C-BE32-E72D297353CC}">
                <c16:uniqueId val="{00000009-5727-4A0D-9A45-8D84189F5D4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BY CASES'!$A$5:$A$9</c:f>
              <c:strCache>
                <c:ptCount val="5"/>
                <c:pt idx="0">
                  <c:v>Karnataka</c:v>
                </c:pt>
                <c:pt idx="1">
                  <c:v>Kerala</c:v>
                </c:pt>
                <c:pt idx="2">
                  <c:v>Maharashtra</c:v>
                </c:pt>
                <c:pt idx="3">
                  <c:v>Tamil Nadu</c:v>
                </c:pt>
                <c:pt idx="4">
                  <c:v>West Bengal</c:v>
                </c:pt>
              </c:strCache>
            </c:strRef>
          </c:cat>
          <c:val>
            <c:numRef>
              <c:f>'STATE BY CASES'!$B$5:$B$9</c:f>
              <c:numCache>
                <c:formatCode>General</c:formatCode>
                <c:ptCount val="5"/>
                <c:pt idx="0">
                  <c:v>8056</c:v>
                </c:pt>
                <c:pt idx="1">
                  <c:v>69258</c:v>
                </c:pt>
                <c:pt idx="2">
                  <c:v>15866</c:v>
                </c:pt>
                <c:pt idx="3">
                  <c:v>9751</c:v>
                </c:pt>
                <c:pt idx="4">
                  <c:v>8031</c:v>
                </c:pt>
              </c:numCache>
            </c:numRef>
          </c:val>
          <c:extLst>
            <c:ext xmlns:c16="http://schemas.microsoft.com/office/drawing/2014/chart" uri="{C3380CC4-5D6E-409C-BE32-E72D297353CC}">
              <c16:uniqueId val="{00000000-35EC-4BCE-AF7C-99BECE980F37}"/>
            </c:ext>
          </c:extLst>
        </c:ser>
        <c:dLbls>
          <c:dLblPos val="outEnd"/>
          <c:showLegendKey val="0"/>
          <c:showVal val="1"/>
          <c:showCatName val="0"/>
          <c:showSerName val="0"/>
          <c:showPercent val="0"/>
          <c:showBubbleSize val="0"/>
        </c:dLbls>
        <c:gapWidth val="219"/>
        <c:overlap val="-27"/>
        <c:axId val="1551444640"/>
        <c:axId val="1979476016"/>
      </c:barChart>
      <c:catAx>
        <c:axId val="15514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476016"/>
        <c:crosses val="autoZero"/>
        <c:auto val="1"/>
        <c:lblAlgn val="ctr"/>
        <c:lblOffset val="100"/>
        <c:noMultiLvlLbl val="0"/>
      </c:catAx>
      <c:valAx>
        <c:axId val="1979476016"/>
        <c:scaling>
          <c:orientation val="minMax"/>
        </c:scaling>
        <c:delete val="1"/>
        <c:axPos val="l"/>
        <c:numFmt formatCode="General" sourceLinked="1"/>
        <c:majorTickMark val="none"/>
        <c:minorTickMark val="none"/>
        <c:tickLblPos val="nextTo"/>
        <c:crossAx val="15514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[covid-19-dataset.xlsx]STATE BY CASES!PivotTable3</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STATES DISCHARGE CASE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s>
    <c:plotArea>
      <c:layout>
        <c:manualLayout>
          <c:layoutTarget val="inner"/>
          <c:xMode val="edge"/>
          <c:yMode val="edge"/>
          <c:x val="1.5713796644984596E-2"/>
          <c:y val="0.1458594423948755"/>
          <c:w val="0.96987802450619598"/>
          <c:h val="0.77151294899326395"/>
        </c:manualLayout>
      </c:layout>
      <c:barChart>
        <c:barDir val="col"/>
        <c:grouping val="clustered"/>
        <c:varyColors val="1"/>
        <c:ser>
          <c:idx val="0"/>
          <c:order val="0"/>
          <c:tx>
            <c:strRef>
              <c:f>'STATE BY CASES'!$F$4</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4F2-49C8-8D19-0B6C24AB6007}"/>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F4F2-49C8-8D19-0B6C24AB6007}"/>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F4F2-49C8-8D19-0B6C24AB6007}"/>
              </c:ext>
            </c:extLst>
          </c:dPt>
          <c:dPt>
            <c:idx val="3"/>
            <c:invertIfNegative val="0"/>
            <c:bubble3D val="0"/>
            <c:spPr>
              <a:solidFill>
                <a:schemeClr val="accent2">
                  <a:lumMod val="60000"/>
                </a:schemeClr>
              </a:solidFill>
              <a:ln>
                <a:noFill/>
              </a:ln>
              <a:effectLst/>
            </c:spPr>
            <c:extLst>
              <c:ext xmlns:c16="http://schemas.microsoft.com/office/drawing/2014/chart" uri="{C3380CC4-5D6E-409C-BE32-E72D297353CC}">
                <c16:uniqueId val="{00000007-F4F2-49C8-8D19-0B6C24AB6007}"/>
              </c:ext>
            </c:extLst>
          </c:dPt>
          <c:dPt>
            <c:idx val="4"/>
            <c:invertIfNegative val="0"/>
            <c:bubble3D val="0"/>
            <c:spPr>
              <a:solidFill>
                <a:schemeClr val="accent4">
                  <a:lumMod val="60000"/>
                </a:schemeClr>
              </a:solidFill>
              <a:ln>
                <a:noFill/>
              </a:ln>
              <a:effectLst/>
            </c:spPr>
            <c:extLst>
              <c:ext xmlns:c16="http://schemas.microsoft.com/office/drawing/2014/chart" uri="{C3380CC4-5D6E-409C-BE32-E72D297353CC}">
                <c16:uniqueId val="{00000009-F4F2-49C8-8D19-0B6C24AB600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BY CASES'!$E$5:$E$9</c:f>
              <c:strCache>
                <c:ptCount val="5"/>
                <c:pt idx="0">
                  <c:v>Andhra Pradesh</c:v>
                </c:pt>
                <c:pt idx="1">
                  <c:v>Karnataka</c:v>
                </c:pt>
                <c:pt idx="2">
                  <c:v>Kerala</c:v>
                </c:pt>
                <c:pt idx="3">
                  <c:v>Maharashtra</c:v>
                </c:pt>
                <c:pt idx="4">
                  <c:v>Tamil Nadu</c:v>
                </c:pt>
              </c:strCache>
            </c:strRef>
          </c:cat>
          <c:val>
            <c:numRef>
              <c:f>'STATE BY CASES'!$F$5:$F$9</c:f>
              <c:numCache>
                <c:formatCode>General</c:formatCode>
                <c:ptCount val="5"/>
                <c:pt idx="0">
                  <c:v>2052230</c:v>
                </c:pt>
                <c:pt idx="1">
                  <c:v>2945415</c:v>
                </c:pt>
                <c:pt idx="2">
                  <c:v>4950281</c:v>
                </c:pt>
                <c:pt idx="3">
                  <c:v>6466913</c:v>
                </c:pt>
                <c:pt idx="4">
                  <c:v>2668001</c:v>
                </c:pt>
              </c:numCache>
            </c:numRef>
          </c:val>
          <c:extLst>
            <c:ext xmlns:c16="http://schemas.microsoft.com/office/drawing/2014/chart" uri="{C3380CC4-5D6E-409C-BE32-E72D297353CC}">
              <c16:uniqueId val="{00000000-0544-431D-ADE8-B8D0F773B2B6}"/>
            </c:ext>
          </c:extLst>
        </c:ser>
        <c:dLbls>
          <c:dLblPos val="outEnd"/>
          <c:showLegendKey val="0"/>
          <c:showVal val="1"/>
          <c:showCatName val="0"/>
          <c:showSerName val="0"/>
          <c:showPercent val="0"/>
          <c:showBubbleSize val="0"/>
        </c:dLbls>
        <c:gapWidth val="219"/>
        <c:overlap val="-27"/>
        <c:axId val="1551502640"/>
        <c:axId val="1979469296"/>
      </c:barChart>
      <c:catAx>
        <c:axId val="155150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469296"/>
        <c:crosses val="autoZero"/>
        <c:auto val="1"/>
        <c:lblAlgn val="ctr"/>
        <c:lblOffset val="100"/>
        <c:noMultiLvlLbl val="0"/>
      </c:catAx>
      <c:valAx>
        <c:axId val="1979469296"/>
        <c:scaling>
          <c:orientation val="minMax"/>
        </c:scaling>
        <c:delete val="1"/>
        <c:axPos val="l"/>
        <c:numFmt formatCode="General" sourceLinked="1"/>
        <c:majorTickMark val="none"/>
        <c:minorTickMark val="none"/>
        <c:tickLblPos val="nextTo"/>
        <c:crossAx val="155150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[covid-19-dataset.xlsx]STATE BY CASES!PivotTable4</c:name>
    <c:fmtId val="1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STATES DEATH CASE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
          <c:y val="0.12062263711733655"/>
          <c:w val="0.99759326113116731"/>
          <c:h val="0.79852048202715831"/>
        </c:manualLayout>
      </c:layout>
      <c:barChart>
        <c:barDir val="col"/>
        <c:grouping val="clustered"/>
        <c:varyColors val="1"/>
        <c:ser>
          <c:idx val="0"/>
          <c:order val="0"/>
          <c:tx>
            <c:strRef>
              <c:f>'STATE BY CASES'!$J$4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1CB-4B7D-B758-6729E633766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71CB-4B7D-B758-6729E6337666}"/>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71CB-4B7D-B758-6729E6337666}"/>
              </c:ext>
            </c:extLst>
          </c:dPt>
          <c:dPt>
            <c:idx val="3"/>
            <c:invertIfNegative val="0"/>
            <c:bubble3D val="0"/>
            <c:spPr>
              <a:solidFill>
                <a:schemeClr val="accent1">
                  <a:lumMod val="60000"/>
                </a:schemeClr>
              </a:solidFill>
              <a:ln>
                <a:noFill/>
              </a:ln>
              <a:effectLst/>
            </c:spPr>
            <c:extLst>
              <c:ext xmlns:c16="http://schemas.microsoft.com/office/drawing/2014/chart" uri="{C3380CC4-5D6E-409C-BE32-E72D297353CC}">
                <c16:uniqueId val="{00000007-71CB-4B7D-B758-6729E6337666}"/>
              </c:ext>
            </c:extLst>
          </c:dPt>
          <c:dPt>
            <c:idx val="4"/>
            <c:invertIfNegative val="0"/>
            <c:bubble3D val="0"/>
            <c:spPr>
              <a:solidFill>
                <a:schemeClr val="accent3">
                  <a:lumMod val="60000"/>
                </a:schemeClr>
              </a:solidFill>
              <a:ln>
                <a:noFill/>
              </a:ln>
              <a:effectLst/>
            </c:spPr>
            <c:extLst>
              <c:ext xmlns:c16="http://schemas.microsoft.com/office/drawing/2014/chart" uri="{C3380CC4-5D6E-409C-BE32-E72D297353CC}">
                <c16:uniqueId val="{00000009-71CB-4B7D-B758-6729E6337666}"/>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BY CASES'!$I$5:$I$9</c:f>
              <c:strCache>
                <c:ptCount val="5"/>
                <c:pt idx="0">
                  <c:v>Delhi</c:v>
                </c:pt>
                <c:pt idx="1">
                  <c:v>Karnataka</c:v>
                </c:pt>
                <c:pt idx="2">
                  <c:v>Kerala</c:v>
                </c:pt>
                <c:pt idx="3">
                  <c:v>Maharashtra</c:v>
                </c:pt>
                <c:pt idx="4">
                  <c:v>Tamil Nadu</c:v>
                </c:pt>
              </c:strCache>
            </c:strRef>
          </c:cat>
          <c:val>
            <c:numRef>
              <c:f>'STATE BY CASES'!$J$5:$J$9</c:f>
              <c:numCache>
                <c:formatCode>General</c:formatCode>
                <c:ptCount val="5"/>
                <c:pt idx="0">
                  <c:v>25093</c:v>
                </c:pt>
                <c:pt idx="1">
                  <c:v>38143</c:v>
                </c:pt>
                <c:pt idx="2">
                  <c:v>35685</c:v>
                </c:pt>
                <c:pt idx="3">
                  <c:v>140565</c:v>
                </c:pt>
                <c:pt idx="4">
                  <c:v>36273</c:v>
                </c:pt>
              </c:numCache>
            </c:numRef>
          </c:val>
          <c:extLst>
            <c:ext xmlns:c16="http://schemas.microsoft.com/office/drawing/2014/chart" uri="{C3380CC4-5D6E-409C-BE32-E72D297353CC}">
              <c16:uniqueId val="{00000000-30C9-4597-A442-A98DA550BE6D}"/>
            </c:ext>
          </c:extLst>
        </c:ser>
        <c:dLbls>
          <c:dLblPos val="outEnd"/>
          <c:showLegendKey val="0"/>
          <c:showVal val="1"/>
          <c:showCatName val="0"/>
          <c:showSerName val="0"/>
          <c:showPercent val="0"/>
          <c:showBubbleSize val="0"/>
        </c:dLbls>
        <c:gapWidth val="219"/>
        <c:overlap val="-27"/>
        <c:axId val="1551472944"/>
        <c:axId val="1979435696"/>
      </c:barChart>
      <c:catAx>
        <c:axId val="15514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435696"/>
        <c:crosses val="autoZero"/>
        <c:auto val="1"/>
        <c:lblAlgn val="ctr"/>
        <c:lblOffset val="100"/>
        <c:noMultiLvlLbl val="0"/>
      </c:catAx>
      <c:valAx>
        <c:axId val="1979435696"/>
        <c:scaling>
          <c:orientation val="minMax"/>
        </c:scaling>
        <c:delete val="1"/>
        <c:axPos val="l"/>
        <c:numFmt formatCode="General" sourceLinked="1"/>
        <c:majorTickMark val="none"/>
        <c:minorTickMark val="none"/>
        <c:tickLblPos val="nextTo"/>
        <c:crossAx val="155147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3.emf"/><Relationship Id="rId7" Type="http://schemas.openxmlformats.org/officeDocument/2006/relationships/chart" Target="../charts/chart11.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image" Target="../media/image4.emf"/><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182880</xdr:colOff>
      <xdr:row>10</xdr:row>
      <xdr:rowOff>60960</xdr:rowOff>
    </xdr:from>
    <xdr:to>
      <xdr:col>4</xdr:col>
      <xdr:colOff>358140</xdr:colOff>
      <xdr:row>26</xdr:row>
      <xdr:rowOff>121920</xdr:rowOff>
    </xdr:to>
    <xdr:graphicFrame macro="">
      <xdr:nvGraphicFramePr>
        <xdr:cNvPr id="4" name="Chart 3">
          <a:extLst>
            <a:ext uri="{FF2B5EF4-FFF2-40B4-BE49-F238E27FC236}">
              <a16:creationId xmlns:a16="http://schemas.microsoft.com/office/drawing/2014/main" id="{60D29565-25A3-E9A8-26C7-DF6205D3A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10</xdr:row>
      <xdr:rowOff>30480</xdr:rowOff>
    </xdr:from>
    <xdr:to>
      <xdr:col>12</xdr:col>
      <xdr:colOff>480060</xdr:colOff>
      <xdr:row>26</xdr:row>
      <xdr:rowOff>91440</xdr:rowOff>
    </xdr:to>
    <xdr:graphicFrame macro="">
      <xdr:nvGraphicFramePr>
        <xdr:cNvPr id="5" name="Chart 4">
          <a:extLst>
            <a:ext uri="{FF2B5EF4-FFF2-40B4-BE49-F238E27FC236}">
              <a16:creationId xmlns:a16="http://schemas.microsoft.com/office/drawing/2014/main" id="{3FEC7CCD-462C-46E7-9FBE-CF6732EA1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11</xdr:row>
      <xdr:rowOff>160020</xdr:rowOff>
    </xdr:from>
    <xdr:to>
      <xdr:col>3</xdr:col>
      <xdr:colOff>541020</xdr:colOff>
      <xdr:row>24</xdr:row>
      <xdr:rowOff>53340</xdr:rowOff>
    </xdr:to>
    <xdr:graphicFrame macro="">
      <xdr:nvGraphicFramePr>
        <xdr:cNvPr id="2" name="Chart 1">
          <a:extLst>
            <a:ext uri="{FF2B5EF4-FFF2-40B4-BE49-F238E27FC236}">
              <a16:creationId xmlns:a16="http://schemas.microsoft.com/office/drawing/2014/main" id="{7FDF3F84-EA19-9427-7410-77B13EA13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12</xdr:row>
      <xdr:rowOff>15240</xdr:rowOff>
    </xdr:from>
    <xdr:to>
      <xdr:col>8</xdr:col>
      <xdr:colOff>7620</xdr:colOff>
      <xdr:row>25</xdr:row>
      <xdr:rowOff>30480</xdr:rowOff>
    </xdr:to>
    <xdr:graphicFrame macro="">
      <xdr:nvGraphicFramePr>
        <xdr:cNvPr id="3" name="Chart 2">
          <a:extLst>
            <a:ext uri="{FF2B5EF4-FFF2-40B4-BE49-F238E27FC236}">
              <a16:creationId xmlns:a16="http://schemas.microsoft.com/office/drawing/2014/main" id="{7D916501-891B-5855-F548-FA9B05324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342900</xdr:colOff>
      <xdr:row>12</xdr:row>
      <xdr:rowOff>38100</xdr:rowOff>
    </xdr:from>
    <xdr:to>
      <xdr:col>12</xdr:col>
      <xdr:colOff>411480</xdr:colOff>
      <xdr:row>24</xdr:row>
      <xdr:rowOff>121920</xdr:rowOff>
    </xdr:to>
    <xdr:graphicFrame macro="">
      <xdr:nvGraphicFramePr>
        <xdr:cNvPr id="4" name="Chart 3">
          <a:extLst>
            <a:ext uri="{FF2B5EF4-FFF2-40B4-BE49-F238E27FC236}">
              <a16:creationId xmlns:a16="http://schemas.microsoft.com/office/drawing/2014/main" id="{817AEE37-6AFD-625C-EDDF-C5A584D33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12</xdr:row>
      <xdr:rowOff>129540</xdr:rowOff>
    </xdr:from>
    <xdr:to>
      <xdr:col>3</xdr:col>
      <xdr:colOff>541020</xdr:colOff>
      <xdr:row>24</xdr:row>
      <xdr:rowOff>45720</xdr:rowOff>
    </xdr:to>
    <xdr:graphicFrame macro="">
      <xdr:nvGraphicFramePr>
        <xdr:cNvPr id="2" name="Chart 1">
          <a:extLst>
            <a:ext uri="{FF2B5EF4-FFF2-40B4-BE49-F238E27FC236}">
              <a16:creationId xmlns:a16="http://schemas.microsoft.com/office/drawing/2014/main" id="{185B4974-FF0C-8962-3235-0A39C59D6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106680</xdr:colOff>
      <xdr:row>12</xdr:row>
      <xdr:rowOff>137160</xdr:rowOff>
    </xdr:from>
    <xdr:to>
      <xdr:col>8</xdr:col>
      <xdr:colOff>198120</xdr:colOff>
      <xdr:row>24</xdr:row>
      <xdr:rowOff>22860</xdr:rowOff>
    </xdr:to>
    <xdr:graphicFrame macro="">
      <xdr:nvGraphicFramePr>
        <xdr:cNvPr id="8" name="Chart 7">
          <a:extLst>
            <a:ext uri="{FF2B5EF4-FFF2-40B4-BE49-F238E27FC236}">
              <a16:creationId xmlns:a16="http://schemas.microsoft.com/office/drawing/2014/main" id="{39CB2B07-E519-C6E3-69C3-EFCD7FC5F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381000</xdr:colOff>
      <xdr:row>12</xdr:row>
      <xdr:rowOff>152400</xdr:rowOff>
    </xdr:from>
    <xdr:to>
      <xdr:col>13</xdr:col>
      <xdr:colOff>0</xdr:colOff>
      <xdr:row>25</xdr:row>
      <xdr:rowOff>38100</xdr:rowOff>
    </xdr:to>
    <xdr:graphicFrame macro="">
      <xdr:nvGraphicFramePr>
        <xdr:cNvPr id="9" name="Chart 8">
          <a:extLst>
            <a:ext uri="{FF2B5EF4-FFF2-40B4-BE49-F238E27FC236}">
              <a16:creationId xmlns:a16="http://schemas.microsoft.com/office/drawing/2014/main" id="{E2392611-30B3-8AA0-4245-A7D115371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525780</xdr:colOff>
      <xdr:row>5</xdr:row>
      <xdr:rowOff>60961</xdr:rowOff>
    </xdr:from>
    <xdr:to>
      <xdr:col>10</xdr:col>
      <xdr:colOff>182880</xdr:colOff>
      <xdr:row>11</xdr:row>
      <xdr:rowOff>7621</xdr:rowOff>
    </xdr:to>
    <mc:AlternateContent xmlns:mc="http://schemas.openxmlformats.org/markup-compatibility/2006">
      <mc:Choice xmlns:a14="http://schemas.microsoft.com/office/drawing/2010/main" Requires="a14">
        <xdr:graphicFrame macro="">
          <xdr:nvGraphicFramePr>
            <xdr:cNvPr id="2" name="State/UTs">
              <a:extLst>
                <a:ext uri="{FF2B5EF4-FFF2-40B4-BE49-F238E27FC236}">
                  <a16:creationId xmlns:a16="http://schemas.microsoft.com/office/drawing/2014/main" id="{F0F76F46-40EA-BBFB-7488-454351547C32}"/>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dr:sp macro="" textlink="">
          <xdr:nvSpPr>
            <xdr:cNvPr id="0" name=""/>
            <xdr:cNvSpPr>
              <a:spLocks noTextEdit="1"/>
            </xdr:cNvSpPr>
          </xdr:nvSpPr>
          <xdr:spPr>
            <a:xfrm>
              <a:off x="7848600" y="89916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655320</xdr:colOff>
      <xdr:row>5</xdr:row>
      <xdr:rowOff>91441</xdr:rowOff>
    </xdr:from>
    <xdr:to>
      <xdr:col>12</xdr:col>
      <xdr:colOff>312420</xdr:colOff>
      <xdr:row>11</xdr:row>
      <xdr:rowOff>76200</xdr:rowOff>
    </xdr:to>
    <mc:AlternateContent xmlns:mc="http://schemas.openxmlformats.org/markup-compatibility/2006">
      <mc:Choice xmlns:a14="http://schemas.microsoft.com/office/drawing/2010/main" Requires="a14">
        <xdr:graphicFrame macro="">
          <xdr:nvGraphicFramePr>
            <xdr:cNvPr id="3" name="Zone">
              <a:extLst>
                <a:ext uri="{FF2B5EF4-FFF2-40B4-BE49-F238E27FC236}">
                  <a16:creationId xmlns:a16="http://schemas.microsoft.com/office/drawing/2014/main" id="{6F159D5F-13BE-F638-9D1F-DFFBF1D604DC}"/>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10149840" y="929641"/>
              <a:ext cx="182880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175260</xdr:colOff>
      <xdr:row>4</xdr:row>
      <xdr:rowOff>137160</xdr:rowOff>
    </xdr:from>
    <xdr:to>
      <xdr:col>11</xdr:col>
      <xdr:colOff>457200</xdr:colOff>
      <xdr:row>29</xdr:row>
      <xdr:rowOff>0</xdr:rowOff>
    </xdr:to>
    <xdr:sp macro="" textlink="">
      <xdr:nvSpPr>
        <xdr:cNvPr id="3" name="Rectangle: Rounded Corners 2">
          <a:extLst>
            <a:ext uri="{FF2B5EF4-FFF2-40B4-BE49-F238E27FC236}">
              <a16:creationId xmlns:a16="http://schemas.microsoft.com/office/drawing/2014/main" id="{91917C80-33AD-43AF-B91C-9281BEFAD2F0}"/>
            </a:ext>
          </a:extLst>
        </xdr:cNvPr>
        <xdr:cNvSpPr/>
      </xdr:nvSpPr>
      <xdr:spPr>
        <a:xfrm>
          <a:off x="2613660" y="807720"/>
          <a:ext cx="4549140" cy="46482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438150</xdr:colOff>
      <xdr:row>0</xdr:row>
      <xdr:rowOff>152400</xdr:rowOff>
    </xdr:from>
    <xdr:to>
      <xdr:col>28</xdr:col>
      <xdr:colOff>523874</xdr:colOff>
      <xdr:row>4</xdr:row>
      <xdr:rowOff>152400</xdr:rowOff>
    </xdr:to>
    <xdr:sp macro="" textlink="">
      <xdr:nvSpPr>
        <xdr:cNvPr id="3" name="Rectangle: Rounded Corners 2">
          <a:extLst>
            <a:ext uri="{FF2B5EF4-FFF2-40B4-BE49-F238E27FC236}">
              <a16:creationId xmlns:a16="http://schemas.microsoft.com/office/drawing/2014/main" id="{EC838CF2-104E-EA81-E184-02CF06DF17BD}"/>
            </a:ext>
          </a:extLst>
        </xdr:cNvPr>
        <xdr:cNvSpPr/>
      </xdr:nvSpPr>
      <xdr:spPr>
        <a:xfrm>
          <a:off x="438150" y="152400"/>
          <a:ext cx="17154524" cy="6858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u="sng"/>
            <a:t>COVID-19 </a:t>
          </a:r>
          <a:r>
            <a:rPr lang="en-IN" sz="2400" b="1" u="sng" baseline="0"/>
            <a:t>DATA ANALYSIS</a:t>
          </a:r>
          <a:endParaRPr lang="en-IN" sz="2400" b="1" u="sng"/>
        </a:p>
      </xdr:txBody>
    </xdr:sp>
    <xdr:clientData/>
  </xdr:twoCellAnchor>
  <xdr:twoCellAnchor>
    <xdr:from>
      <xdr:col>0</xdr:col>
      <xdr:colOff>428625</xdr:colOff>
      <xdr:row>6</xdr:row>
      <xdr:rowOff>5715</xdr:rowOff>
    </xdr:from>
    <xdr:to>
      <xdr:col>4</xdr:col>
      <xdr:colOff>571500</xdr:colOff>
      <xdr:row>11</xdr:row>
      <xdr:rowOff>142875</xdr:rowOff>
    </xdr:to>
    <xdr:sp macro="" textlink="">
      <xdr:nvSpPr>
        <xdr:cNvPr id="4" name="Rectangle: Rounded Corners 3">
          <a:extLst>
            <a:ext uri="{FF2B5EF4-FFF2-40B4-BE49-F238E27FC236}">
              <a16:creationId xmlns:a16="http://schemas.microsoft.com/office/drawing/2014/main" id="{9FE86BEB-F09C-7836-DF67-1EC55E420E83}"/>
            </a:ext>
          </a:extLst>
        </xdr:cNvPr>
        <xdr:cNvSpPr/>
      </xdr:nvSpPr>
      <xdr:spPr>
        <a:xfrm>
          <a:off x="428625" y="1034415"/>
          <a:ext cx="2581275" cy="99441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TOTAL OVERALL CASES</a:t>
          </a:r>
        </a:p>
      </xdr:txBody>
    </xdr:sp>
    <xdr:clientData/>
  </xdr:twoCellAnchor>
  <xdr:twoCellAnchor>
    <xdr:from>
      <xdr:col>0</xdr:col>
      <xdr:colOff>409575</xdr:colOff>
      <xdr:row>13</xdr:row>
      <xdr:rowOff>13335</xdr:rowOff>
    </xdr:from>
    <xdr:to>
      <xdr:col>10</xdr:col>
      <xdr:colOff>28575</xdr:colOff>
      <xdr:row>29</xdr:row>
      <xdr:rowOff>161925</xdr:rowOff>
    </xdr:to>
    <xdr:sp macro="" textlink="">
      <xdr:nvSpPr>
        <xdr:cNvPr id="8" name="Rectangle: Rounded Corners 7">
          <a:extLst>
            <a:ext uri="{FF2B5EF4-FFF2-40B4-BE49-F238E27FC236}">
              <a16:creationId xmlns:a16="http://schemas.microsoft.com/office/drawing/2014/main" id="{30107283-BDC7-F8E7-7C27-5E3A33BAA5B7}"/>
            </a:ext>
          </a:extLst>
        </xdr:cNvPr>
        <xdr:cNvSpPr/>
      </xdr:nvSpPr>
      <xdr:spPr>
        <a:xfrm>
          <a:off x="409575" y="2242185"/>
          <a:ext cx="5715000" cy="289179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238125</xdr:colOff>
      <xdr:row>12</xdr:row>
      <xdr:rowOff>142875</xdr:rowOff>
    </xdr:from>
    <xdr:to>
      <xdr:col>19</xdr:col>
      <xdr:colOff>249555</xdr:colOff>
      <xdr:row>29</xdr:row>
      <xdr:rowOff>120015</xdr:rowOff>
    </xdr:to>
    <xdr:sp macro="" textlink="">
      <xdr:nvSpPr>
        <xdr:cNvPr id="19" name="Rectangle: Rounded Corners 18">
          <a:extLst>
            <a:ext uri="{FF2B5EF4-FFF2-40B4-BE49-F238E27FC236}">
              <a16:creationId xmlns:a16="http://schemas.microsoft.com/office/drawing/2014/main" id="{47A4DF39-A463-4330-81DB-6F0076565CD9}"/>
            </a:ext>
          </a:extLst>
        </xdr:cNvPr>
        <xdr:cNvSpPr/>
      </xdr:nvSpPr>
      <xdr:spPr>
        <a:xfrm>
          <a:off x="6334125" y="2200275"/>
          <a:ext cx="5497830" cy="289179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523875</xdr:colOff>
      <xdr:row>12</xdr:row>
      <xdr:rowOff>152400</xdr:rowOff>
    </xdr:from>
    <xdr:to>
      <xdr:col>28</xdr:col>
      <xdr:colOff>535305</xdr:colOff>
      <xdr:row>29</xdr:row>
      <xdr:rowOff>129540</xdr:rowOff>
    </xdr:to>
    <xdr:sp macro="" textlink="">
      <xdr:nvSpPr>
        <xdr:cNvPr id="20" name="Rectangle: Rounded Corners 19">
          <a:extLst>
            <a:ext uri="{FF2B5EF4-FFF2-40B4-BE49-F238E27FC236}">
              <a16:creationId xmlns:a16="http://schemas.microsoft.com/office/drawing/2014/main" id="{9FE3FE3F-ECAE-4BD1-9A88-0789E3CD8456}"/>
            </a:ext>
          </a:extLst>
        </xdr:cNvPr>
        <xdr:cNvSpPr/>
      </xdr:nvSpPr>
      <xdr:spPr>
        <a:xfrm>
          <a:off x="12106275" y="2209800"/>
          <a:ext cx="5497830" cy="289179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31</xdr:row>
      <xdr:rowOff>0</xdr:rowOff>
    </xdr:from>
    <xdr:to>
      <xdr:col>10</xdr:col>
      <xdr:colOff>40005</xdr:colOff>
      <xdr:row>47</xdr:row>
      <xdr:rowOff>148590</xdr:rowOff>
    </xdr:to>
    <xdr:sp macro="" textlink="">
      <xdr:nvSpPr>
        <xdr:cNvPr id="21" name="Rectangle: Rounded Corners 20">
          <a:extLst>
            <a:ext uri="{FF2B5EF4-FFF2-40B4-BE49-F238E27FC236}">
              <a16:creationId xmlns:a16="http://schemas.microsoft.com/office/drawing/2014/main" id="{4FC821A2-7680-4008-95BF-078DEB34614E}"/>
            </a:ext>
          </a:extLst>
        </xdr:cNvPr>
        <xdr:cNvSpPr/>
      </xdr:nvSpPr>
      <xdr:spPr>
        <a:xfrm>
          <a:off x="419100" y="5314950"/>
          <a:ext cx="5716905" cy="289179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228600</xdr:colOff>
      <xdr:row>31</xdr:row>
      <xdr:rowOff>0</xdr:rowOff>
    </xdr:from>
    <xdr:to>
      <xdr:col>19</xdr:col>
      <xdr:colOff>240030</xdr:colOff>
      <xdr:row>47</xdr:row>
      <xdr:rowOff>148590</xdr:rowOff>
    </xdr:to>
    <xdr:sp macro="" textlink="">
      <xdr:nvSpPr>
        <xdr:cNvPr id="22" name="Rectangle: Rounded Corners 21">
          <a:extLst>
            <a:ext uri="{FF2B5EF4-FFF2-40B4-BE49-F238E27FC236}">
              <a16:creationId xmlns:a16="http://schemas.microsoft.com/office/drawing/2014/main" id="{9FDBF889-1679-46A9-BB52-FA65F81AB30E}"/>
            </a:ext>
          </a:extLst>
        </xdr:cNvPr>
        <xdr:cNvSpPr/>
      </xdr:nvSpPr>
      <xdr:spPr>
        <a:xfrm>
          <a:off x="6324600" y="5314950"/>
          <a:ext cx="5497830" cy="289179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533400</xdr:colOff>
      <xdr:row>30</xdr:row>
      <xdr:rowOff>161925</xdr:rowOff>
    </xdr:from>
    <xdr:to>
      <xdr:col>28</xdr:col>
      <xdr:colOff>544830</xdr:colOff>
      <xdr:row>47</xdr:row>
      <xdr:rowOff>139065</xdr:rowOff>
    </xdr:to>
    <xdr:sp macro="" textlink="">
      <xdr:nvSpPr>
        <xdr:cNvPr id="23" name="Rectangle: Rounded Corners 22">
          <a:extLst>
            <a:ext uri="{FF2B5EF4-FFF2-40B4-BE49-F238E27FC236}">
              <a16:creationId xmlns:a16="http://schemas.microsoft.com/office/drawing/2014/main" id="{6284C5F0-5681-4B30-9912-1210EFC4F962}"/>
            </a:ext>
          </a:extLst>
        </xdr:cNvPr>
        <xdr:cNvSpPr/>
      </xdr:nvSpPr>
      <xdr:spPr>
        <a:xfrm>
          <a:off x="12115800" y="5305425"/>
          <a:ext cx="5497830" cy="289179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314325</xdr:colOff>
      <xdr:row>6</xdr:row>
      <xdr:rowOff>28575</xdr:rowOff>
    </xdr:from>
    <xdr:to>
      <xdr:col>9</xdr:col>
      <xdr:colOff>573405</xdr:colOff>
      <xdr:row>11</xdr:row>
      <xdr:rowOff>165735</xdr:rowOff>
    </xdr:to>
    <xdr:sp macro="" textlink="">
      <xdr:nvSpPr>
        <xdr:cNvPr id="24" name="Rectangle: Rounded Corners 23">
          <a:extLst>
            <a:ext uri="{FF2B5EF4-FFF2-40B4-BE49-F238E27FC236}">
              <a16:creationId xmlns:a16="http://schemas.microsoft.com/office/drawing/2014/main" id="{D7F13061-8CD3-4925-94EC-930D5ADA7973}"/>
            </a:ext>
          </a:extLst>
        </xdr:cNvPr>
        <xdr:cNvSpPr/>
      </xdr:nvSpPr>
      <xdr:spPr>
        <a:xfrm>
          <a:off x="3362325" y="1057275"/>
          <a:ext cx="2697480" cy="99441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TOTAL ACTIVE</a:t>
          </a:r>
          <a:r>
            <a:rPr lang="en-IN" sz="1200" b="1" baseline="0">
              <a:solidFill>
                <a:schemeClr val="bg1"/>
              </a:solidFill>
            </a:rPr>
            <a:t> CASES</a:t>
          </a:r>
          <a:endParaRPr lang="en-IN" sz="1200" b="1">
            <a:solidFill>
              <a:schemeClr val="bg1"/>
            </a:solidFill>
          </a:endParaRPr>
        </a:p>
      </xdr:txBody>
    </xdr:sp>
    <xdr:clientData/>
  </xdr:twoCellAnchor>
  <xdr:twoCellAnchor>
    <xdr:from>
      <xdr:col>10</xdr:col>
      <xdr:colOff>314325</xdr:colOff>
      <xdr:row>6</xdr:row>
      <xdr:rowOff>28575</xdr:rowOff>
    </xdr:from>
    <xdr:to>
      <xdr:col>14</xdr:col>
      <xdr:colOff>563880</xdr:colOff>
      <xdr:row>11</xdr:row>
      <xdr:rowOff>165735</xdr:rowOff>
    </xdr:to>
    <xdr:sp macro="" textlink="">
      <xdr:nvSpPr>
        <xdr:cNvPr id="25" name="Rectangle: Rounded Corners 24">
          <a:extLst>
            <a:ext uri="{FF2B5EF4-FFF2-40B4-BE49-F238E27FC236}">
              <a16:creationId xmlns:a16="http://schemas.microsoft.com/office/drawing/2014/main" id="{EEE88952-2D06-4FF7-B781-A58AE01007E8}"/>
            </a:ext>
          </a:extLst>
        </xdr:cNvPr>
        <xdr:cNvSpPr/>
      </xdr:nvSpPr>
      <xdr:spPr>
        <a:xfrm>
          <a:off x="6410325" y="1057275"/>
          <a:ext cx="2687955" cy="99441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TOTAL DISCHARGE</a:t>
          </a:r>
          <a:r>
            <a:rPr lang="en-IN" sz="1200" b="1" baseline="0">
              <a:solidFill>
                <a:schemeClr val="bg1"/>
              </a:solidFill>
            </a:rPr>
            <a:t> CASES</a:t>
          </a:r>
          <a:endParaRPr lang="en-IN" sz="1200" b="1">
            <a:solidFill>
              <a:schemeClr val="bg1"/>
            </a:solidFill>
          </a:endParaRPr>
        </a:p>
      </xdr:txBody>
    </xdr:sp>
    <xdr:clientData/>
  </xdr:twoCellAnchor>
  <xdr:twoCellAnchor>
    <xdr:from>
      <xdr:col>15</xdr:col>
      <xdr:colOff>333375</xdr:colOff>
      <xdr:row>6</xdr:row>
      <xdr:rowOff>19050</xdr:rowOff>
    </xdr:from>
    <xdr:to>
      <xdr:col>19</xdr:col>
      <xdr:colOff>190500</xdr:colOff>
      <xdr:row>11</xdr:row>
      <xdr:rowOff>156210</xdr:rowOff>
    </xdr:to>
    <xdr:sp macro="" textlink="">
      <xdr:nvSpPr>
        <xdr:cNvPr id="26" name="Rectangle: Rounded Corners 25">
          <a:extLst>
            <a:ext uri="{FF2B5EF4-FFF2-40B4-BE49-F238E27FC236}">
              <a16:creationId xmlns:a16="http://schemas.microsoft.com/office/drawing/2014/main" id="{30E156D0-44D9-4B2B-A535-B7B62CB1F35E}"/>
            </a:ext>
          </a:extLst>
        </xdr:cNvPr>
        <xdr:cNvSpPr/>
      </xdr:nvSpPr>
      <xdr:spPr>
        <a:xfrm>
          <a:off x="9477375" y="1047750"/>
          <a:ext cx="2295525" cy="99441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TOTAL DEATH CASES</a:t>
          </a:r>
        </a:p>
      </xdr:txBody>
    </xdr:sp>
    <xdr:clientData/>
  </xdr:twoCellAnchor>
  <xdr:twoCellAnchor editAs="oneCell">
    <xdr:from>
      <xdr:col>1</xdr:col>
      <xdr:colOff>161925</xdr:colOff>
      <xdr:row>7</xdr:row>
      <xdr:rowOff>114300</xdr:rowOff>
    </xdr:from>
    <xdr:to>
      <xdr:col>4</xdr:col>
      <xdr:colOff>85724</xdr:colOff>
      <xdr:row>9</xdr:row>
      <xdr:rowOff>114300</xdr:rowOff>
    </xdr:to>
    <xdr:pic>
      <xdr:nvPicPr>
        <xdr:cNvPr id="29" name="Picture 28">
          <a:extLst>
            <a:ext uri="{FF2B5EF4-FFF2-40B4-BE49-F238E27FC236}">
              <a16:creationId xmlns:a16="http://schemas.microsoft.com/office/drawing/2014/main" id="{C5F83C02-D92C-C6B8-C9BE-DD71A64EB1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1314450"/>
          <a:ext cx="1752599"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276225</xdr:colOff>
      <xdr:row>8</xdr:row>
      <xdr:rowOff>19050</xdr:rowOff>
    </xdr:from>
    <xdr:to>
      <xdr:col>8</xdr:col>
      <xdr:colOff>523875</xdr:colOff>
      <xdr:row>9</xdr:row>
      <xdr:rowOff>161926</xdr:rowOff>
    </xdr:to>
    <xdr:pic>
      <xdr:nvPicPr>
        <xdr:cNvPr id="30" name="Picture 29">
          <a:extLst>
            <a:ext uri="{FF2B5EF4-FFF2-40B4-BE49-F238E27FC236}">
              <a16:creationId xmlns:a16="http://schemas.microsoft.com/office/drawing/2014/main" id="{A25C0AC3-C632-F47C-B36D-A5DDDA51C2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3825" y="1390650"/>
          <a:ext cx="1466850" cy="3143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114301</xdr:colOff>
      <xdr:row>7</xdr:row>
      <xdr:rowOff>152400</xdr:rowOff>
    </xdr:from>
    <xdr:to>
      <xdr:col>14</xdr:col>
      <xdr:colOff>161925</xdr:colOff>
      <xdr:row>9</xdr:row>
      <xdr:rowOff>133350</xdr:rowOff>
    </xdr:to>
    <xdr:pic>
      <xdr:nvPicPr>
        <xdr:cNvPr id="31" name="Picture 30">
          <a:extLst>
            <a:ext uri="{FF2B5EF4-FFF2-40B4-BE49-F238E27FC236}">
              <a16:creationId xmlns:a16="http://schemas.microsoft.com/office/drawing/2014/main" id="{7C45E287-9D34-DEEE-F09A-71DA5D7209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19901" y="1352550"/>
          <a:ext cx="1876424"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142875</xdr:colOff>
      <xdr:row>7</xdr:row>
      <xdr:rowOff>133349</xdr:rowOff>
    </xdr:from>
    <xdr:to>
      <xdr:col>18</xdr:col>
      <xdr:colOff>369570</xdr:colOff>
      <xdr:row>9</xdr:row>
      <xdr:rowOff>133350</xdr:rowOff>
    </xdr:to>
    <xdr:pic>
      <xdr:nvPicPr>
        <xdr:cNvPr id="32" name="Picture 31">
          <a:extLst>
            <a:ext uri="{FF2B5EF4-FFF2-40B4-BE49-F238E27FC236}">
              <a16:creationId xmlns:a16="http://schemas.microsoft.com/office/drawing/2014/main" id="{32415BFD-A6B7-81CC-8E78-F3F96160EA9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896475" y="1333499"/>
          <a:ext cx="1445895" cy="342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485775</xdr:colOff>
      <xdr:row>13</xdr:row>
      <xdr:rowOff>38100</xdr:rowOff>
    </xdr:from>
    <xdr:to>
      <xdr:col>9</xdr:col>
      <xdr:colOff>533400</xdr:colOff>
      <xdr:row>29</xdr:row>
      <xdr:rowOff>142875</xdr:rowOff>
    </xdr:to>
    <xdr:graphicFrame macro="">
      <xdr:nvGraphicFramePr>
        <xdr:cNvPr id="33" name="Chart 32">
          <a:extLst>
            <a:ext uri="{FF2B5EF4-FFF2-40B4-BE49-F238E27FC236}">
              <a16:creationId xmlns:a16="http://schemas.microsoft.com/office/drawing/2014/main" id="{581875EC-C01C-447B-BE57-A8403FE7A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276225</xdr:colOff>
      <xdr:row>12</xdr:row>
      <xdr:rowOff>161925</xdr:rowOff>
    </xdr:from>
    <xdr:to>
      <xdr:col>19</xdr:col>
      <xdr:colOff>209550</xdr:colOff>
      <xdr:row>29</xdr:row>
      <xdr:rowOff>104775</xdr:rowOff>
    </xdr:to>
    <xdr:graphicFrame macro="">
      <xdr:nvGraphicFramePr>
        <xdr:cNvPr id="34" name="Chart 33">
          <a:extLst>
            <a:ext uri="{FF2B5EF4-FFF2-40B4-BE49-F238E27FC236}">
              <a16:creationId xmlns:a16="http://schemas.microsoft.com/office/drawing/2014/main" id="{95A8A2A1-295A-4289-B502-C4F6F2AA4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571500</xdr:colOff>
      <xdr:row>13</xdr:row>
      <xdr:rowOff>9526</xdr:rowOff>
    </xdr:from>
    <xdr:to>
      <xdr:col>28</xdr:col>
      <xdr:colOff>504825</xdr:colOff>
      <xdr:row>29</xdr:row>
      <xdr:rowOff>104776</xdr:rowOff>
    </xdr:to>
    <xdr:graphicFrame macro="">
      <xdr:nvGraphicFramePr>
        <xdr:cNvPr id="35" name="Chart 34">
          <a:extLst>
            <a:ext uri="{FF2B5EF4-FFF2-40B4-BE49-F238E27FC236}">
              <a16:creationId xmlns:a16="http://schemas.microsoft.com/office/drawing/2014/main" id="{DA35D63C-65BB-4D23-89CE-29C51CF6B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533400</xdr:colOff>
      <xdr:row>31</xdr:row>
      <xdr:rowOff>38100</xdr:rowOff>
    </xdr:from>
    <xdr:to>
      <xdr:col>9</xdr:col>
      <xdr:colOff>514350</xdr:colOff>
      <xdr:row>47</xdr:row>
      <xdr:rowOff>123825</xdr:rowOff>
    </xdr:to>
    <xdr:graphicFrame macro="">
      <xdr:nvGraphicFramePr>
        <xdr:cNvPr id="36" name="Chart 35">
          <a:extLst>
            <a:ext uri="{FF2B5EF4-FFF2-40B4-BE49-F238E27FC236}">
              <a16:creationId xmlns:a16="http://schemas.microsoft.com/office/drawing/2014/main" id="{DAEDD31A-6F90-4D9A-B73E-E0E1E6C43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295274</xdr:colOff>
      <xdr:row>31</xdr:row>
      <xdr:rowOff>0</xdr:rowOff>
    </xdr:from>
    <xdr:to>
      <xdr:col>19</xdr:col>
      <xdr:colOff>209549</xdr:colOff>
      <xdr:row>47</xdr:row>
      <xdr:rowOff>152400</xdr:rowOff>
    </xdr:to>
    <xdr:graphicFrame macro="">
      <xdr:nvGraphicFramePr>
        <xdr:cNvPr id="37" name="Chart 36">
          <a:extLst>
            <a:ext uri="{FF2B5EF4-FFF2-40B4-BE49-F238E27FC236}">
              <a16:creationId xmlns:a16="http://schemas.microsoft.com/office/drawing/2014/main" id="{3900ADC2-363E-4268-9074-BEFC24A06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0</xdr:colOff>
      <xdr:row>30</xdr:row>
      <xdr:rowOff>152400</xdr:rowOff>
    </xdr:from>
    <xdr:to>
      <xdr:col>28</xdr:col>
      <xdr:colOff>400050</xdr:colOff>
      <xdr:row>47</xdr:row>
      <xdr:rowOff>142875</xdr:rowOff>
    </xdr:to>
    <xdr:graphicFrame macro="">
      <xdr:nvGraphicFramePr>
        <xdr:cNvPr id="38" name="Chart 37">
          <a:extLst>
            <a:ext uri="{FF2B5EF4-FFF2-40B4-BE49-F238E27FC236}">
              <a16:creationId xmlns:a16="http://schemas.microsoft.com/office/drawing/2014/main" id="{CAF9928E-048E-472A-89C0-6D0E58A0F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0</xdr:colOff>
      <xdr:row>6</xdr:row>
      <xdr:rowOff>0</xdr:rowOff>
    </xdr:from>
    <xdr:to>
      <xdr:col>28</xdr:col>
      <xdr:colOff>457200</xdr:colOff>
      <xdr:row>11</xdr:row>
      <xdr:rowOff>137160</xdr:rowOff>
    </xdr:to>
    <xdr:sp macro="" textlink="">
      <xdr:nvSpPr>
        <xdr:cNvPr id="5" name="Rectangle: Rounded Corners 4">
          <a:extLst>
            <a:ext uri="{FF2B5EF4-FFF2-40B4-BE49-F238E27FC236}">
              <a16:creationId xmlns:a16="http://schemas.microsoft.com/office/drawing/2014/main" id="{2C5F4E4B-3D32-400A-99D1-8A862E819AE7}"/>
            </a:ext>
          </a:extLst>
        </xdr:cNvPr>
        <xdr:cNvSpPr/>
      </xdr:nvSpPr>
      <xdr:spPr>
        <a:xfrm>
          <a:off x="12192000" y="1028700"/>
          <a:ext cx="5334000" cy="99441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FILTER</a:t>
          </a:r>
        </a:p>
      </xdr:txBody>
    </xdr:sp>
    <xdr:clientData/>
  </xdr:twoCellAnchor>
  <xdr:twoCellAnchor editAs="oneCell">
    <xdr:from>
      <xdr:col>20</xdr:col>
      <xdr:colOff>123824</xdr:colOff>
      <xdr:row>6</xdr:row>
      <xdr:rowOff>76200</xdr:rowOff>
    </xdr:from>
    <xdr:to>
      <xdr:col>23</xdr:col>
      <xdr:colOff>514349</xdr:colOff>
      <xdr:row>11</xdr:row>
      <xdr:rowOff>85725</xdr:rowOff>
    </xdr:to>
    <mc:AlternateContent xmlns:mc="http://schemas.openxmlformats.org/markup-compatibility/2006">
      <mc:Choice xmlns:a14="http://schemas.microsoft.com/office/drawing/2010/main" Requires="a14">
        <xdr:graphicFrame macro="">
          <xdr:nvGraphicFramePr>
            <xdr:cNvPr id="6" name="Zone 1">
              <a:extLst>
                <a:ext uri="{FF2B5EF4-FFF2-40B4-BE49-F238E27FC236}">
                  <a16:creationId xmlns:a16="http://schemas.microsoft.com/office/drawing/2014/main" id="{B11900E8-AD09-44F5-BBFA-995622449207}"/>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12315824" y="1104900"/>
              <a:ext cx="2219325"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571500</xdr:colOff>
      <xdr:row>6</xdr:row>
      <xdr:rowOff>76200</xdr:rowOff>
    </xdr:from>
    <xdr:to>
      <xdr:col>28</xdr:col>
      <xdr:colOff>342900</xdr:colOff>
      <xdr:row>11</xdr:row>
      <xdr:rowOff>57149</xdr:rowOff>
    </xdr:to>
    <mc:AlternateContent xmlns:mc="http://schemas.openxmlformats.org/markup-compatibility/2006">
      <mc:Choice xmlns:a14="http://schemas.microsoft.com/office/drawing/2010/main" Requires="a14">
        <xdr:graphicFrame macro="">
          <xdr:nvGraphicFramePr>
            <xdr:cNvPr id="7" name="State/UTs 1">
              <a:extLst>
                <a:ext uri="{FF2B5EF4-FFF2-40B4-BE49-F238E27FC236}">
                  <a16:creationId xmlns:a16="http://schemas.microsoft.com/office/drawing/2014/main" id="{5B679E4F-333E-4F7B-93B1-6C5282FA5C91}"/>
                </a:ext>
              </a:extLst>
            </xdr:cNvPr>
            <xdr:cNvGraphicFramePr/>
          </xdr:nvGraphicFramePr>
          <xdr:xfrm>
            <a:off x="0" y="0"/>
            <a:ext cx="0" cy="0"/>
          </xdr:xfrm>
          <a:graphic>
            <a:graphicData uri="http://schemas.microsoft.com/office/drawing/2010/slicer">
              <sle:slicer xmlns:sle="http://schemas.microsoft.com/office/drawing/2010/slicer" name="State/UTs 1"/>
            </a:graphicData>
          </a:graphic>
        </xdr:graphicFrame>
      </mc:Choice>
      <mc:Fallback>
        <xdr:sp macro="" textlink="">
          <xdr:nvSpPr>
            <xdr:cNvPr id="0" name=""/>
            <xdr:cNvSpPr>
              <a:spLocks noTextEdit="1"/>
            </xdr:cNvSpPr>
          </xdr:nvSpPr>
          <xdr:spPr>
            <a:xfrm>
              <a:off x="15201900" y="1104900"/>
              <a:ext cx="2209800" cy="83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286.807364236112" createdVersion="8" refreshedVersion="8" minRefreshableVersion="3" recordCount="36" xr:uid="{C83E2A8D-F235-4480-8C10-79B8BA5BCAE0}">
  <cacheSource type="worksheet">
    <worksheetSource ref="A1:H37" sheet="COVID-19"/>
  </cacheSource>
  <cacheFields count="8">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Population" numFmtId="0">
      <sharedItems containsSemiMixedTypes="0" containsString="0" containsNumber="1" containsInteger="1" minValue="66001" maxValue="231502578" count="36">
        <n v="399001"/>
        <n v="91702478"/>
        <n v="1711947"/>
        <n v="35998752"/>
        <n v="128500364"/>
        <n v="1158040"/>
        <n v="32199722"/>
        <n v="773997"/>
        <n v="19301096"/>
        <n v="1521992"/>
        <n v="70400153"/>
        <n v="28900667"/>
        <n v="7503010"/>
        <n v="14999397"/>
        <n v="40100376"/>
        <n v="69599762"/>
        <n v="34698876"/>
        <n v="290492"/>
        <n v="66001"/>
        <n v="85002417"/>
        <n v="124904071"/>
        <n v="3436948"/>
        <n v="3772103"/>
        <n v="1308967"/>
        <n v="2073074"/>
        <n v="47099270"/>
        <n v="1646050"/>
        <n v="30501026"/>
        <n v="79502477"/>
        <n v="658019"/>
        <n v="83697770"/>
        <n v="38157311"/>
        <n v="4184959"/>
        <n v="231502578"/>
        <n v="11700099"/>
        <n v="100896618"/>
      </sharedItems>
    </cacheField>
    <cacheField name="Active" numFmtId="0">
      <sharedItems containsSemiMixedTypes="0" containsString="0" containsNumber="1" containsInteger="1" minValue="0" maxValue="69258" count="35">
        <n v="7"/>
        <n v="3128"/>
        <n v="42"/>
        <n v="3272"/>
        <n v="29"/>
        <n v="24"/>
        <n v="230"/>
        <n v="0"/>
        <n v="361"/>
        <n v="263"/>
        <n v="226"/>
        <n v="140"/>
        <n v="1100"/>
        <n v="1450"/>
        <n v="141"/>
        <n v="8056"/>
        <n v="69258"/>
        <n v="154"/>
        <n v="75"/>
        <n v="15866"/>
        <n v="799"/>
        <n v="277"/>
        <n v="5651"/>
        <n v="163"/>
        <n v="2534"/>
        <n v="275"/>
        <n v="318"/>
        <n v="71"/>
        <n v="121"/>
        <n v="9751"/>
        <n v="3741"/>
        <n v="116"/>
        <n v="90"/>
        <n v="158"/>
        <n v="8031"/>
      </sharedItems>
    </cacheField>
    <cacheField name="Discharged" numFmtId="0">
      <sharedItems containsSemiMixedTypes="0" containsString="0" containsNumber="1" containsInteger="1" minValue="7534" maxValue="6466913" count="36">
        <n v="7534"/>
        <n v="2052230"/>
        <n v="54894"/>
        <n v="604465"/>
        <n v="716462"/>
        <n v="64536"/>
        <n v="992508"/>
        <n v="10678"/>
        <n v="1414934"/>
        <n v="174830"/>
        <n v="816608"/>
        <n v="761230"/>
        <n v="220800"/>
        <n v="328108"/>
        <n v="343713"/>
        <n v="2945415"/>
        <n v="4950281"/>
        <n v="20783"/>
        <n v="10314"/>
        <n v="782357"/>
        <n v="6466913"/>
        <n v="121687"/>
        <n v="82274"/>
        <n v="122494"/>
        <n v="31123"/>
        <n v="1034300"/>
        <n v="126263"/>
        <n v="585889"/>
        <n v="945478"/>
        <n v="31575"/>
        <n v="2668001"/>
        <n v="665755"/>
        <n v="83732"/>
        <n v="1687262"/>
        <n v="336453"/>
        <n v="1575980"/>
      </sharedItems>
    </cacheField>
    <cacheField name="Deaths" numFmtId="0">
      <sharedItems containsSemiMixedTypes="0" containsString="0" containsNumber="1" containsInteger="1" minValue="4" maxValue="140565" count="36">
        <n v="129"/>
        <n v="14412"/>
        <n v="280"/>
        <n v="6047"/>
        <n v="9662"/>
        <n v="820"/>
        <n v="13588"/>
        <n v="4"/>
        <n v="25093"/>
        <n v="3374"/>
        <n v="10090"/>
        <n v="10050"/>
        <n v="3812"/>
        <n v="4448"/>
        <n v="5138"/>
        <n v="38143"/>
        <n v="35685"/>
        <n v="211"/>
        <n v="51"/>
        <n v="10524"/>
        <n v="140565"/>
        <n v="1946"/>
        <n v="1462"/>
        <n v="459"/>
        <n v="692"/>
        <n v="8375"/>
        <n v="1863"/>
        <n v="16571"/>
        <n v="8954"/>
        <n v="400"/>
        <n v="36273"/>
        <n v="3973"/>
        <n v="817"/>
        <n v="22909"/>
        <n v="7403"/>
        <n v="19307"/>
      </sharedItems>
    </cacheField>
    <cacheField name="Total cases" numFmtId="0">
      <sharedItems containsSemiMixedTypes="0" containsString="0" containsNumber="1" containsInteger="1" minValue="7670" maxValue="6623344"/>
    </cacheField>
    <cacheField name="Total case Catagories" numFmtId="0">
      <sharedItems/>
    </cacheField>
  </cacheFields>
  <extLst>
    <ext xmlns:x14="http://schemas.microsoft.com/office/spreadsheetml/2009/9/main" uri="{725AE2AE-9491-48be-B2B4-4EB974FC3084}">
      <x14:pivotCacheDefinition pivotCacheId="1792188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x v="0"/>
    <x v="0"/>
    <x v="0"/>
    <n v="7670"/>
    <s v="Below average"/>
  </r>
  <r>
    <x v="1"/>
    <x v="0"/>
    <x v="1"/>
    <x v="1"/>
    <x v="1"/>
    <x v="1"/>
    <n v="2069770"/>
    <s v="Above average"/>
  </r>
  <r>
    <x v="2"/>
    <x v="1"/>
    <x v="2"/>
    <x v="2"/>
    <x v="2"/>
    <x v="2"/>
    <n v="55216"/>
    <s v="Below average"/>
  </r>
  <r>
    <x v="3"/>
    <x v="1"/>
    <x v="3"/>
    <x v="3"/>
    <x v="3"/>
    <x v="3"/>
    <n v="613784"/>
    <s v="Below average"/>
  </r>
  <r>
    <x v="4"/>
    <x v="1"/>
    <x v="4"/>
    <x v="4"/>
    <x v="4"/>
    <x v="4"/>
    <n v="726153"/>
    <s v="Below average"/>
  </r>
  <r>
    <x v="5"/>
    <x v="2"/>
    <x v="5"/>
    <x v="5"/>
    <x v="5"/>
    <x v="5"/>
    <n v="65380"/>
    <s v="Below average"/>
  </r>
  <r>
    <x v="6"/>
    <x v="1"/>
    <x v="6"/>
    <x v="6"/>
    <x v="6"/>
    <x v="6"/>
    <n v="1006326"/>
    <s v="Above average"/>
  </r>
  <r>
    <x v="7"/>
    <x v="3"/>
    <x v="7"/>
    <x v="7"/>
    <x v="7"/>
    <x v="7"/>
    <n v="10682"/>
    <s v="Below average"/>
  </r>
  <r>
    <x v="8"/>
    <x v="2"/>
    <x v="8"/>
    <x v="8"/>
    <x v="8"/>
    <x v="8"/>
    <n v="1440388"/>
    <s v="Above average"/>
  </r>
  <r>
    <x v="9"/>
    <x v="3"/>
    <x v="9"/>
    <x v="9"/>
    <x v="9"/>
    <x v="9"/>
    <n v="178467"/>
    <s v="Below average"/>
  </r>
  <r>
    <x v="10"/>
    <x v="3"/>
    <x v="10"/>
    <x v="10"/>
    <x v="10"/>
    <x v="10"/>
    <n v="826924"/>
    <s v="Below average"/>
  </r>
  <r>
    <x v="11"/>
    <x v="2"/>
    <x v="11"/>
    <x v="11"/>
    <x v="11"/>
    <x v="11"/>
    <n v="771420"/>
    <s v="Below average"/>
  </r>
  <r>
    <x v="12"/>
    <x v="2"/>
    <x v="12"/>
    <x v="12"/>
    <x v="12"/>
    <x v="12"/>
    <n v="225712"/>
    <s v="Below average"/>
  </r>
  <r>
    <x v="13"/>
    <x v="2"/>
    <x v="13"/>
    <x v="13"/>
    <x v="13"/>
    <x v="13"/>
    <n v="334006"/>
    <s v="Below average"/>
  </r>
  <r>
    <x v="14"/>
    <x v="1"/>
    <x v="14"/>
    <x v="14"/>
    <x v="14"/>
    <x v="14"/>
    <n v="348992"/>
    <s v="Below average"/>
  </r>
  <r>
    <x v="15"/>
    <x v="0"/>
    <x v="15"/>
    <x v="15"/>
    <x v="15"/>
    <x v="15"/>
    <n v="2991614"/>
    <s v="Above average"/>
  </r>
  <r>
    <x v="16"/>
    <x v="0"/>
    <x v="16"/>
    <x v="16"/>
    <x v="16"/>
    <x v="16"/>
    <n v="5055224"/>
    <s v="Above average"/>
  </r>
  <r>
    <x v="17"/>
    <x v="2"/>
    <x v="17"/>
    <x v="17"/>
    <x v="17"/>
    <x v="17"/>
    <n v="21148"/>
    <s v="Below average"/>
  </r>
  <r>
    <x v="18"/>
    <x v="0"/>
    <x v="18"/>
    <x v="7"/>
    <x v="18"/>
    <x v="18"/>
    <n v="10365"/>
    <s v="Below average"/>
  </r>
  <r>
    <x v="19"/>
    <x v="3"/>
    <x v="19"/>
    <x v="18"/>
    <x v="19"/>
    <x v="19"/>
    <n v="792956"/>
    <s v="Below average"/>
  </r>
  <r>
    <x v="20"/>
    <x v="3"/>
    <x v="20"/>
    <x v="19"/>
    <x v="20"/>
    <x v="20"/>
    <n v="6623344"/>
    <s v="Above average"/>
  </r>
  <r>
    <x v="21"/>
    <x v="1"/>
    <x v="21"/>
    <x v="20"/>
    <x v="21"/>
    <x v="21"/>
    <n v="124432"/>
    <s v="Below average"/>
  </r>
  <r>
    <x v="22"/>
    <x v="1"/>
    <x v="22"/>
    <x v="21"/>
    <x v="22"/>
    <x v="22"/>
    <n v="84013"/>
    <s v="Below average"/>
  </r>
  <r>
    <x v="23"/>
    <x v="1"/>
    <x v="23"/>
    <x v="22"/>
    <x v="23"/>
    <x v="23"/>
    <n v="128604"/>
    <s v="Below average"/>
  </r>
  <r>
    <x v="24"/>
    <x v="1"/>
    <x v="24"/>
    <x v="23"/>
    <x v="24"/>
    <x v="24"/>
    <n v="31978"/>
    <s v="Below average"/>
  </r>
  <r>
    <x v="25"/>
    <x v="1"/>
    <x v="25"/>
    <x v="24"/>
    <x v="25"/>
    <x v="25"/>
    <n v="1045209"/>
    <s v="Above average"/>
  </r>
  <r>
    <x v="26"/>
    <x v="0"/>
    <x v="26"/>
    <x v="25"/>
    <x v="26"/>
    <x v="26"/>
    <n v="128401"/>
    <s v="Below average"/>
  </r>
  <r>
    <x v="27"/>
    <x v="2"/>
    <x v="27"/>
    <x v="26"/>
    <x v="27"/>
    <x v="27"/>
    <n v="602778"/>
    <s v="Below average"/>
  </r>
  <r>
    <x v="28"/>
    <x v="3"/>
    <x v="28"/>
    <x v="27"/>
    <x v="28"/>
    <x v="28"/>
    <n v="954503"/>
    <s v="Below average"/>
  </r>
  <r>
    <x v="29"/>
    <x v="1"/>
    <x v="29"/>
    <x v="28"/>
    <x v="29"/>
    <x v="29"/>
    <n v="32096"/>
    <s v="Below average"/>
  </r>
  <r>
    <x v="30"/>
    <x v="0"/>
    <x v="30"/>
    <x v="29"/>
    <x v="30"/>
    <x v="30"/>
    <n v="2714025"/>
    <s v="Above average"/>
  </r>
  <r>
    <x v="31"/>
    <x v="0"/>
    <x v="31"/>
    <x v="30"/>
    <x v="31"/>
    <x v="31"/>
    <n v="673469"/>
    <s v="Below average"/>
  </r>
  <r>
    <x v="32"/>
    <x v="1"/>
    <x v="32"/>
    <x v="31"/>
    <x v="32"/>
    <x v="32"/>
    <n v="84665"/>
    <s v="Below average"/>
  </r>
  <r>
    <x v="33"/>
    <x v="2"/>
    <x v="33"/>
    <x v="32"/>
    <x v="33"/>
    <x v="33"/>
    <n v="1710261"/>
    <s v="Above average"/>
  </r>
  <r>
    <x v="34"/>
    <x v="2"/>
    <x v="34"/>
    <x v="33"/>
    <x v="34"/>
    <x v="34"/>
    <n v="344014"/>
    <s v="Below average"/>
  </r>
  <r>
    <x v="35"/>
    <x v="1"/>
    <x v="35"/>
    <x v="34"/>
    <x v="35"/>
    <x v="35"/>
    <n v="1603318"/>
    <s v="Above 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544D8-0183-48CC-93CE-21C75AF011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
  </rowFields>
  <rowItems count="5">
    <i>
      <x v="2"/>
    </i>
    <i>
      <x v="3"/>
    </i>
    <i>
      <x/>
    </i>
    <i>
      <x v="1"/>
    </i>
    <i t="grand">
      <x/>
    </i>
  </rowItems>
  <colItems count="1">
    <i/>
  </colItems>
  <dataFields count="1">
    <dataField name="Sum of Total cases" fld="6"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40A8D-7CCB-4C26-86C7-DD711166CE0E}"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G4:H9" firstHeaderRow="1" firstDataRow="1" firstDataCol="1"/>
  <pivotFields count="8">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showAll="0"/>
    <pivotField showAll="0"/>
    <pivotField dataField="1" showAll="0"/>
    <pivotField showAll="0"/>
  </pivotFields>
  <rowFields count="1">
    <field x="0"/>
  </rowFields>
  <rowItems count="5">
    <i>
      <x v="1"/>
    </i>
    <i>
      <x v="15"/>
    </i>
    <i>
      <x v="16"/>
    </i>
    <i>
      <x v="20"/>
    </i>
    <i>
      <x v="30"/>
    </i>
  </rowItems>
  <colItems count="1">
    <i/>
  </colItems>
  <dataFields count="1">
    <dataField name="Sum of Total cases"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A7CFD4-E3A6-4B6E-B435-F3C0ABEC6D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8">
    <pivotField showAll="0"/>
    <pivotField axis="axisRow" showAll="0">
      <items count="5">
        <item x="1"/>
        <item x="2"/>
        <item x="0"/>
        <item x="3"/>
        <item t="default"/>
      </items>
    </pivotField>
    <pivotField showAll="0"/>
    <pivotField dataField="1" showAll="0"/>
    <pivotField showAll="0"/>
    <pivotField showAll="0"/>
    <pivotField showAll="0"/>
    <pivotField showAll="0"/>
  </pivotFields>
  <rowFields count="1">
    <field x="1"/>
  </rowFields>
  <rowItems count="5">
    <i>
      <x/>
    </i>
    <i>
      <x v="1"/>
    </i>
    <i>
      <x v="2"/>
    </i>
    <i>
      <x v="3"/>
    </i>
    <i t="grand">
      <x/>
    </i>
  </rowItems>
  <colItems count="1">
    <i/>
  </colItems>
  <dataFields count="1">
    <dataField name="Sum of Active" fld="3" showDataAs="percentOfTotal" baseField="0" baseItem="0" numFmtId="10"/>
  </dataFields>
  <chartFormats count="10">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24" format="15" series="1">
      <pivotArea type="data" outline="0" fieldPosition="0">
        <references count="1">
          <reference field="4294967294" count="1" selected="0">
            <x v="0"/>
          </reference>
        </references>
      </pivotArea>
    </chartFormat>
    <chartFormat chart="24" format="16">
      <pivotArea type="data" outline="0" fieldPosition="0">
        <references count="2">
          <reference field="4294967294" count="1" selected="0">
            <x v="0"/>
          </reference>
          <reference field="1" count="1" selected="0">
            <x v="0"/>
          </reference>
        </references>
      </pivotArea>
    </chartFormat>
    <chartFormat chart="24" format="17">
      <pivotArea type="data" outline="0" fieldPosition="0">
        <references count="2">
          <reference field="4294967294" count="1" selected="0">
            <x v="0"/>
          </reference>
          <reference field="1" count="1" selected="0">
            <x v="1"/>
          </reference>
        </references>
      </pivotArea>
    </chartFormat>
    <chartFormat chart="24" format="18">
      <pivotArea type="data" outline="0" fieldPosition="0">
        <references count="2">
          <reference field="4294967294" count="1" selected="0">
            <x v="0"/>
          </reference>
          <reference field="1" count="1" selected="0">
            <x v="2"/>
          </reference>
        </references>
      </pivotArea>
    </chartFormat>
    <chartFormat chart="24" format="1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9FBC00-E241-4C1E-85D0-59030E864A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8" firstHeaderRow="1" firstDataRow="1" firstDataCol="1"/>
  <pivotFields count="8">
    <pivotField showAll="0"/>
    <pivotField axis="axisRow" showAll="0">
      <items count="5">
        <item x="1"/>
        <item x="2"/>
        <item x="0"/>
        <item x="3"/>
        <item t="default"/>
      </items>
    </pivotField>
    <pivotField showAll="0"/>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Deaths" fld="5" showDataAs="percentOfTotal" baseField="0" baseItem="0" numFmtId="10"/>
  </dataFields>
  <chartFormats count="10">
    <chartFormat chart="4" format="0"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3"/>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 count="1" selected="0">
            <x v="0"/>
          </reference>
        </references>
      </pivotArea>
    </chartFormat>
    <chartFormat chart="11" format="16">
      <pivotArea type="data" outline="0" fieldPosition="0">
        <references count="2">
          <reference field="4294967294" count="1" selected="0">
            <x v="0"/>
          </reference>
          <reference field="1" count="1" selected="0">
            <x v="1"/>
          </reference>
        </references>
      </pivotArea>
    </chartFormat>
    <chartFormat chart="11" format="17">
      <pivotArea type="data" outline="0" fieldPosition="0">
        <references count="2">
          <reference field="4294967294" count="1" selected="0">
            <x v="0"/>
          </reference>
          <reference field="1" count="1" selected="0">
            <x v="2"/>
          </reference>
        </references>
      </pivotArea>
    </chartFormat>
    <chartFormat chart="11" format="1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167BFE-56C0-4150-A825-2C3221D2EA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8" firstHeaderRow="1" firstDataRow="1" firstDataCol="1"/>
  <pivotFields count="8">
    <pivotField showAll="0"/>
    <pivotField axis="axisRow" showAll="0">
      <items count="5">
        <item x="1"/>
        <item x="2"/>
        <item x="0"/>
        <item x="3"/>
        <item t="default"/>
      </items>
    </pivotField>
    <pivotField showAll="0"/>
    <pivotField showAll="0"/>
    <pivotField dataField="1" showAll="0"/>
    <pivotField showAll="0"/>
    <pivotField showAll="0"/>
    <pivotField showAll="0"/>
  </pivotFields>
  <rowFields count="1">
    <field x="1"/>
  </rowFields>
  <rowItems count="5">
    <i>
      <x/>
    </i>
    <i>
      <x v="1"/>
    </i>
    <i>
      <x v="2"/>
    </i>
    <i>
      <x v="3"/>
    </i>
    <i t="grand">
      <x/>
    </i>
  </rowItems>
  <colItems count="1">
    <i/>
  </colItems>
  <dataFields count="1">
    <dataField name="Sum of Discharged" fld="4" showDataAs="percentOfTotal" baseField="0" baseItem="0" numFmtId="10"/>
  </dataFields>
  <chartFormats count="10">
    <chartFormat chart="2" format="0"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 chart="2" format="8">
      <pivotArea type="data" outline="0" fieldPosition="0">
        <references count="2">
          <reference field="4294967294" count="1" selected="0">
            <x v="0"/>
          </reference>
          <reference field="1" count="1" selected="0">
            <x v="3"/>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 count="1" selected="0">
            <x v="0"/>
          </reference>
        </references>
      </pivotArea>
    </chartFormat>
    <chartFormat chart="9" format="16">
      <pivotArea type="data" outline="0" fieldPosition="0">
        <references count="2">
          <reference field="4294967294" count="1" selected="0">
            <x v="0"/>
          </reference>
          <reference field="1" count="1" selected="0">
            <x v="1"/>
          </reference>
        </references>
      </pivotArea>
    </chartFormat>
    <chartFormat chart="9" format="17">
      <pivotArea type="data" outline="0" fieldPosition="0">
        <references count="2">
          <reference field="4294967294" count="1" selected="0">
            <x v="0"/>
          </reference>
          <reference field="1" count="1" selected="0">
            <x v="2"/>
          </reference>
        </references>
      </pivotArea>
    </chartFormat>
    <chartFormat chart="9" format="1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A275BD-D90A-4319-87EB-98816EE789FD}"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4:B9" firstHeaderRow="1" firstDataRow="1" firstDataCol="1"/>
  <pivotFields count="8">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dataField="1" showAll="0"/>
    <pivotField showAll="0"/>
    <pivotField showAll="0"/>
    <pivotField showAll="0"/>
    <pivotField showAll="0"/>
  </pivotFields>
  <rowFields count="1">
    <field x="0"/>
  </rowFields>
  <rowItems count="5">
    <i>
      <x v="15"/>
    </i>
    <i>
      <x v="16"/>
    </i>
    <i>
      <x v="20"/>
    </i>
    <i>
      <x v="30"/>
    </i>
    <i>
      <x v="35"/>
    </i>
  </rowItems>
  <colItems count="1">
    <i/>
  </colItems>
  <dataFields count="1">
    <dataField name="Sum of Active" fld="3" baseField="0" baseItem="0"/>
  </dataFields>
  <chartFormats count="7">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0" count="1" selected="0">
            <x v="15"/>
          </reference>
        </references>
      </pivotArea>
    </chartFormat>
    <chartFormat chart="14" format="4">
      <pivotArea type="data" outline="0" fieldPosition="0">
        <references count="2">
          <reference field="4294967294" count="1" selected="0">
            <x v="0"/>
          </reference>
          <reference field="0" count="1" selected="0">
            <x v="16"/>
          </reference>
        </references>
      </pivotArea>
    </chartFormat>
    <chartFormat chart="14" format="5">
      <pivotArea type="data" outline="0" fieldPosition="0">
        <references count="2">
          <reference field="4294967294" count="1" selected="0">
            <x v="0"/>
          </reference>
          <reference field="0" count="1" selected="0">
            <x v="20"/>
          </reference>
        </references>
      </pivotArea>
    </chartFormat>
    <chartFormat chart="14" format="6">
      <pivotArea type="data" outline="0" fieldPosition="0">
        <references count="2">
          <reference field="4294967294" count="1" selected="0">
            <x v="0"/>
          </reference>
          <reference field="0" count="1" selected="0">
            <x v="30"/>
          </reference>
        </references>
      </pivotArea>
    </chartFormat>
    <chartFormat chart="14" format="7">
      <pivotArea type="data" outline="0" fieldPosition="0">
        <references count="2">
          <reference field="4294967294" count="1" selected="0">
            <x v="0"/>
          </reference>
          <reference field="0" count="1" selected="0">
            <x v="35"/>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0469F6-ADC7-4E07-9233-C5FCC58982F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I4:J9" firstHeaderRow="1" firstDataRow="1" firstDataCol="1"/>
  <pivotFields count="8">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showAll="0"/>
    <pivotField dataField="1" showAll="0"/>
    <pivotField showAll="0"/>
    <pivotField showAll="0"/>
  </pivotFields>
  <rowFields count="1">
    <field x="0"/>
  </rowFields>
  <rowItems count="5">
    <i>
      <x v="8"/>
    </i>
    <i>
      <x v="15"/>
    </i>
    <i>
      <x v="16"/>
    </i>
    <i>
      <x v="20"/>
    </i>
    <i>
      <x v="30"/>
    </i>
  </rowItems>
  <colItems count="1">
    <i/>
  </colItems>
  <dataFields count="1">
    <dataField name="Sum of Deaths" fld="5" baseField="0" baseItem="0"/>
  </dataFields>
  <chartFormats count="8">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8"/>
          </reference>
        </references>
      </pivotArea>
    </chartFormat>
    <chartFormat chart="18" format="4">
      <pivotArea type="data" outline="0" fieldPosition="0">
        <references count="2">
          <reference field="4294967294" count="1" selected="0">
            <x v="0"/>
          </reference>
          <reference field="0" count="1" selected="0">
            <x v="15"/>
          </reference>
        </references>
      </pivotArea>
    </chartFormat>
    <chartFormat chart="18" format="5">
      <pivotArea type="data" outline="0" fieldPosition="0">
        <references count="2">
          <reference field="4294967294" count="1" selected="0">
            <x v="0"/>
          </reference>
          <reference field="0" count="1" selected="0">
            <x v="16"/>
          </reference>
        </references>
      </pivotArea>
    </chartFormat>
    <chartFormat chart="18" format="6">
      <pivotArea type="data" outline="0" fieldPosition="0">
        <references count="2">
          <reference field="4294967294" count="1" selected="0">
            <x v="0"/>
          </reference>
          <reference field="0" count="1" selected="0">
            <x v="20"/>
          </reference>
        </references>
      </pivotArea>
    </chartFormat>
    <chartFormat chart="18" format="7">
      <pivotArea type="data" outline="0" fieldPosition="0">
        <references count="2">
          <reference field="4294967294" count="1" selected="0">
            <x v="0"/>
          </reference>
          <reference field="0" count="1" selected="0">
            <x v="3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44B98B-F8B8-47D2-AA34-E1090F3392F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E4:F9" firstHeaderRow="1" firstDataRow="1" firstDataCol="1"/>
  <pivotFields count="8">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dataField="1" showAll="0"/>
    <pivotField showAll="0"/>
    <pivotField showAll="0"/>
    <pivotField showAll="0"/>
  </pivotFields>
  <rowFields count="1">
    <field x="0"/>
  </rowFields>
  <rowItems count="5">
    <i>
      <x v="1"/>
    </i>
    <i>
      <x v="15"/>
    </i>
    <i>
      <x v="16"/>
    </i>
    <i>
      <x v="20"/>
    </i>
    <i>
      <x v="30"/>
    </i>
  </rowItems>
  <colItems count="1">
    <i/>
  </colItems>
  <dataFields count="1">
    <dataField name="Sum of Discharged" fld="4" baseField="0" baseItem="0"/>
  </dataFields>
  <chartFormats count="7">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 chart="16" format="4">
      <pivotArea type="data" outline="0" fieldPosition="0">
        <references count="2">
          <reference field="4294967294" count="1" selected="0">
            <x v="0"/>
          </reference>
          <reference field="0" count="1" selected="0">
            <x v="15"/>
          </reference>
        </references>
      </pivotArea>
    </chartFormat>
    <chartFormat chart="16" format="5">
      <pivotArea type="data" outline="0" fieldPosition="0">
        <references count="2">
          <reference field="4294967294" count="1" selected="0">
            <x v="0"/>
          </reference>
          <reference field="0" count="1" selected="0">
            <x v="16"/>
          </reference>
        </references>
      </pivotArea>
    </chartFormat>
    <chartFormat chart="16" format="6">
      <pivotArea type="data" outline="0" fieldPosition="0">
        <references count="2">
          <reference field="4294967294" count="1" selected="0">
            <x v="0"/>
          </reference>
          <reference field="0" count="1" selected="0">
            <x v="20"/>
          </reference>
        </references>
      </pivotArea>
    </chartFormat>
    <chartFormat chart="16" format="7">
      <pivotArea type="data" outline="0" fieldPosition="0">
        <references count="2">
          <reference field="4294967294" count="1" selected="0">
            <x v="0"/>
          </reference>
          <reference field="0" count="1" selected="0">
            <x v="3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5A7FFE-64C7-4BDF-9D15-C57195A7CB9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20" firstHeaderRow="1" firstDataRow="1" firstDataCol="1"/>
  <pivotFields count="8">
    <pivotField showAll="0"/>
    <pivotField axis="axisRow" showAll="0">
      <items count="5">
        <item x="1"/>
        <item x="2"/>
        <item x="0"/>
        <item x="3"/>
        <item t="default"/>
      </items>
    </pivotField>
    <pivotField showAll="0"/>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Death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F3C225-91CD-4006-A6A1-14F6F1ACDAF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8">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showAll="0"/>
    <pivotField dataField="1" showAll="0"/>
    <pivotField showAll="0"/>
    <pivotField showAll="0"/>
    <pivotField showAll="0"/>
  </pivotFields>
  <rowFields count="1">
    <field x="1"/>
  </rowFields>
  <rowItems count="5">
    <i>
      <x/>
    </i>
    <i>
      <x v="1"/>
    </i>
    <i>
      <x v="2"/>
    </i>
    <i>
      <x v="3"/>
    </i>
    <i t="grand">
      <x/>
    </i>
  </rowItems>
  <colItems count="1">
    <i/>
  </colItems>
  <dataFields count="1">
    <dataField name="Sum of Discharg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48392D-4A8E-4D75-AB39-EA37A88C38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8">
    <pivotField showAll="0"/>
    <pivotField axis="axisRow" showAll="0">
      <items count="5">
        <item x="1"/>
        <item x="2"/>
        <item x="0"/>
        <item x="3"/>
        <item t="default"/>
      </items>
    </pivotField>
    <pivotField showAll="0"/>
    <pivotField dataField="1" showAll="0"/>
    <pivotField showAll="0"/>
    <pivotField showAll="0"/>
    <pivotField showAll="0"/>
    <pivotField showAll="0"/>
  </pivotFields>
  <rowFields count="1">
    <field x="1"/>
  </rowFields>
  <rowItems count="5">
    <i>
      <x/>
    </i>
    <i>
      <x v="1"/>
    </i>
    <i>
      <x v="2"/>
    </i>
    <i>
      <x v="3"/>
    </i>
    <i t="grand">
      <x/>
    </i>
  </rowItems>
  <colItems count="1">
    <i/>
  </colItems>
  <dataFields count="1">
    <dataField name="Sum of Activ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043B64-D87F-4058-B7CE-40CCA531F7E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axis="axisRow" showAll="0">
      <items count="5">
        <item x="1"/>
        <item x="2"/>
        <item x="0"/>
        <item x="3"/>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Total cas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2C03FAFC-A785-4253-B42A-55B1EE977B51}" sourceName="State/UTs">
  <pivotTables>
    <pivotTable tabId="9" name="PivotTable11"/>
  </pivotTables>
  <data>
    <tabular pivotCacheId="1792188039">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DF311F37-C7E3-4049-97E5-533A7C42512A}" sourceName="Zone">
  <pivotTables>
    <pivotTable tabId="9" name="PivotTable11"/>
    <pivotTable tabId="9" name="PivotTable10"/>
    <pivotTable tabId="9" name="PivotTable12"/>
    <pivotTable tabId="9" name="PivotTable9"/>
    <pivotTable tabId="7" name="PivotTable3"/>
    <pivotTable tabId="7" name="PivotTable4"/>
    <pivotTable tabId="7" name="PivotTable6"/>
    <pivotTable tabId="6" name="PivotTable2"/>
    <pivotTable tabId="6" name="PivotTable3"/>
    <pivotTable tabId="6" name="PivotTable4"/>
    <pivotTable tabId="3" name="PivotTable1"/>
    <pivotTable tabId="3" name="PivotTable5"/>
  </pivotTables>
  <data>
    <tabular pivotCacheId="1792188039">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xr10:uid="{596C26D7-08F9-4FE1-9292-98247E7B6081}" cache="Slicer_State_UTs" caption="State/UTs" rowHeight="209550"/>
  <slicer name="Zone" xr10:uid="{A29A702C-7F14-4D56-B091-919869E25901}" cache="Slicer_Zone" caption="Zone"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1" xr10:uid="{131C9F2D-8F94-473F-B77F-A0EAC9DD8A8A}" cache="Slicer_State_UTs" caption="State/UTs" startItem="6" style="SlicerStyleDark2" rowHeight="209550"/>
  <slicer name="Zone 1" xr10:uid="{DFC6C12C-766F-4457-B333-B80C164BFB90}" cache="Slicer_Zone" caption="Zone" startItem="2" style="SlicerStyleDark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1.xml"/><Relationship Id="rId5" Type="http://schemas.openxmlformats.org/officeDocument/2006/relationships/drawing" Target="../drawings/drawing4.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3508-C560-4A95-B836-EA651AE05D70}">
  <dimension ref="A3:H9"/>
  <sheetViews>
    <sheetView workbookViewId="0">
      <selection activeCell="G4" sqref="G4:H9"/>
    </sheetView>
  </sheetViews>
  <sheetFormatPr defaultRowHeight="13.2" x14ac:dyDescent="0.25"/>
  <cols>
    <col min="1" max="1" width="13.33203125" bestFit="1" customWidth="1"/>
    <col min="2" max="2" width="17.77734375" bestFit="1" customWidth="1"/>
    <col min="3" max="3" width="15.21875" bestFit="1" customWidth="1"/>
    <col min="4" max="4" width="17.77734375" bestFit="1" customWidth="1"/>
    <col min="5" max="6" width="7" bestFit="1" customWidth="1"/>
    <col min="7" max="7" width="14.33203125" bestFit="1" customWidth="1"/>
    <col min="8" max="8" width="17.77734375" bestFit="1" customWidth="1"/>
    <col min="9" max="9" width="14.33203125" bestFit="1" customWidth="1"/>
    <col min="10" max="10" width="8" bestFit="1" customWidth="1"/>
    <col min="11" max="11" width="7" bestFit="1" customWidth="1"/>
    <col min="12" max="12" width="7.44140625" bestFit="1" customWidth="1"/>
    <col min="13" max="13" width="8.21875" bestFit="1" customWidth="1"/>
    <col min="14" max="14" width="16.77734375" bestFit="1" customWidth="1"/>
    <col min="15" max="15" width="19" bestFit="1" customWidth="1"/>
    <col min="16" max="16" width="10.21875" bestFit="1" customWidth="1"/>
    <col min="17" max="17" width="9.88671875" bestFit="1" customWidth="1"/>
    <col min="18" max="18" width="8" bestFit="1" customWidth="1"/>
    <col min="19" max="19" width="7.33203125" bestFit="1" customWidth="1"/>
    <col min="20" max="20" width="12.88671875" bestFit="1" customWidth="1"/>
    <col min="21" max="21" width="15.5546875" bestFit="1" customWidth="1"/>
    <col min="22" max="22" width="11.88671875" bestFit="1" customWidth="1"/>
    <col min="23" max="23" width="8" bestFit="1" customWidth="1"/>
    <col min="24" max="24" width="10.109375" bestFit="1" customWidth="1"/>
    <col min="25" max="25" width="8.33203125" bestFit="1" customWidth="1"/>
    <col min="26" max="26" width="9.109375" bestFit="1" customWidth="1"/>
    <col min="27" max="27" width="8" bestFit="1" customWidth="1"/>
    <col min="28" max="28" width="11.21875" bestFit="1" customWidth="1"/>
    <col min="29" max="29" width="7" bestFit="1" customWidth="1"/>
    <col min="30" max="30" width="9.6640625" bestFit="1" customWidth="1"/>
    <col min="31" max="31" width="6.6640625" bestFit="1" customWidth="1"/>
    <col min="32" max="32" width="10.6640625" bestFit="1" customWidth="1"/>
    <col min="33" max="33" width="9.88671875" bestFit="1" customWidth="1"/>
    <col min="34" max="34" width="7.33203125" bestFit="1" customWidth="1"/>
    <col min="35" max="35" width="13.33203125" bestFit="1" customWidth="1"/>
    <col min="36" max="36" width="11.77734375" bestFit="1" customWidth="1"/>
    <col min="37" max="37" width="12.109375" bestFit="1" customWidth="1"/>
    <col min="38" max="38" width="11.33203125" bestFit="1" customWidth="1"/>
  </cols>
  <sheetData>
    <row r="3" spans="1:8" x14ac:dyDescent="0.25">
      <c r="A3" s="19" t="s">
        <v>67</v>
      </c>
      <c r="B3" t="s">
        <v>69</v>
      </c>
    </row>
    <row r="4" spans="1:8" x14ac:dyDescent="0.25">
      <c r="A4" s="20" t="s">
        <v>7</v>
      </c>
      <c r="B4" s="28">
        <v>13650538</v>
      </c>
      <c r="G4" s="19" t="s">
        <v>67</v>
      </c>
      <c r="H4" t="s">
        <v>69</v>
      </c>
    </row>
    <row r="5" spans="1:8" x14ac:dyDescent="0.25">
      <c r="A5" s="20" t="s">
        <v>17</v>
      </c>
      <c r="B5" s="28">
        <v>9386876</v>
      </c>
      <c r="G5" s="20" t="s">
        <v>8</v>
      </c>
      <c r="H5" s="28">
        <v>2069770</v>
      </c>
    </row>
    <row r="6" spans="1:8" x14ac:dyDescent="0.25">
      <c r="A6" s="20" t="s">
        <v>10</v>
      </c>
      <c r="B6" s="28">
        <v>5884786</v>
      </c>
      <c r="G6" s="20" t="s">
        <v>25</v>
      </c>
      <c r="H6" s="28">
        <v>2991614</v>
      </c>
    </row>
    <row r="7" spans="1:8" x14ac:dyDescent="0.25">
      <c r="A7" s="20" t="s">
        <v>14</v>
      </c>
      <c r="B7" s="28">
        <v>5515107</v>
      </c>
      <c r="G7" s="20" t="s">
        <v>26</v>
      </c>
      <c r="H7" s="28">
        <v>5055224</v>
      </c>
    </row>
    <row r="8" spans="1:8" x14ac:dyDescent="0.25">
      <c r="A8" s="20" t="s">
        <v>68</v>
      </c>
      <c r="B8" s="28">
        <v>34437307</v>
      </c>
      <c r="G8" s="20" t="s">
        <v>30</v>
      </c>
      <c r="H8" s="28">
        <v>6623344</v>
      </c>
    </row>
    <row r="9" spans="1:8" x14ac:dyDescent="0.25">
      <c r="G9" s="20" t="s">
        <v>40</v>
      </c>
      <c r="H9" s="28">
        <v>2714025</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8F7F-C76D-4262-97D3-A8F88C59F2B8}">
  <dimension ref="A3:L8"/>
  <sheetViews>
    <sheetView workbookViewId="0">
      <selection activeCell="D11" sqref="D11"/>
    </sheetView>
  </sheetViews>
  <sheetFormatPr defaultRowHeight="13.2" x14ac:dyDescent="0.25"/>
  <cols>
    <col min="1" max="1" width="13.33203125" bestFit="1" customWidth="1"/>
    <col min="2" max="3" width="13.109375" bestFit="1" customWidth="1"/>
    <col min="6" max="6" width="13.33203125" bestFit="1" customWidth="1"/>
    <col min="7" max="7" width="17.77734375" bestFit="1" customWidth="1"/>
    <col min="11" max="11" width="13.33203125" bestFit="1" customWidth="1"/>
    <col min="12" max="12" width="13.88671875" bestFit="1" customWidth="1"/>
  </cols>
  <sheetData>
    <row r="3" spans="1:12" x14ac:dyDescent="0.25">
      <c r="A3" s="19" t="s">
        <v>67</v>
      </c>
      <c r="B3" t="s">
        <v>70</v>
      </c>
      <c r="F3" s="19" t="s">
        <v>67</v>
      </c>
      <c r="G3" t="s">
        <v>71</v>
      </c>
      <c r="K3" s="19" t="s">
        <v>67</v>
      </c>
      <c r="L3" t="s">
        <v>72</v>
      </c>
    </row>
    <row r="4" spans="1:12" x14ac:dyDescent="0.25">
      <c r="A4" s="20" t="s">
        <v>10</v>
      </c>
      <c r="B4" s="21">
        <v>0.15749201724569226</v>
      </c>
      <c r="F4" s="20" t="s">
        <v>10</v>
      </c>
      <c r="G4" s="21">
        <v>0.17126399752419325</v>
      </c>
      <c r="K4" s="20" t="s">
        <v>10</v>
      </c>
      <c r="L4" s="21">
        <v>0.14707354432291331</v>
      </c>
    </row>
    <row r="5" spans="1:12" x14ac:dyDescent="0.25">
      <c r="A5" s="20" t="s">
        <v>14</v>
      </c>
      <c r="B5" s="21">
        <v>2.7921246633999912E-2</v>
      </c>
      <c r="F5" s="20" t="s">
        <v>14</v>
      </c>
      <c r="G5" s="21">
        <v>0.16017547091262482</v>
      </c>
      <c r="K5" s="20" t="s">
        <v>14</v>
      </c>
      <c r="L5" s="21">
        <v>0.19700343019869265</v>
      </c>
    </row>
    <row r="6" spans="1:12" x14ac:dyDescent="0.25">
      <c r="A6" s="20" t="s">
        <v>7</v>
      </c>
      <c r="B6" s="21">
        <v>0.69318265424741388</v>
      </c>
      <c r="F6" s="20" t="s">
        <v>7</v>
      </c>
      <c r="G6" s="21">
        <v>0.39676839483254539</v>
      </c>
      <c r="K6" s="20" t="s">
        <v>7</v>
      </c>
      <c r="L6" s="21">
        <v>0.28159773908916358</v>
      </c>
    </row>
    <row r="7" spans="1:12" x14ac:dyDescent="0.25">
      <c r="A7" s="20" t="s">
        <v>17</v>
      </c>
      <c r="B7" s="21">
        <v>0.12140408187289395</v>
      </c>
      <c r="F7" s="20" t="s">
        <v>17</v>
      </c>
      <c r="G7" s="21">
        <v>0.27179213673063651</v>
      </c>
      <c r="K7" s="20" t="s">
        <v>17</v>
      </c>
      <c r="L7" s="21">
        <v>0.37432528638923046</v>
      </c>
    </row>
    <row r="8" spans="1:12" x14ac:dyDescent="0.25">
      <c r="A8" s="20" t="s">
        <v>68</v>
      </c>
      <c r="B8" s="21">
        <v>1</v>
      </c>
      <c r="F8" s="20" t="s">
        <v>68</v>
      </c>
      <c r="G8" s="21">
        <v>1</v>
      </c>
      <c r="K8" s="20" t="s">
        <v>68</v>
      </c>
      <c r="L8" s="21">
        <v>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C3076-22C4-4C42-A9A1-6B6F7418EDD9}">
  <dimension ref="A4:J9"/>
  <sheetViews>
    <sheetView workbookViewId="0">
      <selection activeCell="L10" sqref="L10"/>
    </sheetView>
  </sheetViews>
  <sheetFormatPr defaultRowHeight="13.2" x14ac:dyDescent="0.25"/>
  <cols>
    <col min="1" max="1" width="13.33203125" bestFit="1" customWidth="1"/>
    <col min="2" max="3" width="13.109375" bestFit="1" customWidth="1"/>
    <col min="5" max="5" width="14.33203125" bestFit="1" customWidth="1"/>
    <col min="6" max="6" width="17.77734375" bestFit="1" customWidth="1"/>
    <col min="9" max="9" width="13.33203125" bestFit="1" customWidth="1"/>
    <col min="10" max="11" width="13.88671875" bestFit="1" customWidth="1"/>
  </cols>
  <sheetData>
    <row r="4" spans="1:10" x14ac:dyDescent="0.25">
      <c r="A4" s="19" t="s">
        <v>67</v>
      </c>
      <c r="B4" t="s">
        <v>70</v>
      </c>
      <c r="E4" s="19" t="s">
        <v>67</v>
      </c>
      <c r="F4" t="s">
        <v>71</v>
      </c>
      <c r="I4" s="19" t="s">
        <v>67</v>
      </c>
      <c r="J4" t="s">
        <v>72</v>
      </c>
    </row>
    <row r="5" spans="1:10" x14ac:dyDescent="0.25">
      <c r="A5" s="20" t="s">
        <v>25</v>
      </c>
      <c r="B5" s="28">
        <v>8056</v>
      </c>
      <c r="E5" s="20" t="s">
        <v>8</v>
      </c>
      <c r="F5" s="28">
        <v>2052230</v>
      </c>
      <c r="I5" s="20" t="s">
        <v>18</v>
      </c>
      <c r="J5" s="28">
        <v>25093</v>
      </c>
    </row>
    <row r="6" spans="1:10" x14ac:dyDescent="0.25">
      <c r="A6" s="20" t="s">
        <v>26</v>
      </c>
      <c r="B6" s="28">
        <v>69258</v>
      </c>
      <c r="E6" s="20" t="s">
        <v>25</v>
      </c>
      <c r="F6" s="28">
        <v>2945415</v>
      </c>
      <c r="I6" s="20" t="s">
        <v>25</v>
      </c>
      <c r="J6" s="28">
        <v>38143</v>
      </c>
    </row>
    <row r="7" spans="1:10" x14ac:dyDescent="0.25">
      <c r="A7" s="20" t="s">
        <v>30</v>
      </c>
      <c r="B7" s="28">
        <v>15866</v>
      </c>
      <c r="E7" s="20" t="s">
        <v>26</v>
      </c>
      <c r="F7" s="28">
        <v>4950281</v>
      </c>
      <c r="I7" s="20" t="s">
        <v>26</v>
      </c>
      <c r="J7" s="28">
        <v>35685</v>
      </c>
    </row>
    <row r="8" spans="1:10" x14ac:dyDescent="0.25">
      <c r="A8" s="20" t="s">
        <v>40</v>
      </c>
      <c r="B8" s="28">
        <v>9751</v>
      </c>
      <c r="E8" s="20" t="s">
        <v>30</v>
      </c>
      <c r="F8" s="28">
        <v>6466913</v>
      </c>
      <c r="I8" s="20" t="s">
        <v>30</v>
      </c>
      <c r="J8" s="28">
        <v>140565</v>
      </c>
    </row>
    <row r="9" spans="1:10" x14ac:dyDescent="0.25">
      <c r="A9" s="20" t="s">
        <v>45</v>
      </c>
      <c r="B9" s="28">
        <v>8031</v>
      </c>
      <c r="E9" s="20" t="s">
        <v>40</v>
      </c>
      <c r="F9" s="28">
        <v>2668001</v>
      </c>
      <c r="I9" s="20" t="s">
        <v>40</v>
      </c>
      <c r="J9" s="28">
        <v>36273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8FE9-882F-492E-8224-67B4F51B5AB2}">
  <dimension ref="A3:J23"/>
  <sheetViews>
    <sheetView showGridLines="0" workbookViewId="0">
      <selection activeCell="L15" sqref="L15"/>
    </sheetView>
  </sheetViews>
  <sheetFormatPr defaultRowHeight="13.2" x14ac:dyDescent="0.25"/>
  <cols>
    <col min="1" max="1" width="13.33203125" bestFit="1" customWidth="1"/>
    <col min="2" max="2" width="17.77734375" bestFit="1" customWidth="1"/>
    <col min="4" max="4" width="13.33203125" bestFit="1" customWidth="1"/>
    <col min="5" max="6" width="13.109375" bestFit="1" customWidth="1"/>
    <col min="7" max="7" width="13.33203125" bestFit="1" customWidth="1"/>
    <col min="8" max="9" width="13.88671875" bestFit="1" customWidth="1"/>
    <col min="10" max="11" width="17.77734375" bestFit="1" customWidth="1"/>
    <col min="12" max="12" width="13.88671875" bestFit="1" customWidth="1"/>
    <col min="13" max="13" width="13.109375" bestFit="1" customWidth="1"/>
    <col min="14" max="14" width="17.21875" bestFit="1" customWidth="1"/>
    <col min="15" max="114" width="17.77734375" bestFit="1" customWidth="1"/>
    <col min="115" max="116" width="22.77734375" bestFit="1" customWidth="1"/>
    <col min="117" max="117" width="18.88671875" bestFit="1" customWidth="1"/>
    <col min="118" max="119" width="22.44140625" bestFit="1" customWidth="1"/>
    <col min="120" max="121" width="17.77734375" bestFit="1" customWidth="1"/>
    <col min="122" max="123" width="22.44140625" bestFit="1" customWidth="1"/>
    <col min="124" max="125" width="17.77734375" bestFit="1" customWidth="1"/>
    <col min="126" max="127" width="22.44140625" bestFit="1" customWidth="1"/>
    <col min="128" max="129" width="17.77734375" bestFit="1" customWidth="1"/>
    <col min="130" max="131" width="22.44140625" bestFit="1" customWidth="1"/>
    <col min="132" max="133" width="17.77734375" bestFit="1" customWidth="1"/>
    <col min="134" max="135" width="22.44140625" bestFit="1" customWidth="1"/>
    <col min="136" max="137" width="17.77734375" bestFit="1" customWidth="1"/>
    <col min="138" max="139" width="22.44140625" bestFit="1" customWidth="1"/>
    <col min="140" max="141" width="17.77734375" bestFit="1" customWidth="1"/>
    <col min="142" max="143" width="22.44140625" bestFit="1" customWidth="1"/>
    <col min="144" max="145" width="17.77734375" bestFit="1" customWidth="1"/>
    <col min="146" max="147" width="23.44140625" bestFit="1" customWidth="1"/>
    <col min="148" max="149" width="17.77734375" bestFit="1" customWidth="1"/>
    <col min="150" max="151" width="23.44140625" bestFit="1" customWidth="1"/>
    <col min="152" max="153" width="22.77734375" bestFit="1" customWidth="1"/>
  </cols>
  <sheetData>
    <row r="3" spans="1:10" x14ac:dyDescent="0.25">
      <c r="A3" s="19" t="s">
        <v>67</v>
      </c>
      <c r="B3" t="s">
        <v>69</v>
      </c>
      <c r="D3" s="19" t="s">
        <v>67</v>
      </c>
      <c r="E3" t="s">
        <v>70</v>
      </c>
      <c r="G3" s="19" t="s">
        <v>67</v>
      </c>
      <c r="H3" t="s">
        <v>71</v>
      </c>
    </row>
    <row r="4" spans="1:10" x14ac:dyDescent="0.25">
      <c r="A4" s="20" t="s">
        <v>10</v>
      </c>
      <c r="B4" s="28">
        <v>5884786</v>
      </c>
      <c r="D4" s="20" t="s">
        <v>10</v>
      </c>
      <c r="E4" s="28">
        <v>21406</v>
      </c>
      <c r="G4" s="20" t="s">
        <v>10</v>
      </c>
      <c r="H4" s="28">
        <v>5795207</v>
      </c>
    </row>
    <row r="5" spans="1:10" x14ac:dyDescent="0.25">
      <c r="A5" s="20" t="s">
        <v>14</v>
      </c>
      <c r="B5" s="28">
        <v>5515107</v>
      </c>
      <c r="D5" s="20" t="s">
        <v>14</v>
      </c>
      <c r="E5" s="28">
        <v>3795</v>
      </c>
      <c r="G5" s="20" t="s">
        <v>14</v>
      </c>
      <c r="H5" s="28">
        <v>5419995</v>
      </c>
    </row>
    <row r="6" spans="1:10" x14ac:dyDescent="0.25">
      <c r="A6" s="20" t="s">
        <v>7</v>
      </c>
      <c r="B6" s="28">
        <v>13650538</v>
      </c>
      <c r="D6" s="20" t="s">
        <v>7</v>
      </c>
      <c r="E6" s="28">
        <v>94216</v>
      </c>
      <c r="G6" s="20" t="s">
        <v>7</v>
      </c>
      <c r="H6" s="28">
        <v>13425793</v>
      </c>
    </row>
    <row r="7" spans="1:10" x14ac:dyDescent="0.25">
      <c r="A7" s="20" t="s">
        <v>17</v>
      </c>
      <c r="B7" s="28">
        <v>9386876</v>
      </c>
      <c r="D7" s="20" t="s">
        <v>17</v>
      </c>
      <c r="E7" s="28">
        <v>16501</v>
      </c>
      <c r="G7" s="20" t="s">
        <v>17</v>
      </c>
      <c r="H7" s="28">
        <v>9196864</v>
      </c>
    </row>
    <row r="8" spans="1:10" x14ac:dyDescent="0.25">
      <c r="A8" s="20" t="s">
        <v>68</v>
      </c>
      <c r="B8" s="28">
        <v>34437307</v>
      </c>
      <c r="D8" s="20" t="s">
        <v>68</v>
      </c>
      <c r="E8" s="28">
        <v>135918</v>
      </c>
      <c r="G8" s="20" t="s">
        <v>68</v>
      </c>
      <c r="H8" s="28">
        <v>33837859</v>
      </c>
    </row>
    <row r="11" spans="1:10" ht="13.8" x14ac:dyDescent="0.25">
      <c r="B11" s="24">
        <v>34437307</v>
      </c>
      <c r="E11" s="25">
        <v>135918</v>
      </c>
      <c r="H11" s="25">
        <v>33837859</v>
      </c>
      <c r="J11" s="27">
        <f>H11</f>
        <v>33837859</v>
      </c>
    </row>
    <row r="13" spans="1:10" x14ac:dyDescent="0.25">
      <c r="B13" s="26">
        <f>B11</f>
        <v>34437307</v>
      </c>
      <c r="E13" s="26">
        <f>E11</f>
        <v>135918</v>
      </c>
    </row>
    <row r="15" spans="1:10" x14ac:dyDescent="0.25">
      <c r="G15" s="19" t="s">
        <v>67</v>
      </c>
      <c r="H15" t="s">
        <v>72</v>
      </c>
    </row>
    <row r="16" spans="1:10" x14ac:dyDescent="0.25">
      <c r="G16" s="20" t="s">
        <v>10</v>
      </c>
      <c r="H16" s="28">
        <v>68173</v>
      </c>
    </row>
    <row r="17" spans="7:10" x14ac:dyDescent="0.25">
      <c r="G17" s="20" t="s">
        <v>14</v>
      </c>
      <c r="H17" s="28">
        <v>91317</v>
      </c>
    </row>
    <row r="18" spans="7:10" x14ac:dyDescent="0.25">
      <c r="G18" s="20" t="s">
        <v>7</v>
      </c>
      <c r="H18" s="28">
        <v>130529</v>
      </c>
    </row>
    <row r="19" spans="7:10" x14ac:dyDescent="0.25">
      <c r="G19" s="20" t="s">
        <v>17</v>
      </c>
      <c r="H19" s="28">
        <v>173511</v>
      </c>
    </row>
    <row r="20" spans="7:10" x14ac:dyDescent="0.25">
      <c r="G20" s="20" t="s">
        <v>68</v>
      </c>
      <c r="H20" s="28">
        <v>463530</v>
      </c>
    </row>
    <row r="23" spans="7:10" ht="13.8" x14ac:dyDescent="0.25">
      <c r="H23" s="25">
        <v>463530</v>
      </c>
      <c r="J23" s="27">
        <f>H23</f>
        <v>463530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06"/>
  <sheetViews>
    <sheetView zoomScaleNormal="100" workbookViewId="0">
      <selection activeCell="J8" sqref="J8"/>
    </sheetView>
  </sheetViews>
  <sheetFormatPr defaultColWidth="12.6640625" defaultRowHeight="15.75" customHeight="1" x14ac:dyDescent="0.25"/>
  <cols>
    <col min="1" max="1" width="19.21875" bestFit="1" customWidth="1"/>
    <col min="3" max="3" width="12.6640625" style="15"/>
    <col min="4" max="4" width="11.88671875" style="15" customWidth="1"/>
    <col min="5" max="5" width="12.77734375" style="15" bestFit="1" customWidth="1"/>
    <col min="6" max="6" width="12.6640625" style="15"/>
    <col min="7" max="7" width="12.5546875" style="15" bestFit="1" customWidth="1"/>
    <col min="8" max="8" width="23.5546875" style="15" bestFit="1" customWidth="1"/>
    <col min="11" max="11" width="34.88671875" bestFit="1" customWidth="1"/>
  </cols>
  <sheetData>
    <row r="1" spans="1:11" ht="15.75" customHeight="1" x14ac:dyDescent="0.35">
      <c r="A1" s="3" t="s">
        <v>0</v>
      </c>
      <c r="B1" s="3" t="s">
        <v>1</v>
      </c>
      <c r="C1" s="18" t="s">
        <v>2</v>
      </c>
      <c r="D1" s="18" t="s">
        <v>3</v>
      </c>
      <c r="E1" s="18" t="s">
        <v>4</v>
      </c>
      <c r="F1" s="18" t="s">
        <v>5</v>
      </c>
      <c r="G1" s="17" t="s">
        <v>54</v>
      </c>
      <c r="H1" s="17" t="s">
        <v>57</v>
      </c>
      <c r="I1" s="1"/>
      <c r="J1" s="1"/>
      <c r="K1" s="1"/>
    </row>
    <row r="2" spans="1:11" ht="15.75" customHeight="1" x14ac:dyDescent="0.3">
      <c r="A2" s="1" t="s">
        <v>6</v>
      </c>
      <c r="B2" s="1" t="s">
        <v>7</v>
      </c>
      <c r="C2" s="5">
        <v>399001</v>
      </c>
      <c r="D2" s="5">
        <v>7</v>
      </c>
      <c r="E2" s="5">
        <v>7534</v>
      </c>
      <c r="F2" s="5">
        <v>129</v>
      </c>
      <c r="G2" s="5">
        <f t="shared" ref="G2:G37" si="0">SUM(D2,E2,F2)</f>
        <v>7670</v>
      </c>
      <c r="H2" s="5" t="str">
        <f t="shared" ref="H2:H37" si="1">IF(G2&lt;AVERAGE(G:G),"Below average","Above average")</f>
        <v>Below average</v>
      </c>
      <c r="I2" s="2"/>
      <c r="J2" s="2"/>
      <c r="K2" s="2"/>
    </row>
    <row r="3" spans="1:11" ht="15.75" customHeight="1" x14ac:dyDescent="0.3">
      <c r="A3" s="1" t="s">
        <v>8</v>
      </c>
      <c r="B3" s="1" t="s">
        <v>7</v>
      </c>
      <c r="C3" s="5">
        <v>91702478</v>
      </c>
      <c r="D3" s="5">
        <v>3128</v>
      </c>
      <c r="E3" s="5">
        <v>2052230</v>
      </c>
      <c r="F3" s="5">
        <v>14412</v>
      </c>
      <c r="G3" s="5">
        <f t="shared" si="0"/>
        <v>2069770</v>
      </c>
      <c r="H3" s="5" t="str">
        <f t="shared" si="1"/>
        <v>Above average</v>
      </c>
      <c r="I3" s="2"/>
    </row>
    <row r="4" spans="1:11" ht="15.75" customHeight="1" x14ac:dyDescent="0.3">
      <c r="A4" s="1" t="s">
        <v>9</v>
      </c>
      <c r="B4" s="1" t="s">
        <v>10</v>
      </c>
      <c r="C4" s="5">
        <v>1711947</v>
      </c>
      <c r="D4" s="5">
        <v>42</v>
      </c>
      <c r="E4" s="5">
        <v>54894</v>
      </c>
      <c r="F4" s="5">
        <v>280</v>
      </c>
      <c r="G4" s="5">
        <f t="shared" si="0"/>
        <v>55216</v>
      </c>
      <c r="H4" s="5" t="str">
        <f t="shared" si="1"/>
        <v>Below average</v>
      </c>
      <c r="I4" s="2"/>
    </row>
    <row r="5" spans="1:11" ht="15.75" customHeight="1" x14ac:dyDescent="0.3">
      <c r="A5" s="1" t="s">
        <v>11</v>
      </c>
      <c r="B5" s="1" t="s">
        <v>10</v>
      </c>
      <c r="C5" s="5">
        <v>35998752</v>
      </c>
      <c r="D5" s="5">
        <v>3272</v>
      </c>
      <c r="E5" s="5">
        <v>604465</v>
      </c>
      <c r="F5" s="5">
        <v>6047</v>
      </c>
      <c r="G5" s="5">
        <f t="shared" si="0"/>
        <v>613784</v>
      </c>
      <c r="H5" s="5" t="str">
        <f t="shared" si="1"/>
        <v>Below average</v>
      </c>
      <c r="I5" s="2"/>
    </row>
    <row r="6" spans="1:11" ht="15.75" customHeight="1" x14ac:dyDescent="0.3">
      <c r="A6" s="1" t="s">
        <v>12</v>
      </c>
      <c r="B6" s="1" t="s">
        <v>10</v>
      </c>
      <c r="C6" s="5">
        <v>128500364</v>
      </c>
      <c r="D6" s="5">
        <v>29</v>
      </c>
      <c r="E6" s="5">
        <v>716462</v>
      </c>
      <c r="F6" s="5">
        <v>9662</v>
      </c>
      <c r="G6" s="5">
        <f t="shared" si="0"/>
        <v>726153</v>
      </c>
      <c r="H6" s="5" t="str">
        <f t="shared" si="1"/>
        <v>Below average</v>
      </c>
      <c r="I6" s="2"/>
    </row>
    <row r="7" spans="1:11" ht="15.75" customHeight="1" x14ac:dyDescent="0.3">
      <c r="A7" s="1" t="s">
        <v>13</v>
      </c>
      <c r="B7" s="1" t="s">
        <v>14</v>
      </c>
      <c r="C7" s="5">
        <v>1158040</v>
      </c>
      <c r="D7" s="5">
        <v>24</v>
      </c>
      <c r="E7" s="5">
        <v>64536</v>
      </c>
      <c r="F7" s="5">
        <v>820</v>
      </c>
      <c r="G7" s="5">
        <f t="shared" si="0"/>
        <v>65380</v>
      </c>
      <c r="H7" s="5" t="str">
        <f t="shared" si="1"/>
        <v>Below average</v>
      </c>
      <c r="I7" s="15"/>
    </row>
    <row r="8" spans="1:11" ht="15.75" customHeight="1" x14ac:dyDescent="0.3">
      <c r="A8" s="1" t="s">
        <v>15</v>
      </c>
      <c r="B8" s="1" t="s">
        <v>10</v>
      </c>
      <c r="C8" s="5">
        <v>32199722</v>
      </c>
      <c r="D8" s="5">
        <v>230</v>
      </c>
      <c r="E8" s="5">
        <v>992508</v>
      </c>
      <c r="F8" s="5">
        <v>13588</v>
      </c>
      <c r="G8" s="5">
        <f t="shared" si="0"/>
        <v>1006326</v>
      </c>
      <c r="H8" s="5" t="str">
        <f t="shared" si="1"/>
        <v>Above average</v>
      </c>
      <c r="I8" s="2"/>
    </row>
    <row r="9" spans="1:11" ht="15.75" customHeight="1" x14ac:dyDescent="0.3">
      <c r="A9" s="1" t="s">
        <v>16</v>
      </c>
      <c r="B9" s="1" t="s">
        <v>17</v>
      </c>
      <c r="C9" s="5">
        <v>773997</v>
      </c>
      <c r="D9" s="5">
        <v>0</v>
      </c>
      <c r="E9" s="5">
        <v>10678</v>
      </c>
      <c r="F9" s="5">
        <v>4</v>
      </c>
      <c r="G9" s="5">
        <f t="shared" si="0"/>
        <v>10682</v>
      </c>
      <c r="H9" s="5" t="str">
        <f t="shared" si="1"/>
        <v>Below average</v>
      </c>
      <c r="I9" s="2"/>
    </row>
    <row r="10" spans="1:11" ht="15.75" customHeight="1" x14ac:dyDescent="0.3">
      <c r="A10" s="1" t="s">
        <v>18</v>
      </c>
      <c r="B10" s="1" t="s">
        <v>14</v>
      </c>
      <c r="C10" s="5">
        <v>19301096</v>
      </c>
      <c r="D10" s="5">
        <v>361</v>
      </c>
      <c r="E10" s="5">
        <v>1414934</v>
      </c>
      <c r="F10" s="5">
        <v>25093</v>
      </c>
      <c r="G10" s="5">
        <f t="shared" si="0"/>
        <v>1440388</v>
      </c>
      <c r="H10" s="5" t="str">
        <f t="shared" si="1"/>
        <v>Above average</v>
      </c>
      <c r="I10" s="2"/>
    </row>
    <row r="11" spans="1:11" ht="15.75" customHeight="1" x14ac:dyDescent="0.3">
      <c r="A11" s="1" t="s">
        <v>19</v>
      </c>
      <c r="B11" s="1" t="s">
        <v>17</v>
      </c>
      <c r="C11" s="5">
        <v>1521992</v>
      </c>
      <c r="D11" s="5">
        <v>263</v>
      </c>
      <c r="E11" s="5">
        <v>174830</v>
      </c>
      <c r="F11" s="5">
        <v>3374</v>
      </c>
      <c r="G11" s="5">
        <f t="shared" si="0"/>
        <v>178467</v>
      </c>
      <c r="H11" s="5" t="str">
        <f t="shared" si="1"/>
        <v>Below average</v>
      </c>
      <c r="I11" s="2"/>
      <c r="J11" s="15"/>
    </row>
    <row r="12" spans="1:11" ht="15.75" customHeight="1" x14ac:dyDescent="0.3">
      <c r="A12" s="1" t="s">
        <v>20</v>
      </c>
      <c r="B12" s="1" t="s">
        <v>17</v>
      </c>
      <c r="C12" s="5">
        <v>70400153</v>
      </c>
      <c r="D12" s="5">
        <v>226</v>
      </c>
      <c r="E12" s="5">
        <v>816608</v>
      </c>
      <c r="F12" s="5">
        <v>10090</v>
      </c>
      <c r="G12" s="5">
        <f t="shared" si="0"/>
        <v>826924</v>
      </c>
      <c r="H12" s="5" t="str">
        <f t="shared" si="1"/>
        <v>Below average</v>
      </c>
      <c r="I12" s="2"/>
    </row>
    <row r="13" spans="1:11" ht="15.75" customHeight="1" x14ac:dyDescent="0.3">
      <c r="A13" s="1" t="s">
        <v>21</v>
      </c>
      <c r="B13" s="1" t="s">
        <v>14</v>
      </c>
      <c r="C13" s="5">
        <v>28900667</v>
      </c>
      <c r="D13" s="5">
        <v>140</v>
      </c>
      <c r="E13" s="5">
        <v>761230</v>
      </c>
      <c r="F13" s="5">
        <v>10050</v>
      </c>
      <c r="G13" s="5">
        <f t="shared" si="0"/>
        <v>771420</v>
      </c>
      <c r="H13" s="5" t="str">
        <f t="shared" si="1"/>
        <v>Below average</v>
      </c>
      <c r="I13" s="2"/>
    </row>
    <row r="14" spans="1:11" ht="15.75" customHeight="1" x14ac:dyDescent="0.3">
      <c r="A14" s="1" t="s">
        <v>22</v>
      </c>
      <c r="B14" s="1" t="s">
        <v>14</v>
      </c>
      <c r="C14" s="5">
        <v>7503010</v>
      </c>
      <c r="D14" s="5">
        <v>1100</v>
      </c>
      <c r="E14" s="5">
        <v>220800</v>
      </c>
      <c r="F14" s="5">
        <v>3812</v>
      </c>
      <c r="G14" s="5">
        <f t="shared" si="0"/>
        <v>225712</v>
      </c>
      <c r="H14" s="5" t="str">
        <f t="shared" si="1"/>
        <v>Below average</v>
      </c>
      <c r="I14" s="2"/>
    </row>
    <row r="15" spans="1:11" ht="15.75" customHeight="1" x14ac:dyDescent="0.3">
      <c r="A15" s="1" t="s">
        <v>23</v>
      </c>
      <c r="B15" s="1" t="s">
        <v>14</v>
      </c>
      <c r="C15" s="5">
        <v>14999397</v>
      </c>
      <c r="D15" s="5">
        <v>1450</v>
      </c>
      <c r="E15" s="5">
        <v>328108</v>
      </c>
      <c r="F15" s="5">
        <v>4448</v>
      </c>
      <c r="G15" s="5">
        <f t="shared" si="0"/>
        <v>334006</v>
      </c>
      <c r="H15" s="5" t="str">
        <f t="shared" si="1"/>
        <v>Below average</v>
      </c>
      <c r="I15" s="2"/>
    </row>
    <row r="16" spans="1:11" ht="15.75" customHeight="1" x14ac:dyDescent="0.3">
      <c r="A16" s="1" t="s">
        <v>24</v>
      </c>
      <c r="B16" s="1" t="s">
        <v>10</v>
      </c>
      <c r="C16" s="5">
        <v>40100376</v>
      </c>
      <c r="D16" s="5">
        <v>141</v>
      </c>
      <c r="E16" s="5">
        <v>343713</v>
      </c>
      <c r="F16" s="5">
        <v>5138</v>
      </c>
      <c r="G16" s="5">
        <f t="shared" si="0"/>
        <v>348992</v>
      </c>
      <c r="H16" s="5" t="str">
        <f t="shared" si="1"/>
        <v>Below average</v>
      </c>
      <c r="I16" s="2"/>
    </row>
    <row r="17" spans="1:11" ht="15.75" customHeight="1" x14ac:dyDescent="0.3">
      <c r="A17" s="1" t="s">
        <v>25</v>
      </c>
      <c r="B17" s="1" t="s">
        <v>7</v>
      </c>
      <c r="C17" s="5">
        <v>69599762</v>
      </c>
      <c r="D17" s="5">
        <v>8056</v>
      </c>
      <c r="E17" s="5">
        <v>2945415</v>
      </c>
      <c r="F17" s="5">
        <v>38143</v>
      </c>
      <c r="G17" s="5">
        <f t="shared" si="0"/>
        <v>2991614</v>
      </c>
      <c r="H17" s="5" t="str">
        <f t="shared" si="1"/>
        <v>Above average</v>
      </c>
      <c r="I17" s="2"/>
    </row>
    <row r="18" spans="1:11" ht="15.75" customHeight="1" x14ac:dyDescent="0.3">
      <c r="A18" s="1" t="s">
        <v>26</v>
      </c>
      <c r="B18" s="1" t="s">
        <v>7</v>
      </c>
      <c r="C18" s="5">
        <v>34698876</v>
      </c>
      <c r="D18" s="5">
        <v>69258</v>
      </c>
      <c r="E18" s="5">
        <v>4950281</v>
      </c>
      <c r="F18" s="5">
        <v>35685</v>
      </c>
      <c r="G18" s="5">
        <f t="shared" si="0"/>
        <v>5055224</v>
      </c>
      <c r="H18" s="5" t="str">
        <f t="shared" si="1"/>
        <v>Above average</v>
      </c>
      <c r="I18" s="2"/>
    </row>
    <row r="19" spans="1:11" ht="15.75" customHeight="1" x14ac:dyDescent="0.3">
      <c r="A19" s="1" t="s">
        <v>27</v>
      </c>
      <c r="B19" s="1" t="s">
        <v>14</v>
      </c>
      <c r="C19" s="5">
        <v>290492</v>
      </c>
      <c r="D19" s="5">
        <v>154</v>
      </c>
      <c r="E19" s="5">
        <v>20783</v>
      </c>
      <c r="F19" s="5">
        <v>211</v>
      </c>
      <c r="G19" s="5">
        <f t="shared" si="0"/>
        <v>21148</v>
      </c>
      <c r="H19" s="5" t="str">
        <f t="shared" si="1"/>
        <v>Below average</v>
      </c>
      <c r="I19" s="2"/>
    </row>
    <row r="20" spans="1:11" ht="15.75" customHeight="1" x14ac:dyDescent="0.3">
      <c r="A20" s="1" t="s">
        <v>28</v>
      </c>
      <c r="B20" s="1" t="s">
        <v>7</v>
      </c>
      <c r="C20" s="5">
        <v>66001</v>
      </c>
      <c r="D20" s="5">
        <v>0</v>
      </c>
      <c r="E20" s="5">
        <v>10314</v>
      </c>
      <c r="F20" s="5">
        <v>51</v>
      </c>
      <c r="G20" s="5">
        <f t="shared" si="0"/>
        <v>10365</v>
      </c>
      <c r="H20" s="5" t="str">
        <f t="shared" si="1"/>
        <v>Below average</v>
      </c>
      <c r="I20" s="2"/>
    </row>
    <row r="21" spans="1:11" ht="15.75" customHeight="1" x14ac:dyDescent="0.3">
      <c r="A21" s="1" t="s">
        <v>29</v>
      </c>
      <c r="B21" s="1" t="s">
        <v>17</v>
      </c>
      <c r="C21" s="5">
        <v>85002417</v>
      </c>
      <c r="D21" s="5">
        <v>75</v>
      </c>
      <c r="E21" s="5">
        <v>782357</v>
      </c>
      <c r="F21" s="5">
        <v>10524</v>
      </c>
      <c r="G21" s="5">
        <f t="shared" si="0"/>
        <v>792956</v>
      </c>
      <c r="H21" s="5" t="str">
        <f t="shared" si="1"/>
        <v>Below average</v>
      </c>
      <c r="I21" s="2"/>
    </row>
    <row r="22" spans="1:11" ht="15.75" customHeight="1" x14ac:dyDescent="0.3">
      <c r="A22" s="1" t="s">
        <v>30</v>
      </c>
      <c r="B22" s="1" t="s">
        <v>17</v>
      </c>
      <c r="C22" s="5">
        <v>124904071</v>
      </c>
      <c r="D22" s="5">
        <v>15866</v>
      </c>
      <c r="E22" s="5">
        <v>6466913</v>
      </c>
      <c r="F22" s="5">
        <v>140565</v>
      </c>
      <c r="G22" s="5">
        <f t="shared" si="0"/>
        <v>6623344</v>
      </c>
      <c r="H22" s="5" t="str">
        <f t="shared" si="1"/>
        <v>Above average</v>
      </c>
      <c r="I22" s="2"/>
    </row>
    <row r="23" spans="1:11" ht="15.75" customHeight="1" x14ac:dyDescent="0.3">
      <c r="A23" s="1" t="s">
        <v>31</v>
      </c>
      <c r="B23" s="1" t="s">
        <v>10</v>
      </c>
      <c r="C23" s="5">
        <v>3436948</v>
      </c>
      <c r="D23" s="5">
        <v>799</v>
      </c>
      <c r="E23" s="5">
        <v>121687</v>
      </c>
      <c r="F23" s="5">
        <v>1946</v>
      </c>
      <c r="G23" s="5">
        <f t="shared" si="0"/>
        <v>124432</v>
      </c>
      <c r="H23" s="5" t="str">
        <f t="shared" si="1"/>
        <v>Below average</v>
      </c>
      <c r="I23" s="2"/>
    </row>
    <row r="24" spans="1:11" ht="15.75" customHeight="1" x14ac:dyDescent="0.3">
      <c r="A24" s="1" t="s">
        <v>32</v>
      </c>
      <c r="B24" s="1" t="s">
        <v>10</v>
      </c>
      <c r="C24" s="5">
        <v>3772103</v>
      </c>
      <c r="D24" s="5">
        <v>277</v>
      </c>
      <c r="E24" s="5">
        <v>82274</v>
      </c>
      <c r="F24" s="5">
        <v>1462</v>
      </c>
      <c r="G24" s="5">
        <f t="shared" si="0"/>
        <v>84013</v>
      </c>
      <c r="H24" s="5" t="str">
        <f t="shared" si="1"/>
        <v>Below average</v>
      </c>
      <c r="I24" s="2"/>
    </row>
    <row r="25" spans="1:11" ht="15.75" customHeight="1" x14ac:dyDescent="0.3">
      <c r="A25" s="1" t="s">
        <v>33</v>
      </c>
      <c r="B25" s="1" t="s">
        <v>10</v>
      </c>
      <c r="C25" s="5">
        <v>1308967</v>
      </c>
      <c r="D25" s="5">
        <v>5651</v>
      </c>
      <c r="E25" s="5">
        <v>122494</v>
      </c>
      <c r="F25" s="5">
        <v>459</v>
      </c>
      <c r="G25" s="5">
        <f t="shared" si="0"/>
        <v>128604</v>
      </c>
      <c r="H25" s="5" t="str">
        <f t="shared" si="1"/>
        <v>Below average</v>
      </c>
      <c r="I25" s="2"/>
    </row>
    <row r="26" spans="1:11" ht="15.75" customHeight="1" x14ac:dyDescent="0.3">
      <c r="A26" s="1" t="s">
        <v>34</v>
      </c>
      <c r="B26" s="1" t="s">
        <v>10</v>
      </c>
      <c r="C26" s="5">
        <v>2073074</v>
      </c>
      <c r="D26" s="5">
        <v>163</v>
      </c>
      <c r="E26" s="5">
        <v>31123</v>
      </c>
      <c r="F26" s="5">
        <v>692</v>
      </c>
      <c r="G26" s="5">
        <f t="shared" si="0"/>
        <v>31978</v>
      </c>
      <c r="H26" s="5" t="str">
        <f t="shared" si="1"/>
        <v>Below average</v>
      </c>
      <c r="I26" s="2"/>
    </row>
    <row r="27" spans="1:11" ht="15.75" customHeight="1" x14ac:dyDescent="0.3">
      <c r="A27" s="1" t="s">
        <v>35</v>
      </c>
      <c r="B27" s="1" t="s">
        <v>10</v>
      </c>
      <c r="C27" s="5">
        <v>47099270</v>
      </c>
      <c r="D27" s="5">
        <v>2534</v>
      </c>
      <c r="E27" s="5">
        <v>1034300</v>
      </c>
      <c r="F27" s="5">
        <v>8375</v>
      </c>
      <c r="G27" s="5">
        <f t="shared" si="0"/>
        <v>1045209</v>
      </c>
      <c r="H27" s="5" t="str">
        <f t="shared" si="1"/>
        <v>Above average</v>
      </c>
      <c r="I27" s="2"/>
    </row>
    <row r="28" spans="1:11" ht="15.75" customHeight="1" x14ac:dyDescent="0.3">
      <c r="A28" s="1" t="s">
        <v>36</v>
      </c>
      <c r="B28" s="1" t="s">
        <v>7</v>
      </c>
      <c r="C28" s="5">
        <v>1646050</v>
      </c>
      <c r="D28" s="5">
        <v>275</v>
      </c>
      <c r="E28" s="5">
        <v>126263</v>
      </c>
      <c r="F28" s="5">
        <v>1863</v>
      </c>
      <c r="G28" s="5">
        <f t="shared" si="0"/>
        <v>128401</v>
      </c>
      <c r="H28" s="5" t="str">
        <f t="shared" si="1"/>
        <v>Below average</v>
      </c>
      <c r="I28" s="2"/>
    </row>
    <row r="29" spans="1:11" ht="15.75" customHeight="1" x14ac:dyDescent="0.3">
      <c r="A29" s="1" t="s">
        <v>37</v>
      </c>
      <c r="B29" s="1" t="s">
        <v>14</v>
      </c>
      <c r="C29" s="5">
        <v>30501026</v>
      </c>
      <c r="D29" s="5">
        <v>318</v>
      </c>
      <c r="E29" s="5">
        <v>585889</v>
      </c>
      <c r="F29" s="5">
        <v>16571</v>
      </c>
      <c r="G29" s="5">
        <f t="shared" si="0"/>
        <v>602778</v>
      </c>
      <c r="H29" s="5" t="str">
        <f t="shared" si="1"/>
        <v>Below average</v>
      </c>
      <c r="I29" s="2"/>
      <c r="J29" s="2"/>
      <c r="K29" s="2"/>
    </row>
    <row r="30" spans="1:11" ht="15.75" customHeight="1" x14ac:dyDescent="0.3">
      <c r="A30" s="1" t="s">
        <v>38</v>
      </c>
      <c r="B30" s="1" t="s">
        <v>17</v>
      </c>
      <c r="C30" s="5">
        <v>79502477</v>
      </c>
      <c r="D30" s="5">
        <v>71</v>
      </c>
      <c r="E30" s="5">
        <v>945478</v>
      </c>
      <c r="F30" s="5">
        <v>8954</v>
      </c>
      <c r="G30" s="5">
        <f t="shared" si="0"/>
        <v>954503</v>
      </c>
      <c r="H30" s="5" t="str">
        <f t="shared" si="1"/>
        <v>Below average</v>
      </c>
      <c r="I30" s="2"/>
      <c r="J30" s="2"/>
      <c r="K30" s="2"/>
    </row>
    <row r="31" spans="1:11" ht="15.75" customHeight="1" x14ac:dyDescent="0.3">
      <c r="A31" s="1" t="s">
        <v>39</v>
      </c>
      <c r="B31" s="1" t="s">
        <v>10</v>
      </c>
      <c r="C31" s="5">
        <v>658019</v>
      </c>
      <c r="D31" s="5">
        <v>121</v>
      </c>
      <c r="E31" s="5">
        <v>31575</v>
      </c>
      <c r="F31" s="5">
        <v>400</v>
      </c>
      <c r="G31" s="5">
        <f t="shared" si="0"/>
        <v>32096</v>
      </c>
      <c r="H31" s="5" t="str">
        <f t="shared" si="1"/>
        <v>Below average</v>
      </c>
      <c r="I31" s="2"/>
      <c r="J31" s="2"/>
      <c r="K31" s="2"/>
    </row>
    <row r="32" spans="1:11" ht="14.4" x14ac:dyDescent="0.3">
      <c r="A32" s="1" t="s">
        <v>40</v>
      </c>
      <c r="B32" s="1" t="s">
        <v>7</v>
      </c>
      <c r="C32" s="5">
        <v>83697770</v>
      </c>
      <c r="D32" s="5">
        <v>9751</v>
      </c>
      <c r="E32" s="5">
        <v>2668001</v>
      </c>
      <c r="F32" s="5">
        <v>36273</v>
      </c>
      <c r="G32" s="5">
        <f t="shared" si="0"/>
        <v>2714025</v>
      </c>
      <c r="H32" s="5" t="str">
        <f t="shared" si="1"/>
        <v>Above average</v>
      </c>
      <c r="I32" s="2"/>
      <c r="J32" s="2"/>
      <c r="K32" s="2"/>
    </row>
    <row r="33" spans="1:11" ht="14.4" x14ac:dyDescent="0.3">
      <c r="A33" s="1" t="s">
        <v>41</v>
      </c>
      <c r="B33" s="1" t="s">
        <v>7</v>
      </c>
      <c r="C33" s="5">
        <v>38157311</v>
      </c>
      <c r="D33" s="5">
        <v>3741</v>
      </c>
      <c r="E33" s="5">
        <v>665755</v>
      </c>
      <c r="F33" s="5">
        <v>3973</v>
      </c>
      <c r="G33" s="5">
        <f t="shared" si="0"/>
        <v>673469</v>
      </c>
      <c r="H33" s="5" t="str">
        <f t="shared" si="1"/>
        <v>Below average</v>
      </c>
      <c r="I33" s="2"/>
      <c r="J33" s="2"/>
      <c r="K33" s="2"/>
    </row>
    <row r="34" spans="1:11" ht="14.4" x14ac:dyDescent="0.3">
      <c r="A34" s="1" t="s">
        <v>42</v>
      </c>
      <c r="B34" s="1" t="s">
        <v>10</v>
      </c>
      <c r="C34" s="5">
        <v>4184959</v>
      </c>
      <c r="D34" s="5">
        <v>116</v>
      </c>
      <c r="E34" s="5">
        <v>83732</v>
      </c>
      <c r="F34" s="5">
        <v>817</v>
      </c>
      <c r="G34" s="5">
        <f t="shared" si="0"/>
        <v>84665</v>
      </c>
      <c r="H34" s="5" t="str">
        <f t="shared" si="1"/>
        <v>Below average</v>
      </c>
      <c r="I34" s="2"/>
      <c r="J34" s="2"/>
      <c r="K34" s="2"/>
    </row>
    <row r="35" spans="1:11" ht="14.4" x14ac:dyDescent="0.3">
      <c r="A35" s="1" t="s">
        <v>43</v>
      </c>
      <c r="B35" s="1" t="s">
        <v>14</v>
      </c>
      <c r="C35" s="5">
        <v>231502578</v>
      </c>
      <c r="D35" s="5">
        <v>90</v>
      </c>
      <c r="E35" s="5">
        <v>1687262</v>
      </c>
      <c r="F35" s="5">
        <v>22909</v>
      </c>
      <c r="G35" s="5">
        <f t="shared" si="0"/>
        <v>1710261</v>
      </c>
      <c r="H35" s="5" t="str">
        <f t="shared" si="1"/>
        <v>Above average</v>
      </c>
      <c r="I35" s="2"/>
      <c r="J35" s="2"/>
      <c r="K35" s="2"/>
    </row>
    <row r="36" spans="1:11" ht="14.4" x14ac:dyDescent="0.3">
      <c r="A36" s="1" t="s">
        <v>44</v>
      </c>
      <c r="B36" s="1" t="s">
        <v>14</v>
      </c>
      <c r="C36" s="5">
        <v>11700099</v>
      </c>
      <c r="D36" s="5">
        <v>158</v>
      </c>
      <c r="E36" s="5">
        <v>336453</v>
      </c>
      <c r="F36" s="5">
        <v>7403</v>
      </c>
      <c r="G36" s="5">
        <f t="shared" si="0"/>
        <v>344014</v>
      </c>
      <c r="H36" s="5" t="str">
        <f t="shared" si="1"/>
        <v>Below average</v>
      </c>
      <c r="I36" s="2"/>
      <c r="J36" s="2"/>
      <c r="K36" s="2"/>
    </row>
    <row r="37" spans="1:11" ht="14.4" x14ac:dyDescent="0.3">
      <c r="A37" s="1" t="s">
        <v>45</v>
      </c>
      <c r="B37" s="1" t="s">
        <v>10</v>
      </c>
      <c r="C37" s="5">
        <v>100896618</v>
      </c>
      <c r="D37" s="5">
        <v>8031</v>
      </c>
      <c r="E37" s="5">
        <v>1575980</v>
      </c>
      <c r="F37" s="5">
        <v>19307</v>
      </c>
      <c r="G37" s="5">
        <f t="shared" si="0"/>
        <v>1603318</v>
      </c>
      <c r="H37" s="5" t="str">
        <f t="shared" si="1"/>
        <v>Above average</v>
      </c>
      <c r="I37" s="2"/>
      <c r="J37" s="2"/>
      <c r="K37" s="2"/>
    </row>
    <row r="38" spans="1:11" ht="14.4" x14ac:dyDescent="0.3">
      <c r="I38" s="2"/>
      <c r="J38" s="2"/>
      <c r="K38" s="2"/>
    </row>
    <row r="39" spans="1:11" ht="14.4" x14ac:dyDescent="0.3">
      <c r="I39" s="2"/>
      <c r="J39" s="2"/>
      <c r="K39" s="2"/>
    </row>
    <row r="40" spans="1:11" ht="14.4" x14ac:dyDescent="0.3">
      <c r="I40" s="2"/>
      <c r="J40" s="2"/>
      <c r="K40" s="2"/>
    </row>
    <row r="41" spans="1:11" ht="14.4" x14ac:dyDescent="0.3">
      <c r="I41" s="2"/>
      <c r="J41" s="2"/>
      <c r="K41" s="2"/>
    </row>
    <row r="42" spans="1:11" ht="14.4" x14ac:dyDescent="0.3">
      <c r="I42" s="2"/>
      <c r="J42" s="2"/>
      <c r="K42" s="2"/>
    </row>
    <row r="43" spans="1:11" ht="14.4" x14ac:dyDescent="0.3">
      <c r="A43" s="2"/>
      <c r="B43" s="2"/>
      <c r="C43" s="5"/>
      <c r="D43" s="5"/>
      <c r="E43" s="5"/>
      <c r="F43" s="5"/>
      <c r="G43" s="5"/>
      <c r="H43" s="5"/>
      <c r="I43" s="2"/>
      <c r="J43" s="2"/>
      <c r="K43" s="2"/>
    </row>
    <row r="44" spans="1:11" ht="14.4" x14ac:dyDescent="0.3">
      <c r="A44" s="2"/>
      <c r="B44" s="2"/>
      <c r="C44" s="5"/>
      <c r="D44" s="5"/>
      <c r="E44" s="5"/>
      <c r="F44" s="5"/>
      <c r="G44" s="5"/>
      <c r="H44" s="5"/>
      <c r="I44" s="2"/>
      <c r="J44" s="2"/>
      <c r="K44" s="2"/>
    </row>
    <row r="45" spans="1:11" ht="14.4" x14ac:dyDescent="0.3">
      <c r="A45" s="2"/>
      <c r="B45" s="2"/>
      <c r="C45" s="5"/>
      <c r="D45" s="5"/>
      <c r="E45" s="5"/>
      <c r="F45" s="5"/>
      <c r="G45" s="5"/>
      <c r="H45" s="5"/>
      <c r="I45" s="2"/>
      <c r="J45" s="2"/>
      <c r="K45" s="2"/>
    </row>
    <row r="46" spans="1:11" ht="14.4" x14ac:dyDescent="0.3">
      <c r="A46" s="2"/>
      <c r="B46" s="2"/>
      <c r="C46" s="5"/>
      <c r="D46" s="5"/>
      <c r="E46" s="5"/>
      <c r="F46" s="5"/>
      <c r="G46" s="5"/>
      <c r="H46" s="5"/>
      <c r="I46" s="2"/>
      <c r="J46" s="2"/>
      <c r="K46" s="2"/>
    </row>
    <row r="47" spans="1:11" ht="14.4" x14ac:dyDescent="0.3">
      <c r="A47" s="2"/>
      <c r="B47" s="2"/>
      <c r="C47" s="5"/>
      <c r="D47" s="5"/>
      <c r="E47" s="5"/>
      <c r="F47" s="5"/>
      <c r="G47" s="5"/>
      <c r="H47" s="5"/>
      <c r="I47" s="2"/>
      <c r="J47" s="2"/>
      <c r="K47" s="2"/>
    </row>
    <row r="48" spans="1:11" ht="14.4" x14ac:dyDescent="0.3">
      <c r="A48" s="2"/>
      <c r="B48" s="2"/>
      <c r="C48" s="5"/>
      <c r="D48" s="5"/>
      <c r="E48" s="5"/>
      <c r="F48" s="5"/>
      <c r="G48" s="5"/>
      <c r="H48" s="5"/>
      <c r="I48" s="2"/>
      <c r="J48" s="2"/>
      <c r="K48" s="2"/>
    </row>
    <row r="49" spans="1:11" ht="14.4" x14ac:dyDescent="0.3">
      <c r="A49" s="2"/>
      <c r="B49" s="2"/>
      <c r="C49" s="5"/>
      <c r="D49" s="5"/>
      <c r="E49" s="5"/>
      <c r="F49" s="5"/>
      <c r="G49" s="5"/>
      <c r="H49" s="5"/>
      <c r="I49" s="2"/>
      <c r="J49" s="2"/>
      <c r="K49" s="2"/>
    </row>
    <row r="50" spans="1:11" ht="14.4" x14ac:dyDescent="0.3">
      <c r="A50" s="2"/>
      <c r="B50" s="2"/>
      <c r="C50" s="5"/>
      <c r="D50" s="5"/>
      <c r="E50" s="5"/>
      <c r="F50" s="5"/>
      <c r="G50" s="5"/>
      <c r="H50" s="5"/>
      <c r="I50" s="2"/>
      <c r="J50" s="2"/>
      <c r="K50" s="2"/>
    </row>
    <row r="51" spans="1:11" ht="14.4" x14ac:dyDescent="0.3">
      <c r="A51" s="2"/>
      <c r="B51" s="2"/>
      <c r="C51" s="5"/>
      <c r="D51" s="5"/>
      <c r="E51" s="5"/>
      <c r="F51" s="5"/>
      <c r="G51" s="5"/>
      <c r="H51" s="5"/>
      <c r="I51" s="2"/>
      <c r="J51" s="2"/>
      <c r="K51" s="2"/>
    </row>
    <row r="52" spans="1:11" ht="14.4" x14ac:dyDescent="0.3">
      <c r="A52" s="2"/>
      <c r="B52" s="2"/>
      <c r="C52" s="5"/>
      <c r="D52" s="5"/>
      <c r="E52" s="5"/>
      <c r="F52" s="5"/>
      <c r="G52" s="5"/>
      <c r="H52" s="5"/>
      <c r="I52" s="2"/>
      <c r="J52" s="2"/>
      <c r="K52" s="2"/>
    </row>
    <row r="53" spans="1:11" ht="14.4" x14ac:dyDescent="0.3">
      <c r="A53" s="2"/>
      <c r="B53" s="2"/>
      <c r="C53" s="5"/>
      <c r="D53" s="5"/>
      <c r="E53" s="5"/>
      <c r="F53" s="5"/>
      <c r="G53" s="5"/>
      <c r="H53" s="5"/>
      <c r="I53" s="2"/>
      <c r="J53" s="2"/>
      <c r="K53" s="2"/>
    </row>
    <row r="54" spans="1:11" ht="14.4" x14ac:dyDescent="0.3">
      <c r="A54" s="2"/>
      <c r="B54" s="2"/>
      <c r="C54" s="5"/>
      <c r="D54" s="5"/>
      <c r="E54" s="5"/>
      <c r="F54" s="5"/>
      <c r="G54" s="5"/>
      <c r="H54" s="5"/>
      <c r="I54" s="2"/>
      <c r="J54" s="2"/>
      <c r="K54" s="2"/>
    </row>
    <row r="55" spans="1:11" ht="14.4" x14ac:dyDescent="0.3">
      <c r="A55" s="2"/>
      <c r="B55" s="2"/>
      <c r="C55" s="5"/>
      <c r="D55" s="5"/>
      <c r="E55" s="5"/>
      <c r="F55" s="5"/>
      <c r="G55" s="5"/>
      <c r="H55" s="5"/>
      <c r="I55" s="2"/>
      <c r="J55" s="2"/>
      <c r="K55" s="2"/>
    </row>
    <row r="56" spans="1:11" ht="14.4" x14ac:dyDescent="0.3">
      <c r="A56" s="2"/>
      <c r="B56" s="2"/>
      <c r="C56" s="5"/>
      <c r="D56" s="5"/>
      <c r="E56" s="5"/>
      <c r="F56" s="5"/>
      <c r="G56" s="5"/>
      <c r="H56" s="5"/>
      <c r="I56" s="2"/>
      <c r="J56" s="2"/>
      <c r="K56" s="2"/>
    </row>
    <row r="57" spans="1:11" ht="14.4" x14ac:dyDescent="0.3">
      <c r="A57" s="2"/>
      <c r="B57" s="2"/>
      <c r="C57" s="5"/>
      <c r="D57" s="5"/>
      <c r="E57" s="5"/>
      <c r="F57" s="5"/>
      <c r="G57" s="5"/>
      <c r="H57" s="5"/>
      <c r="I57" s="2"/>
      <c r="J57" s="2"/>
      <c r="K57" s="2"/>
    </row>
    <row r="58" spans="1:11" ht="14.4" x14ac:dyDescent="0.3">
      <c r="A58" s="2"/>
      <c r="B58" s="2"/>
      <c r="C58" s="5"/>
      <c r="D58" s="5"/>
      <c r="E58" s="5"/>
      <c r="F58" s="5"/>
      <c r="G58" s="5"/>
      <c r="H58" s="5"/>
      <c r="I58" s="2"/>
      <c r="J58" s="2"/>
      <c r="K58" s="2"/>
    </row>
    <row r="59" spans="1:11" ht="14.4" x14ac:dyDescent="0.3">
      <c r="A59" s="2"/>
      <c r="B59" s="2"/>
      <c r="C59" s="5"/>
      <c r="D59" s="5"/>
      <c r="E59" s="5"/>
      <c r="F59" s="5"/>
      <c r="G59" s="5"/>
      <c r="H59" s="5"/>
      <c r="I59" s="2"/>
      <c r="J59" s="2"/>
      <c r="K59" s="2"/>
    </row>
    <row r="60" spans="1:11" ht="14.4" x14ac:dyDescent="0.3">
      <c r="A60" s="2"/>
      <c r="B60" s="2"/>
      <c r="C60" s="5"/>
      <c r="D60" s="5"/>
      <c r="E60" s="5"/>
      <c r="F60" s="5"/>
      <c r="G60" s="5"/>
      <c r="H60" s="5"/>
      <c r="I60" s="2"/>
      <c r="J60" s="2"/>
      <c r="K60" s="2"/>
    </row>
    <row r="61" spans="1:11" ht="14.4" x14ac:dyDescent="0.3">
      <c r="A61" s="2"/>
      <c r="B61" s="2"/>
      <c r="C61" s="5"/>
      <c r="D61" s="5"/>
      <c r="E61" s="5"/>
      <c r="F61" s="5"/>
      <c r="G61" s="5"/>
      <c r="H61" s="5"/>
      <c r="I61" s="2"/>
      <c r="J61" s="2"/>
      <c r="K61" s="2"/>
    </row>
    <row r="62" spans="1:11" ht="14.4" x14ac:dyDescent="0.3">
      <c r="A62" s="2"/>
      <c r="B62" s="2"/>
      <c r="C62" s="5"/>
      <c r="D62" s="5"/>
      <c r="E62" s="5"/>
      <c r="F62" s="5"/>
      <c r="G62" s="5"/>
      <c r="H62" s="5"/>
      <c r="I62" s="2"/>
      <c r="J62" s="2"/>
      <c r="K62" s="2"/>
    </row>
    <row r="63" spans="1:11" ht="14.4" x14ac:dyDescent="0.3">
      <c r="A63" s="2"/>
      <c r="B63" s="2"/>
      <c r="C63" s="5"/>
      <c r="D63" s="5"/>
      <c r="E63" s="5"/>
      <c r="F63" s="5"/>
      <c r="G63" s="5"/>
      <c r="H63" s="5"/>
      <c r="I63" s="2"/>
      <c r="J63" s="2"/>
      <c r="K63" s="2"/>
    </row>
    <row r="64" spans="1:11" ht="14.4" x14ac:dyDescent="0.3">
      <c r="A64" s="2"/>
      <c r="B64" s="2"/>
      <c r="C64" s="5"/>
      <c r="D64" s="5"/>
      <c r="E64" s="5"/>
      <c r="F64" s="5"/>
      <c r="G64" s="5"/>
      <c r="H64" s="5"/>
      <c r="I64" s="2"/>
      <c r="J64" s="2"/>
      <c r="K64" s="2"/>
    </row>
    <row r="65" spans="1:11" ht="14.4" x14ac:dyDescent="0.3">
      <c r="A65" s="2"/>
      <c r="B65" s="2"/>
      <c r="C65" s="5"/>
      <c r="D65" s="5"/>
      <c r="E65" s="5"/>
      <c r="F65" s="5"/>
      <c r="G65" s="5"/>
      <c r="H65" s="5"/>
      <c r="I65" s="2"/>
      <c r="J65" s="2"/>
      <c r="K65" s="2"/>
    </row>
    <row r="66" spans="1:11" ht="14.4" x14ac:dyDescent="0.3">
      <c r="A66" s="2"/>
      <c r="B66" s="2"/>
      <c r="C66" s="5"/>
      <c r="D66" s="5"/>
      <c r="E66" s="5"/>
      <c r="F66" s="5"/>
      <c r="G66" s="5"/>
      <c r="H66" s="5"/>
      <c r="I66" s="2"/>
      <c r="J66" s="2"/>
      <c r="K66" s="2"/>
    </row>
    <row r="67" spans="1:11" ht="14.4" x14ac:dyDescent="0.3">
      <c r="A67" s="2"/>
      <c r="B67" s="2"/>
      <c r="C67" s="5"/>
      <c r="D67" s="5"/>
      <c r="E67" s="5"/>
      <c r="F67" s="5"/>
      <c r="G67" s="5"/>
      <c r="H67" s="5"/>
      <c r="I67" s="2"/>
      <c r="J67" s="2"/>
      <c r="K67" s="2"/>
    </row>
    <row r="68" spans="1:11" ht="14.4" x14ac:dyDescent="0.3">
      <c r="A68" s="2"/>
      <c r="B68" s="2"/>
      <c r="C68" s="5"/>
      <c r="D68" s="5"/>
      <c r="E68" s="5"/>
      <c r="F68" s="5"/>
      <c r="G68" s="5"/>
      <c r="H68" s="5"/>
      <c r="I68" s="2"/>
      <c r="J68" s="2"/>
      <c r="K68" s="2"/>
    </row>
    <row r="69" spans="1:11" ht="14.4" x14ac:dyDescent="0.3">
      <c r="A69" s="2"/>
      <c r="B69" s="2"/>
      <c r="C69" s="5"/>
      <c r="D69" s="5"/>
      <c r="E69" s="5"/>
      <c r="F69" s="5"/>
      <c r="G69" s="5"/>
      <c r="H69" s="5"/>
      <c r="I69" s="2"/>
      <c r="J69" s="2"/>
      <c r="K69" s="2"/>
    </row>
    <row r="70" spans="1:11" ht="14.4" x14ac:dyDescent="0.3">
      <c r="A70" s="2"/>
      <c r="B70" s="2"/>
      <c r="C70" s="5"/>
      <c r="D70" s="5"/>
      <c r="E70" s="5"/>
      <c r="F70" s="5"/>
      <c r="G70" s="5"/>
      <c r="H70" s="5"/>
      <c r="I70" s="2"/>
      <c r="J70" s="2"/>
      <c r="K70" s="2"/>
    </row>
    <row r="71" spans="1:11" ht="14.4" x14ac:dyDescent="0.3">
      <c r="A71" s="2"/>
      <c r="B71" s="2"/>
      <c r="C71" s="5"/>
      <c r="D71" s="5"/>
      <c r="E71" s="5"/>
      <c r="F71" s="5"/>
      <c r="G71" s="5"/>
      <c r="H71" s="5"/>
      <c r="I71" s="2"/>
      <c r="J71" s="2"/>
      <c r="K71" s="2"/>
    </row>
    <row r="72" spans="1:11" ht="14.4" x14ac:dyDescent="0.3">
      <c r="A72" s="2"/>
      <c r="B72" s="2"/>
      <c r="C72" s="5"/>
      <c r="D72" s="5"/>
      <c r="E72" s="5"/>
      <c r="F72" s="5"/>
      <c r="G72" s="5"/>
      <c r="H72" s="5"/>
      <c r="I72" s="2"/>
      <c r="J72" s="2"/>
      <c r="K72" s="2"/>
    </row>
    <row r="73" spans="1:11" ht="14.4" x14ac:dyDescent="0.3">
      <c r="A73" s="2"/>
      <c r="B73" s="2"/>
      <c r="C73" s="5"/>
      <c r="D73" s="5"/>
      <c r="E73" s="5"/>
      <c r="F73" s="5"/>
      <c r="G73" s="5"/>
      <c r="H73" s="5"/>
      <c r="I73" s="2"/>
      <c r="J73" s="2"/>
      <c r="K73" s="2"/>
    </row>
    <row r="74" spans="1:11" ht="14.4" x14ac:dyDescent="0.3">
      <c r="A74" s="2"/>
      <c r="B74" s="2"/>
      <c r="C74" s="5"/>
      <c r="D74" s="5"/>
      <c r="E74" s="5"/>
      <c r="F74" s="5"/>
      <c r="G74" s="5"/>
      <c r="H74" s="5"/>
      <c r="I74" s="2"/>
      <c r="J74" s="2"/>
      <c r="K74" s="2"/>
    </row>
    <row r="75" spans="1:11" ht="14.4" x14ac:dyDescent="0.3">
      <c r="A75" s="2"/>
      <c r="B75" s="2"/>
      <c r="C75" s="5"/>
      <c r="D75" s="5"/>
      <c r="E75" s="5"/>
      <c r="F75" s="5"/>
      <c r="G75" s="5"/>
      <c r="H75" s="5"/>
      <c r="I75" s="2"/>
      <c r="J75" s="2"/>
      <c r="K75" s="2"/>
    </row>
    <row r="76" spans="1:11" ht="14.4" x14ac:dyDescent="0.3">
      <c r="A76" s="2"/>
      <c r="B76" s="2"/>
      <c r="C76" s="5"/>
      <c r="D76" s="5"/>
      <c r="E76" s="5"/>
      <c r="F76" s="5"/>
      <c r="G76" s="5"/>
      <c r="H76" s="5"/>
      <c r="I76" s="2"/>
      <c r="J76" s="2"/>
      <c r="K76" s="2"/>
    </row>
    <row r="77" spans="1:11" ht="14.4" x14ac:dyDescent="0.3">
      <c r="A77" s="2"/>
      <c r="B77" s="2"/>
      <c r="C77" s="5"/>
      <c r="D77" s="5"/>
      <c r="E77" s="5"/>
      <c r="F77" s="5"/>
      <c r="G77" s="5"/>
      <c r="H77" s="5"/>
      <c r="I77" s="2"/>
      <c r="J77" s="2"/>
      <c r="K77" s="2"/>
    </row>
    <row r="78" spans="1:11" ht="14.4" x14ac:dyDescent="0.3">
      <c r="A78" s="2"/>
      <c r="B78" s="2"/>
      <c r="C78" s="5"/>
      <c r="D78" s="5"/>
      <c r="E78" s="5"/>
      <c r="F78" s="5"/>
      <c r="G78" s="5"/>
      <c r="H78" s="5"/>
      <c r="I78" s="2"/>
      <c r="J78" s="2"/>
      <c r="K78" s="2"/>
    </row>
    <row r="79" spans="1:11" ht="14.4" x14ac:dyDescent="0.3">
      <c r="A79" s="2"/>
      <c r="B79" s="2"/>
      <c r="C79" s="5"/>
      <c r="D79" s="5"/>
      <c r="E79" s="5"/>
      <c r="F79" s="5"/>
      <c r="G79" s="5"/>
      <c r="H79" s="5"/>
      <c r="I79" s="2"/>
      <c r="J79" s="2"/>
      <c r="K79" s="2"/>
    </row>
    <row r="80" spans="1:11" ht="14.4" x14ac:dyDescent="0.3">
      <c r="A80" s="2"/>
      <c r="B80" s="2"/>
      <c r="C80" s="5"/>
      <c r="D80" s="5"/>
      <c r="E80" s="5"/>
      <c r="F80" s="5"/>
      <c r="G80" s="5"/>
      <c r="H80" s="5"/>
      <c r="I80" s="2"/>
      <c r="J80" s="2"/>
      <c r="K80" s="2"/>
    </row>
    <row r="81" spans="1:11" ht="14.4" x14ac:dyDescent="0.3">
      <c r="A81" s="2"/>
      <c r="B81" s="2"/>
      <c r="C81" s="5"/>
      <c r="D81" s="5"/>
      <c r="E81" s="5"/>
      <c r="F81" s="5"/>
      <c r="G81" s="5"/>
      <c r="H81" s="5"/>
      <c r="I81" s="2"/>
      <c r="J81" s="2"/>
      <c r="K81" s="2"/>
    </row>
    <row r="82" spans="1:11" ht="14.4" x14ac:dyDescent="0.3">
      <c r="A82" s="2"/>
      <c r="B82" s="2"/>
      <c r="C82" s="5"/>
      <c r="D82" s="5"/>
      <c r="E82" s="5"/>
      <c r="F82" s="5"/>
      <c r="G82" s="5"/>
      <c r="H82" s="5"/>
      <c r="I82" s="2"/>
      <c r="J82" s="2"/>
      <c r="K82" s="2"/>
    </row>
    <row r="83" spans="1:11" ht="14.4" x14ac:dyDescent="0.3">
      <c r="A83" s="2"/>
      <c r="B83" s="2"/>
      <c r="C83" s="5"/>
      <c r="D83" s="5"/>
      <c r="E83" s="5"/>
      <c r="F83" s="5"/>
      <c r="G83" s="5"/>
      <c r="H83" s="5"/>
      <c r="I83" s="2"/>
      <c r="J83" s="2"/>
      <c r="K83" s="2"/>
    </row>
    <row r="84" spans="1:11" ht="14.4" x14ac:dyDescent="0.3">
      <c r="A84" s="2"/>
      <c r="B84" s="2"/>
      <c r="C84" s="5"/>
      <c r="D84" s="5"/>
      <c r="E84" s="5"/>
      <c r="F84" s="5"/>
      <c r="G84" s="5"/>
      <c r="H84" s="5"/>
      <c r="I84" s="2"/>
      <c r="J84" s="2"/>
      <c r="K84" s="2"/>
    </row>
    <row r="85" spans="1:11" ht="14.4" x14ac:dyDescent="0.3">
      <c r="A85" s="2"/>
      <c r="B85" s="2"/>
      <c r="C85" s="5"/>
      <c r="D85" s="5"/>
      <c r="E85" s="5"/>
      <c r="F85" s="5"/>
      <c r="G85" s="5"/>
      <c r="H85" s="5"/>
      <c r="I85" s="2"/>
      <c r="J85" s="2"/>
      <c r="K85" s="2"/>
    </row>
    <row r="86" spans="1:11" ht="14.4" x14ac:dyDescent="0.3">
      <c r="A86" s="2"/>
      <c r="B86" s="2"/>
      <c r="C86" s="5"/>
      <c r="D86" s="5"/>
      <c r="E86" s="5"/>
      <c r="F86" s="5"/>
      <c r="G86" s="5"/>
      <c r="H86" s="5"/>
      <c r="I86" s="2"/>
      <c r="J86" s="2"/>
      <c r="K86" s="2"/>
    </row>
    <row r="87" spans="1:11" ht="14.4" x14ac:dyDescent="0.3">
      <c r="A87" s="2"/>
      <c r="B87" s="2"/>
      <c r="C87" s="5"/>
      <c r="D87" s="5"/>
      <c r="E87" s="5"/>
      <c r="F87" s="5"/>
      <c r="G87" s="5"/>
      <c r="H87" s="5"/>
      <c r="I87" s="2"/>
      <c r="J87" s="2"/>
      <c r="K87" s="2"/>
    </row>
    <row r="88" spans="1:11" ht="14.4" x14ac:dyDescent="0.3">
      <c r="A88" s="2"/>
      <c r="B88" s="2"/>
      <c r="C88" s="5"/>
      <c r="D88" s="5"/>
      <c r="E88" s="5"/>
      <c r="F88" s="5"/>
      <c r="G88" s="5"/>
      <c r="H88" s="5"/>
      <c r="I88" s="2"/>
      <c r="J88" s="2"/>
      <c r="K88" s="2"/>
    </row>
    <row r="89" spans="1:11" ht="14.4" x14ac:dyDescent="0.3">
      <c r="A89" s="2"/>
      <c r="B89" s="2"/>
      <c r="C89" s="5"/>
      <c r="D89" s="5"/>
      <c r="E89" s="5"/>
      <c r="F89" s="5"/>
      <c r="G89" s="5"/>
      <c r="H89" s="5"/>
      <c r="I89" s="2"/>
      <c r="J89" s="2"/>
      <c r="K89" s="2"/>
    </row>
    <row r="90" spans="1:11" ht="14.4" x14ac:dyDescent="0.3">
      <c r="A90" s="2"/>
      <c r="B90" s="2"/>
      <c r="C90" s="5"/>
      <c r="D90" s="5"/>
      <c r="E90" s="5"/>
      <c r="F90" s="5"/>
      <c r="G90" s="5"/>
      <c r="H90" s="5"/>
      <c r="I90" s="2"/>
      <c r="J90" s="2"/>
      <c r="K90" s="2"/>
    </row>
    <row r="91" spans="1:11" ht="14.4" x14ac:dyDescent="0.3">
      <c r="A91" s="2"/>
      <c r="B91" s="2"/>
      <c r="C91" s="5"/>
      <c r="D91" s="5"/>
      <c r="E91" s="5"/>
      <c r="F91" s="5"/>
      <c r="G91" s="5"/>
      <c r="H91" s="5"/>
      <c r="I91" s="2"/>
      <c r="J91" s="2"/>
      <c r="K91" s="2"/>
    </row>
    <row r="92" spans="1:11" ht="14.4" x14ac:dyDescent="0.3">
      <c r="A92" s="2"/>
      <c r="B92" s="2"/>
      <c r="C92" s="5"/>
      <c r="D92" s="5"/>
      <c r="E92" s="5"/>
      <c r="F92" s="5"/>
      <c r="G92" s="5"/>
      <c r="H92" s="5"/>
      <c r="I92" s="2"/>
      <c r="J92" s="2"/>
      <c r="K92" s="2"/>
    </row>
    <row r="93" spans="1:11" ht="14.4" x14ac:dyDescent="0.3">
      <c r="A93" s="2"/>
      <c r="B93" s="2"/>
      <c r="C93" s="5"/>
      <c r="D93" s="5"/>
      <c r="E93" s="5"/>
      <c r="F93" s="5"/>
      <c r="G93" s="5"/>
      <c r="H93" s="5"/>
      <c r="I93" s="2"/>
      <c r="J93" s="2"/>
      <c r="K93" s="2"/>
    </row>
    <row r="94" spans="1:11" ht="14.4" x14ac:dyDescent="0.3">
      <c r="A94" s="2"/>
      <c r="B94" s="2"/>
      <c r="C94" s="5"/>
      <c r="D94" s="5"/>
      <c r="E94" s="5"/>
      <c r="F94" s="5"/>
      <c r="G94" s="5"/>
      <c r="H94" s="5"/>
      <c r="I94" s="2"/>
      <c r="J94" s="2"/>
      <c r="K94" s="2"/>
    </row>
    <row r="95" spans="1:11" ht="14.4" x14ac:dyDescent="0.3">
      <c r="A95" s="2"/>
      <c r="B95" s="2"/>
      <c r="C95" s="5"/>
      <c r="D95" s="5"/>
      <c r="E95" s="5"/>
      <c r="F95" s="5"/>
      <c r="G95" s="5"/>
      <c r="H95" s="5"/>
      <c r="I95" s="2"/>
      <c r="J95" s="2"/>
      <c r="K95" s="2"/>
    </row>
    <row r="96" spans="1:11" ht="14.4" x14ac:dyDescent="0.3">
      <c r="A96" s="2"/>
      <c r="B96" s="2"/>
      <c r="C96" s="5"/>
      <c r="D96" s="5"/>
      <c r="E96" s="5"/>
      <c r="F96" s="5"/>
      <c r="G96" s="5"/>
      <c r="H96" s="5"/>
      <c r="I96" s="2"/>
      <c r="J96" s="2"/>
      <c r="K96" s="2"/>
    </row>
    <row r="97" spans="1:11" ht="14.4" x14ac:dyDescent="0.3">
      <c r="A97" s="2"/>
      <c r="B97" s="2"/>
      <c r="C97" s="5"/>
      <c r="D97" s="5"/>
      <c r="E97" s="5"/>
      <c r="F97" s="5"/>
      <c r="G97" s="5"/>
      <c r="H97" s="5"/>
      <c r="I97" s="2"/>
      <c r="J97" s="2"/>
      <c r="K97" s="2"/>
    </row>
    <row r="98" spans="1:11" ht="14.4" x14ac:dyDescent="0.3">
      <c r="A98" s="2"/>
      <c r="B98" s="2"/>
      <c r="C98" s="5"/>
      <c r="D98" s="5"/>
      <c r="E98" s="5"/>
      <c r="F98" s="5"/>
      <c r="G98" s="5"/>
      <c r="H98" s="5"/>
      <c r="I98" s="2"/>
      <c r="J98" s="2"/>
      <c r="K98" s="2"/>
    </row>
    <row r="99" spans="1:11" ht="14.4" x14ac:dyDescent="0.3">
      <c r="A99" s="2"/>
      <c r="B99" s="2"/>
      <c r="C99" s="5"/>
      <c r="D99" s="5"/>
      <c r="E99" s="5"/>
      <c r="F99" s="5"/>
      <c r="G99" s="5"/>
      <c r="H99" s="5"/>
      <c r="I99" s="2"/>
      <c r="J99" s="2"/>
      <c r="K99" s="2"/>
    </row>
    <row r="100" spans="1:11" ht="14.4" x14ac:dyDescent="0.3">
      <c r="A100" s="2"/>
      <c r="B100" s="2"/>
      <c r="C100" s="5"/>
      <c r="D100" s="5"/>
      <c r="E100" s="5"/>
      <c r="F100" s="5"/>
      <c r="G100" s="5"/>
      <c r="H100" s="5"/>
      <c r="I100" s="2"/>
      <c r="J100" s="2"/>
      <c r="K100" s="2"/>
    </row>
    <row r="101" spans="1:11" ht="14.4" x14ac:dyDescent="0.3">
      <c r="A101" s="2"/>
      <c r="B101" s="2"/>
      <c r="C101" s="5"/>
      <c r="D101" s="5"/>
      <c r="E101" s="5"/>
      <c r="F101" s="5"/>
      <c r="G101" s="5"/>
      <c r="H101" s="5"/>
      <c r="I101" s="2"/>
      <c r="J101" s="2"/>
      <c r="K101" s="2"/>
    </row>
    <row r="102" spans="1:11" ht="14.4" x14ac:dyDescent="0.3">
      <c r="A102" s="2"/>
      <c r="B102" s="2"/>
      <c r="C102" s="5"/>
      <c r="D102" s="5"/>
      <c r="E102" s="5"/>
      <c r="F102" s="5"/>
      <c r="G102" s="5"/>
      <c r="H102" s="5"/>
      <c r="I102" s="2"/>
      <c r="J102" s="2"/>
      <c r="K102" s="2"/>
    </row>
    <row r="103" spans="1:11" ht="14.4" x14ac:dyDescent="0.3">
      <c r="A103" s="2"/>
      <c r="B103" s="2"/>
      <c r="C103" s="5"/>
      <c r="D103" s="5"/>
      <c r="E103" s="5"/>
      <c r="F103" s="5"/>
      <c r="G103" s="5"/>
      <c r="H103" s="5"/>
      <c r="I103" s="2"/>
      <c r="J103" s="2"/>
      <c r="K103" s="2"/>
    </row>
    <row r="104" spans="1:11" ht="14.4" x14ac:dyDescent="0.3">
      <c r="A104" s="2"/>
      <c r="B104" s="2"/>
      <c r="C104" s="5"/>
      <c r="D104" s="5"/>
      <c r="E104" s="5"/>
      <c r="F104" s="5"/>
      <c r="G104" s="5"/>
      <c r="H104" s="5"/>
      <c r="I104" s="2"/>
      <c r="J104" s="2"/>
      <c r="K104" s="2"/>
    </row>
    <row r="105" spans="1:11" ht="14.4" x14ac:dyDescent="0.3">
      <c r="A105" s="2"/>
      <c r="B105" s="2"/>
      <c r="C105" s="5"/>
      <c r="D105" s="5"/>
      <c r="E105" s="5"/>
      <c r="F105" s="5"/>
      <c r="G105" s="5"/>
      <c r="H105" s="5"/>
      <c r="I105" s="2"/>
      <c r="J105" s="2"/>
      <c r="K105" s="2"/>
    </row>
    <row r="106" spans="1:11" ht="14.4" x14ac:dyDescent="0.3">
      <c r="A106" s="2"/>
      <c r="B106" s="2"/>
      <c r="C106" s="5"/>
      <c r="D106" s="5"/>
      <c r="E106" s="5"/>
      <c r="F106" s="5"/>
      <c r="G106" s="5"/>
      <c r="H106" s="5"/>
      <c r="I106" s="2"/>
      <c r="J106" s="2"/>
      <c r="K106" s="2"/>
    </row>
    <row r="107" spans="1:11" ht="14.4" x14ac:dyDescent="0.3">
      <c r="A107" s="2"/>
      <c r="B107" s="2"/>
      <c r="C107" s="5"/>
      <c r="D107" s="5"/>
      <c r="E107" s="5"/>
      <c r="F107" s="5"/>
      <c r="G107" s="5"/>
      <c r="H107" s="5"/>
      <c r="I107" s="2"/>
      <c r="J107" s="2"/>
      <c r="K107" s="2"/>
    </row>
    <row r="108" spans="1:11" ht="14.4" x14ac:dyDescent="0.3">
      <c r="A108" s="2"/>
      <c r="B108" s="2"/>
      <c r="C108" s="5"/>
      <c r="D108" s="5"/>
      <c r="E108" s="5"/>
      <c r="F108" s="5"/>
      <c r="G108" s="5"/>
      <c r="H108" s="5"/>
      <c r="I108" s="2"/>
      <c r="J108" s="2"/>
      <c r="K108" s="2"/>
    </row>
    <row r="109" spans="1:11" ht="14.4" x14ac:dyDescent="0.3">
      <c r="A109" s="2"/>
      <c r="B109" s="2"/>
      <c r="C109" s="5"/>
      <c r="D109" s="5"/>
      <c r="E109" s="5"/>
      <c r="F109" s="5"/>
      <c r="G109" s="5"/>
      <c r="H109" s="5"/>
      <c r="I109" s="2"/>
      <c r="J109" s="2"/>
      <c r="K109" s="2"/>
    </row>
    <row r="110" spans="1:11" ht="14.4" x14ac:dyDescent="0.3">
      <c r="A110" s="2"/>
      <c r="B110" s="2"/>
      <c r="C110" s="5"/>
      <c r="D110" s="5"/>
      <c r="E110" s="5"/>
      <c r="F110" s="5"/>
      <c r="G110" s="5"/>
      <c r="H110" s="5"/>
      <c r="I110" s="2"/>
      <c r="J110" s="2"/>
      <c r="K110" s="2"/>
    </row>
    <row r="111" spans="1:11" ht="14.4" x14ac:dyDescent="0.3">
      <c r="A111" s="2"/>
      <c r="B111" s="2"/>
      <c r="C111" s="5"/>
      <c r="D111" s="5"/>
      <c r="E111" s="5"/>
      <c r="F111" s="5"/>
      <c r="G111" s="5"/>
      <c r="H111" s="5"/>
      <c r="I111" s="2"/>
      <c r="J111" s="2"/>
      <c r="K111" s="2"/>
    </row>
    <row r="112" spans="1:11" ht="14.4" x14ac:dyDescent="0.3">
      <c r="A112" s="2"/>
      <c r="B112" s="2"/>
      <c r="C112" s="5"/>
      <c r="D112" s="5"/>
      <c r="E112" s="5"/>
      <c r="F112" s="5"/>
      <c r="G112" s="5"/>
      <c r="H112" s="5"/>
      <c r="I112" s="2"/>
      <c r="J112" s="2"/>
      <c r="K112" s="2"/>
    </row>
    <row r="113" spans="1:11" ht="14.4" x14ac:dyDescent="0.3">
      <c r="A113" s="2"/>
      <c r="B113" s="2"/>
      <c r="C113" s="5"/>
      <c r="D113" s="5"/>
      <c r="E113" s="5"/>
      <c r="F113" s="5"/>
      <c r="G113" s="5"/>
      <c r="H113" s="5"/>
      <c r="I113" s="2"/>
      <c r="J113" s="2"/>
      <c r="K113" s="2"/>
    </row>
    <row r="114" spans="1:11" ht="14.4" x14ac:dyDescent="0.3">
      <c r="A114" s="2"/>
      <c r="B114" s="2"/>
      <c r="C114" s="5"/>
      <c r="D114" s="5"/>
      <c r="E114" s="5"/>
      <c r="F114" s="5"/>
      <c r="G114" s="5"/>
      <c r="H114" s="5"/>
      <c r="I114" s="2"/>
      <c r="J114" s="2"/>
      <c r="K114" s="2"/>
    </row>
    <row r="115" spans="1:11" ht="14.4" x14ac:dyDescent="0.3">
      <c r="A115" s="2"/>
      <c r="B115" s="2"/>
      <c r="C115" s="5"/>
      <c r="D115" s="5"/>
      <c r="E115" s="5"/>
      <c r="F115" s="5"/>
      <c r="G115" s="5"/>
      <c r="H115" s="5"/>
      <c r="I115" s="2"/>
      <c r="J115" s="2"/>
      <c r="K115" s="2"/>
    </row>
    <row r="116" spans="1:11" ht="14.4" x14ac:dyDescent="0.3">
      <c r="A116" s="2"/>
      <c r="B116" s="2"/>
      <c r="C116" s="5"/>
      <c r="D116" s="5"/>
      <c r="E116" s="5"/>
      <c r="F116" s="5"/>
      <c r="G116" s="5"/>
      <c r="H116" s="5"/>
      <c r="I116" s="2"/>
      <c r="J116" s="2"/>
      <c r="K116" s="2"/>
    </row>
    <row r="117" spans="1:11" ht="14.4" x14ac:dyDescent="0.3">
      <c r="A117" s="2"/>
      <c r="B117" s="2"/>
      <c r="C117" s="5"/>
      <c r="D117" s="5"/>
      <c r="E117" s="5"/>
      <c r="F117" s="5"/>
      <c r="G117" s="5"/>
      <c r="H117" s="5"/>
      <c r="I117" s="2"/>
      <c r="J117" s="2"/>
      <c r="K117" s="2"/>
    </row>
    <row r="118" spans="1:11" ht="14.4" x14ac:dyDescent="0.3">
      <c r="A118" s="2"/>
      <c r="B118" s="2"/>
      <c r="C118" s="5"/>
      <c r="D118" s="5"/>
      <c r="E118" s="5"/>
      <c r="F118" s="5"/>
      <c r="G118" s="5"/>
      <c r="H118" s="5"/>
      <c r="I118" s="2"/>
      <c r="J118" s="2"/>
      <c r="K118" s="2"/>
    </row>
    <row r="119" spans="1:11" ht="14.4" x14ac:dyDescent="0.3">
      <c r="A119" s="2"/>
      <c r="B119" s="2"/>
      <c r="C119" s="5"/>
      <c r="D119" s="5"/>
      <c r="E119" s="5"/>
      <c r="F119" s="5"/>
      <c r="G119" s="5"/>
      <c r="H119" s="5"/>
      <c r="I119" s="2"/>
      <c r="J119" s="2"/>
      <c r="K119" s="2"/>
    </row>
    <row r="120" spans="1:11" ht="14.4" x14ac:dyDescent="0.3">
      <c r="A120" s="2"/>
      <c r="B120" s="2"/>
      <c r="C120" s="5"/>
      <c r="D120" s="5"/>
      <c r="E120" s="5"/>
      <c r="F120" s="5"/>
      <c r="G120" s="5"/>
      <c r="H120" s="5"/>
      <c r="I120" s="2"/>
      <c r="J120" s="2"/>
      <c r="K120" s="2"/>
    </row>
    <row r="121" spans="1:11" ht="14.4" x14ac:dyDescent="0.3">
      <c r="A121" s="2"/>
      <c r="B121" s="2"/>
      <c r="C121" s="5"/>
      <c r="D121" s="5"/>
      <c r="E121" s="5"/>
      <c r="F121" s="5"/>
      <c r="G121" s="5"/>
      <c r="H121" s="5"/>
      <c r="I121" s="2"/>
      <c r="J121" s="2"/>
      <c r="K121" s="2"/>
    </row>
    <row r="122" spans="1:11" ht="14.4" x14ac:dyDescent="0.3">
      <c r="A122" s="2"/>
      <c r="B122" s="2"/>
      <c r="C122" s="5"/>
      <c r="D122" s="5"/>
      <c r="E122" s="5"/>
      <c r="F122" s="5"/>
      <c r="G122" s="5"/>
      <c r="H122" s="5"/>
      <c r="I122" s="2"/>
      <c r="J122" s="2"/>
      <c r="K122" s="2"/>
    </row>
    <row r="123" spans="1:11" ht="14.4" x14ac:dyDescent="0.3">
      <c r="A123" s="2"/>
      <c r="B123" s="2"/>
      <c r="C123" s="5"/>
      <c r="D123" s="5"/>
      <c r="E123" s="5"/>
      <c r="F123" s="5"/>
      <c r="G123" s="5"/>
      <c r="H123" s="5"/>
      <c r="I123" s="2"/>
      <c r="J123" s="2"/>
      <c r="K123" s="2"/>
    </row>
    <row r="124" spans="1:11" ht="14.4" x14ac:dyDescent="0.3">
      <c r="A124" s="2"/>
      <c r="B124" s="2"/>
      <c r="C124" s="5"/>
      <c r="D124" s="5"/>
      <c r="E124" s="5"/>
      <c r="F124" s="5"/>
      <c r="G124" s="5"/>
      <c r="H124" s="5"/>
      <c r="I124" s="2"/>
      <c r="J124" s="2"/>
      <c r="K124" s="2"/>
    </row>
    <row r="125" spans="1:11" ht="14.4" x14ac:dyDescent="0.3">
      <c r="A125" s="2"/>
      <c r="B125" s="2"/>
      <c r="C125" s="5"/>
      <c r="D125" s="5"/>
      <c r="E125" s="5"/>
      <c r="F125" s="5"/>
      <c r="G125" s="5"/>
      <c r="H125" s="5"/>
      <c r="I125" s="2"/>
      <c r="J125" s="2"/>
      <c r="K125" s="2"/>
    </row>
    <row r="126" spans="1:11" ht="14.4" x14ac:dyDescent="0.3">
      <c r="A126" s="2"/>
      <c r="B126" s="2"/>
      <c r="C126" s="5"/>
      <c r="D126" s="5"/>
      <c r="E126" s="5"/>
      <c r="F126" s="5"/>
      <c r="G126" s="5"/>
      <c r="H126" s="5"/>
      <c r="I126" s="2"/>
      <c r="J126" s="2"/>
      <c r="K126" s="2"/>
    </row>
    <row r="127" spans="1:11" ht="14.4" x14ac:dyDescent="0.3">
      <c r="A127" s="2"/>
      <c r="B127" s="2"/>
      <c r="C127" s="5"/>
      <c r="D127" s="5"/>
      <c r="E127" s="5"/>
      <c r="F127" s="5"/>
      <c r="G127" s="5"/>
      <c r="H127" s="5"/>
      <c r="I127" s="2"/>
      <c r="J127" s="2"/>
      <c r="K127" s="2"/>
    </row>
    <row r="128" spans="1:11" ht="14.4" x14ac:dyDescent="0.3">
      <c r="A128" s="2"/>
      <c r="B128" s="2"/>
      <c r="C128" s="5"/>
      <c r="D128" s="5"/>
      <c r="E128" s="5"/>
      <c r="F128" s="5"/>
      <c r="G128" s="5"/>
      <c r="H128" s="5"/>
      <c r="I128" s="2"/>
      <c r="J128" s="2"/>
      <c r="K128" s="2"/>
    </row>
    <row r="129" spans="1:11" ht="14.4" x14ac:dyDescent="0.3">
      <c r="A129" s="2"/>
      <c r="B129" s="2"/>
      <c r="C129" s="5"/>
      <c r="D129" s="5"/>
      <c r="E129" s="5"/>
      <c r="F129" s="5"/>
      <c r="G129" s="5"/>
      <c r="H129" s="5"/>
      <c r="I129" s="2"/>
      <c r="J129" s="2"/>
      <c r="K129" s="2"/>
    </row>
    <row r="130" spans="1:11" ht="14.4" x14ac:dyDescent="0.3">
      <c r="A130" s="2"/>
      <c r="B130" s="2"/>
      <c r="C130" s="5"/>
      <c r="D130" s="5"/>
      <c r="E130" s="5"/>
      <c r="F130" s="5"/>
      <c r="G130" s="5"/>
      <c r="H130" s="5"/>
      <c r="I130" s="2"/>
      <c r="J130" s="2"/>
      <c r="K130" s="2"/>
    </row>
    <row r="131" spans="1:11" ht="14.4" x14ac:dyDescent="0.3">
      <c r="A131" s="2"/>
      <c r="B131" s="2"/>
      <c r="C131" s="5"/>
      <c r="D131" s="5"/>
      <c r="E131" s="5"/>
      <c r="F131" s="5"/>
      <c r="G131" s="5"/>
      <c r="H131" s="5"/>
      <c r="I131" s="2"/>
      <c r="J131" s="2"/>
      <c r="K131" s="2"/>
    </row>
    <row r="132" spans="1:11" ht="14.4" x14ac:dyDescent="0.3">
      <c r="A132" s="2"/>
      <c r="B132" s="2"/>
      <c r="C132" s="5"/>
      <c r="D132" s="5"/>
      <c r="E132" s="5"/>
      <c r="F132" s="5"/>
      <c r="G132" s="5"/>
      <c r="H132" s="5"/>
      <c r="I132" s="2"/>
      <c r="J132" s="2"/>
      <c r="K132" s="2"/>
    </row>
    <row r="133" spans="1:11" ht="14.4" x14ac:dyDescent="0.3">
      <c r="A133" s="2"/>
      <c r="B133" s="2"/>
      <c r="C133" s="5"/>
      <c r="D133" s="5"/>
      <c r="E133" s="5"/>
      <c r="F133" s="5"/>
      <c r="G133" s="5"/>
      <c r="H133" s="5"/>
      <c r="I133" s="2"/>
      <c r="J133" s="2"/>
      <c r="K133" s="2"/>
    </row>
    <row r="134" spans="1:11" ht="14.4" x14ac:dyDescent="0.3">
      <c r="A134" s="2"/>
      <c r="B134" s="2"/>
      <c r="C134" s="5"/>
      <c r="D134" s="5"/>
      <c r="E134" s="5"/>
      <c r="F134" s="5"/>
      <c r="G134" s="5"/>
      <c r="H134" s="5"/>
      <c r="I134" s="2"/>
      <c r="J134" s="2"/>
      <c r="K134" s="2"/>
    </row>
    <row r="135" spans="1:11" ht="14.4" x14ac:dyDescent="0.3">
      <c r="A135" s="2"/>
      <c r="B135" s="2"/>
      <c r="C135" s="5"/>
      <c r="D135" s="5"/>
      <c r="E135" s="5"/>
      <c r="F135" s="5"/>
      <c r="G135" s="5"/>
      <c r="H135" s="5"/>
      <c r="I135" s="2"/>
      <c r="J135" s="2"/>
      <c r="K135" s="2"/>
    </row>
    <row r="136" spans="1:11" ht="14.4" x14ac:dyDescent="0.3">
      <c r="A136" s="2"/>
      <c r="B136" s="2"/>
      <c r="C136" s="5"/>
      <c r="D136" s="5"/>
      <c r="E136" s="5"/>
      <c r="F136" s="5"/>
      <c r="G136" s="5"/>
      <c r="H136" s="5"/>
      <c r="I136" s="2"/>
      <c r="J136" s="2"/>
      <c r="K136" s="2"/>
    </row>
    <row r="137" spans="1:11" ht="14.4" x14ac:dyDescent="0.3">
      <c r="A137" s="2"/>
      <c r="B137" s="2"/>
      <c r="C137" s="5"/>
      <c r="D137" s="5"/>
      <c r="E137" s="5"/>
      <c r="F137" s="5"/>
      <c r="G137" s="5"/>
      <c r="H137" s="5"/>
      <c r="I137" s="2"/>
      <c r="J137" s="2"/>
      <c r="K137" s="2"/>
    </row>
    <row r="138" spans="1:11" ht="14.4" x14ac:dyDescent="0.3">
      <c r="A138" s="2"/>
      <c r="B138" s="2"/>
      <c r="C138" s="5"/>
      <c r="D138" s="5"/>
      <c r="E138" s="5"/>
      <c r="F138" s="5"/>
      <c r="G138" s="5"/>
      <c r="H138" s="5"/>
      <c r="I138" s="2"/>
      <c r="J138" s="2"/>
      <c r="K138" s="2"/>
    </row>
    <row r="139" spans="1:11" ht="14.4" x14ac:dyDescent="0.3">
      <c r="A139" s="2"/>
      <c r="B139" s="2"/>
      <c r="C139" s="5"/>
      <c r="D139" s="5"/>
      <c r="E139" s="5"/>
      <c r="F139" s="5"/>
      <c r="G139" s="5"/>
      <c r="H139" s="5"/>
      <c r="I139" s="2"/>
      <c r="J139" s="2"/>
      <c r="K139" s="2"/>
    </row>
    <row r="140" spans="1:11" ht="14.4" x14ac:dyDescent="0.3">
      <c r="A140" s="2"/>
      <c r="B140" s="2"/>
      <c r="C140" s="5"/>
      <c r="D140" s="5"/>
      <c r="E140" s="5"/>
      <c r="F140" s="5"/>
      <c r="G140" s="5"/>
      <c r="H140" s="5"/>
      <c r="I140" s="2"/>
      <c r="J140" s="2"/>
      <c r="K140" s="2"/>
    </row>
    <row r="141" spans="1:11" ht="14.4" x14ac:dyDescent="0.3">
      <c r="A141" s="2"/>
      <c r="B141" s="2"/>
      <c r="C141" s="5"/>
      <c r="D141" s="5"/>
      <c r="E141" s="5"/>
      <c r="F141" s="5"/>
      <c r="G141" s="5"/>
      <c r="H141" s="5"/>
      <c r="I141" s="2"/>
      <c r="J141" s="2"/>
      <c r="K141" s="2"/>
    </row>
    <row r="142" spans="1:11" ht="14.4" x14ac:dyDescent="0.3">
      <c r="A142" s="2"/>
      <c r="B142" s="2"/>
      <c r="C142" s="5"/>
      <c r="D142" s="5"/>
      <c r="E142" s="5"/>
      <c r="F142" s="5"/>
      <c r="G142" s="5"/>
      <c r="H142" s="5"/>
      <c r="I142" s="2"/>
      <c r="J142" s="2"/>
      <c r="K142" s="2"/>
    </row>
    <row r="143" spans="1:11" ht="14.4" x14ac:dyDescent="0.3">
      <c r="A143" s="2"/>
      <c r="B143" s="2"/>
      <c r="C143" s="5"/>
      <c r="D143" s="5"/>
      <c r="E143" s="5"/>
      <c r="F143" s="5"/>
      <c r="G143" s="5"/>
      <c r="H143" s="5"/>
      <c r="I143" s="2"/>
      <c r="J143" s="2"/>
      <c r="K143" s="2"/>
    </row>
    <row r="144" spans="1:11" ht="14.4" x14ac:dyDescent="0.3">
      <c r="A144" s="2"/>
      <c r="B144" s="2"/>
      <c r="C144" s="5"/>
      <c r="D144" s="5"/>
      <c r="E144" s="5"/>
      <c r="F144" s="5"/>
      <c r="G144" s="5"/>
      <c r="H144" s="5"/>
      <c r="I144" s="2"/>
      <c r="J144" s="2"/>
      <c r="K144" s="2"/>
    </row>
    <row r="145" spans="1:11" ht="14.4" x14ac:dyDescent="0.3">
      <c r="A145" s="2"/>
      <c r="B145" s="2"/>
      <c r="C145" s="5"/>
      <c r="D145" s="5"/>
      <c r="E145" s="5"/>
      <c r="F145" s="5"/>
      <c r="G145" s="5"/>
      <c r="H145" s="5"/>
      <c r="I145" s="2"/>
      <c r="J145" s="2"/>
      <c r="K145" s="2"/>
    </row>
    <row r="146" spans="1:11" ht="14.4" x14ac:dyDescent="0.3">
      <c r="A146" s="2"/>
      <c r="B146" s="2"/>
      <c r="C146" s="5"/>
      <c r="D146" s="5"/>
      <c r="E146" s="5"/>
      <c r="F146" s="5"/>
      <c r="G146" s="5"/>
      <c r="H146" s="5"/>
      <c r="I146" s="2"/>
      <c r="J146" s="2"/>
      <c r="K146" s="2"/>
    </row>
    <row r="147" spans="1:11" ht="14.4" x14ac:dyDescent="0.3">
      <c r="A147" s="2"/>
      <c r="B147" s="2"/>
      <c r="C147" s="5"/>
      <c r="D147" s="5"/>
      <c r="E147" s="5"/>
      <c r="F147" s="5"/>
      <c r="G147" s="5"/>
      <c r="H147" s="5"/>
      <c r="I147" s="2"/>
      <c r="J147" s="2"/>
      <c r="K147" s="2"/>
    </row>
    <row r="148" spans="1:11" ht="14.4" x14ac:dyDescent="0.3">
      <c r="A148" s="2"/>
      <c r="B148" s="2"/>
      <c r="C148" s="5"/>
      <c r="D148" s="5"/>
      <c r="E148" s="5"/>
      <c r="F148" s="5"/>
      <c r="G148" s="5"/>
      <c r="H148" s="5"/>
      <c r="I148" s="2"/>
      <c r="J148" s="2"/>
      <c r="K148" s="2"/>
    </row>
    <row r="149" spans="1:11" ht="14.4" x14ac:dyDescent="0.3">
      <c r="A149" s="2"/>
      <c r="B149" s="2"/>
      <c r="C149" s="5"/>
      <c r="D149" s="5"/>
      <c r="E149" s="5"/>
      <c r="F149" s="5"/>
      <c r="G149" s="5"/>
      <c r="H149" s="5"/>
      <c r="I149" s="2"/>
      <c r="J149" s="2"/>
      <c r="K149" s="2"/>
    </row>
    <row r="150" spans="1:11" ht="14.4" x14ac:dyDescent="0.3">
      <c r="A150" s="2"/>
      <c r="B150" s="2"/>
      <c r="C150" s="5"/>
      <c r="D150" s="5"/>
      <c r="E150" s="5"/>
      <c r="F150" s="5"/>
      <c r="G150" s="5"/>
      <c r="H150" s="5"/>
      <c r="I150" s="2"/>
      <c r="J150" s="2"/>
      <c r="K150" s="2"/>
    </row>
    <row r="151" spans="1:11" ht="14.4" x14ac:dyDescent="0.3">
      <c r="A151" s="2"/>
      <c r="B151" s="2"/>
      <c r="C151" s="5"/>
      <c r="D151" s="5"/>
      <c r="E151" s="5"/>
      <c r="F151" s="5"/>
      <c r="G151" s="5"/>
      <c r="H151" s="5"/>
      <c r="I151" s="2"/>
      <c r="J151" s="2"/>
      <c r="K151" s="2"/>
    </row>
    <row r="152" spans="1:11" ht="14.4" x14ac:dyDescent="0.3">
      <c r="A152" s="2"/>
      <c r="B152" s="2"/>
      <c r="C152" s="5"/>
      <c r="D152" s="5"/>
      <c r="E152" s="5"/>
      <c r="F152" s="5"/>
      <c r="G152" s="5"/>
      <c r="H152" s="5"/>
      <c r="I152" s="2"/>
      <c r="J152" s="2"/>
      <c r="K152" s="2"/>
    </row>
    <row r="153" spans="1:11" ht="14.4" x14ac:dyDescent="0.3">
      <c r="A153" s="2"/>
      <c r="B153" s="2"/>
      <c r="C153" s="5"/>
      <c r="D153" s="5"/>
      <c r="E153" s="5"/>
      <c r="F153" s="5"/>
      <c r="G153" s="5"/>
      <c r="H153" s="5"/>
      <c r="I153" s="2"/>
      <c r="J153" s="2"/>
      <c r="K153" s="2"/>
    </row>
    <row r="154" spans="1:11" ht="14.4" x14ac:dyDescent="0.3">
      <c r="A154" s="2"/>
      <c r="B154" s="2"/>
      <c r="C154" s="5"/>
      <c r="D154" s="5"/>
      <c r="E154" s="5"/>
      <c r="F154" s="5"/>
      <c r="G154" s="5"/>
      <c r="H154" s="5"/>
      <c r="I154" s="2"/>
      <c r="J154" s="2"/>
      <c r="K154" s="2"/>
    </row>
    <row r="155" spans="1:11" ht="14.4" x14ac:dyDescent="0.3">
      <c r="A155" s="2"/>
      <c r="B155" s="2"/>
      <c r="C155" s="5"/>
      <c r="D155" s="5"/>
      <c r="E155" s="5"/>
      <c r="F155" s="5"/>
      <c r="G155" s="5"/>
      <c r="H155" s="5"/>
      <c r="I155" s="2"/>
      <c r="J155" s="2"/>
      <c r="K155" s="2"/>
    </row>
    <row r="156" spans="1:11" ht="14.4" x14ac:dyDescent="0.3">
      <c r="A156" s="2"/>
      <c r="B156" s="2"/>
      <c r="C156" s="5"/>
      <c r="D156" s="5"/>
      <c r="E156" s="5"/>
      <c r="F156" s="5"/>
      <c r="G156" s="5"/>
      <c r="H156" s="5"/>
      <c r="I156" s="2"/>
      <c r="J156" s="2"/>
      <c r="K156" s="2"/>
    </row>
    <row r="157" spans="1:11" ht="14.4" x14ac:dyDescent="0.3">
      <c r="A157" s="2"/>
      <c r="B157" s="2"/>
      <c r="C157" s="5"/>
      <c r="D157" s="5"/>
      <c r="E157" s="5"/>
      <c r="F157" s="5"/>
      <c r="G157" s="5"/>
      <c r="H157" s="5"/>
      <c r="I157" s="2"/>
      <c r="J157" s="2"/>
      <c r="K157" s="2"/>
    </row>
    <row r="158" spans="1:11" ht="14.4" x14ac:dyDescent="0.3">
      <c r="A158" s="2"/>
      <c r="B158" s="2"/>
      <c r="C158" s="5"/>
      <c r="D158" s="5"/>
      <c r="E158" s="5"/>
      <c r="F158" s="5"/>
      <c r="G158" s="5"/>
      <c r="H158" s="5"/>
      <c r="I158" s="2"/>
      <c r="J158" s="2"/>
      <c r="K158" s="2"/>
    </row>
    <row r="159" spans="1:11" ht="14.4" x14ac:dyDescent="0.3">
      <c r="A159" s="2"/>
      <c r="B159" s="2"/>
      <c r="C159" s="5"/>
      <c r="D159" s="5"/>
      <c r="E159" s="5"/>
      <c r="F159" s="5"/>
      <c r="G159" s="5"/>
      <c r="H159" s="5"/>
      <c r="I159" s="2"/>
      <c r="J159" s="2"/>
      <c r="K159" s="2"/>
    </row>
    <row r="160" spans="1:11" ht="14.4" x14ac:dyDescent="0.3">
      <c r="A160" s="2"/>
      <c r="B160" s="2"/>
      <c r="C160" s="5"/>
      <c r="D160" s="5"/>
      <c r="E160" s="5"/>
      <c r="F160" s="5"/>
      <c r="G160" s="5"/>
      <c r="H160" s="5"/>
      <c r="I160" s="2"/>
      <c r="J160" s="2"/>
      <c r="K160" s="2"/>
    </row>
    <row r="161" spans="1:11" ht="14.4" x14ac:dyDescent="0.3">
      <c r="A161" s="2"/>
      <c r="B161" s="2"/>
      <c r="C161" s="5"/>
      <c r="D161" s="5"/>
      <c r="E161" s="5"/>
      <c r="F161" s="5"/>
      <c r="G161" s="5"/>
      <c r="H161" s="5"/>
      <c r="I161" s="2"/>
      <c r="J161" s="2"/>
      <c r="K161" s="2"/>
    </row>
    <row r="162" spans="1:11" ht="14.4" x14ac:dyDescent="0.3">
      <c r="A162" s="2"/>
      <c r="B162" s="2"/>
      <c r="C162" s="5"/>
      <c r="D162" s="5"/>
      <c r="E162" s="5"/>
      <c r="F162" s="5"/>
      <c r="G162" s="5"/>
      <c r="H162" s="5"/>
      <c r="I162" s="2"/>
      <c r="J162" s="2"/>
      <c r="K162" s="2"/>
    </row>
    <row r="163" spans="1:11" ht="14.4" x14ac:dyDescent="0.3">
      <c r="A163" s="2"/>
      <c r="B163" s="2"/>
      <c r="C163" s="5"/>
      <c r="D163" s="5"/>
      <c r="E163" s="5"/>
      <c r="F163" s="5"/>
      <c r="G163" s="5"/>
      <c r="H163" s="5"/>
      <c r="I163" s="2"/>
      <c r="J163" s="2"/>
      <c r="K163" s="2"/>
    </row>
    <row r="164" spans="1:11" ht="14.4" x14ac:dyDescent="0.3">
      <c r="A164" s="2"/>
      <c r="B164" s="2"/>
      <c r="C164" s="5"/>
      <c r="D164" s="5"/>
      <c r="E164" s="5"/>
      <c r="F164" s="5"/>
      <c r="G164" s="5"/>
      <c r="H164" s="5"/>
      <c r="I164" s="2"/>
      <c r="J164" s="2"/>
      <c r="K164" s="2"/>
    </row>
    <row r="165" spans="1:11" ht="14.4" x14ac:dyDescent="0.3">
      <c r="A165" s="2"/>
      <c r="B165" s="2"/>
      <c r="C165" s="5"/>
      <c r="D165" s="5"/>
      <c r="E165" s="5"/>
      <c r="F165" s="5"/>
      <c r="G165" s="5"/>
      <c r="H165" s="5"/>
      <c r="I165" s="2"/>
      <c r="J165" s="2"/>
      <c r="K165" s="2"/>
    </row>
    <row r="166" spans="1:11" ht="14.4" x14ac:dyDescent="0.3">
      <c r="A166" s="2"/>
      <c r="B166" s="2"/>
      <c r="C166" s="5"/>
      <c r="D166" s="5"/>
      <c r="E166" s="5"/>
      <c r="F166" s="5"/>
      <c r="G166" s="5"/>
      <c r="H166" s="5"/>
      <c r="I166" s="2"/>
      <c r="J166" s="2"/>
      <c r="K166" s="2"/>
    </row>
    <row r="167" spans="1:11" ht="14.4" x14ac:dyDescent="0.3">
      <c r="A167" s="2"/>
      <c r="B167" s="2"/>
      <c r="C167" s="5"/>
      <c r="D167" s="5"/>
      <c r="E167" s="5"/>
      <c r="F167" s="5"/>
      <c r="G167" s="5"/>
      <c r="H167" s="5"/>
      <c r="I167" s="2"/>
      <c r="J167" s="2"/>
      <c r="K167" s="2"/>
    </row>
    <row r="168" spans="1:11" ht="14.4" x14ac:dyDescent="0.3">
      <c r="A168" s="2"/>
      <c r="B168" s="2"/>
      <c r="C168" s="5"/>
      <c r="D168" s="5"/>
      <c r="E168" s="5"/>
      <c r="F168" s="5"/>
      <c r="G168" s="5"/>
      <c r="H168" s="5"/>
      <c r="I168" s="2"/>
      <c r="J168" s="2"/>
      <c r="K168" s="2"/>
    </row>
    <row r="169" spans="1:11" ht="14.4" x14ac:dyDescent="0.3">
      <c r="A169" s="2"/>
      <c r="B169" s="2"/>
      <c r="C169" s="5"/>
      <c r="D169" s="5"/>
      <c r="E169" s="5"/>
      <c r="F169" s="5"/>
      <c r="G169" s="5"/>
      <c r="H169" s="5"/>
      <c r="I169" s="2"/>
      <c r="J169" s="2"/>
      <c r="K169" s="2"/>
    </row>
    <row r="170" spans="1:11" ht="14.4" x14ac:dyDescent="0.3">
      <c r="A170" s="2"/>
      <c r="B170" s="2"/>
      <c r="C170" s="5"/>
      <c r="D170" s="5"/>
      <c r="E170" s="5"/>
      <c r="F170" s="5"/>
      <c r="G170" s="5"/>
      <c r="H170" s="5"/>
      <c r="I170" s="2"/>
      <c r="J170" s="2"/>
      <c r="K170" s="2"/>
    </row>
    <row r="171" spans="1:11" ht="14.4" x14ac:dyDescent="0.3">
      <c r="A171" s="2"/>
      <c r="B171" s="2"/>
      <c r="C171" s="5"/>
      <c r="D171" s="5"/>
      <c r="E171" s="5"/>
      <c r="F171" s="5"/>
      <c r="G171" s="5"/>
      <c r="H171" s="5"/>
      <c r="I171" s="2"/>
      <c r="J171" s="2"/>
      <c r="K171" s="2"/>
    </row>
    <row r="172" spans="1:11" ht="14.4" x14ac:dyDescent="0.3">
      <c r="A172" s="2"/>
      <c r="B172" s="2"/>
      <c r="C172" s="5"/>
      <c r="D172" s="5"/>
      <c r="E172" s="5"/>
      <c r="F172" s="5"/>
      <c r="G172" s="5"/>
      <c r="H172" s="5"/>
      <c r="I172" s="2"/>
      <c r="J172" s="2"/>
      <c r="K172" s="2"/>
    </row>
    <row r="173" spans="1:11" ht="14.4" x14ac:dyDescent="0.3">
      <c r="A173" s="2"/>
      <c r="B173" s="2"/>
      <c r="C173" s="5"/>
      <c r="D173" s="5"/>
      <c r="E173" s="5"/>
      <c r="F173" s="5"/>
      <c r="G173" s="5"/>
      <c r="H173" s="5"/>
      <c r="I173" s="2"/>
      <c r="J173" s="2"/>
      <c r="K173" s="2"/>
    </row>
    <row r="174" spans="1:11" ht="14.4" x14ac:dyDescent="0.3">
      <c r="A174" s="2"/>
      <c r="B174" s="2"/>
      <c r="C174" s="5"/>
      <c r="D174" s="5"/>
      <c r="E174" s="5"/>
      <c r="F174" s="5"/>
      <c r="G174" s="5"/>
      <c r="H174" s="5"/>
      <c r="I174" s="2"/>
      <c r="J174" s="2"/>
      <c r="K174" s="2"/>
    </row>
    <row r="175" spans="1:11" ht="14.4" x14ac:dyDescent="0.3">
      <c r="A175" s="2"/>
      <c r="B175" s="2"/>
      <c r="C175" s="5"/>
      <c r="D175" s="5"/>
      <c r="E175" s="5"/>
      <c r="F175" s="5"/>
      <c r="G175" s="5"/>
      <c r="H175" s="5"/>
      <c r="I175" s="2"/>
      <c r="J175" s="2"/>
      <c r="K175" s="2"/>
    </row>
    <row r="176" spans="1:11" ht="14.4" x14ac:dyDescent="0.3">
      <c r="A176" s="2"/>
      <c r="B176" s="2"/>
      <c r="C176" s="5"/>
      <c r="D176" s="5"/>
      <c r="E176" s="5"/>
      <c r="F176" s="5"/>
      <c r="G176" s="5"/>
      <c r="H176" s="5"/>
      <c r="I176" s="2"/>
      <c r="J176" s="2"/>
      <c r="K176" s="2"/>
    </row>
    <row r="177" spans="1:11" ht="14.4" x14ac:dyDescent="0.3">
      <c r="A177" s="2"/>
      <c r="B177" s="2"/>
      <c r="C177" s="5"/>
      <c r="D177" s="5"/>
      <c r="E177" s="5"/>
      <c r="F177" s="5"/>
      <c r="G177" s="5"/>
      <c r="H177" s="5"/>
      <c r="I177" s="2"/>
      <c r="J177" s="2"/>
      <c r="K177" s="2"/>
    </row>
    <row r="178" spans="1:11" ht="14.4" x14ac:dyDescent="0.3">
      <c r="A178" s="2"/>
      <c r="B178" s="2"/>
      <c r="C178" s="5"/>
      <c r="D178" s="5"/>
      <c r="E178" s="5"/>
      <c r="F178" s="5"/>
      <c r="G178" s="5"/>
      <c r="H178" s="5"/>
      <c r="I178" s="2"/>
      <c r="J178" s="2"/>
      <c r="K178" s="2"/>
    </row>
    <row r="179" spans="1:11" ht="14.4" x14ac:dyDescent="0.3">
      <c r="A179" s="2"/>
      <c r="B179" s="2"/>
      <c r="C179" s="5"/>
      <c r="D179" s="5"/>
      <c r="E179" s="5"/>
      <c r="F179" s="5"/>
      <c r="G179" s="5"/>
      <c r="H179" s="5"/>
      <c r="I179" s="2"/>
      <c r="J179" s="2"/>
      <c r="K179" s="2"/>
    </row>
    <row r="180" spans="1:11" ht="14.4" x14ac:dyDescent="0.3">
      <c r="A180" s="2"/>
      <c r="B180" s="2"/>
      <c r="C180" s="5"/>
      <c r="D180" s="5"/>
      <c r="E180" s="5"/>
      <c r="F180" s="5"/>
      <c r="G180" s="5"/>
      <c r="H180" s="5"/>
      <c r="I180" s="2"/>
      <c r="J180" s="2"/>
      <c r="K180" s="2"/>
    </row>
    <row r="181" spans="1:11" ht="14.4" x14ac:dyDescent="0.3">
      <c r="A181" s="2"/>
      <c r="B181" s="2"/>
      <c r="C181" s="5"/>
      <c r="D181" s="5"/>
      <c r="E181" s="5"/>
      <c r="F181" s="5"/>
      <c r="G181" s="5"/>
      <c r="H181" s="5"/>
      <c r="I181" s="2"/>
      <c r="J181" s="2"/>
      <c r="K181" s="2"/>
    </row>
    <row r="182" spans="1:11" ht="14.4" x14ac:dyDescent="0.3">
      <c r="A182" s="2"/>
      <c r="B182" s="2"/>
      <c r="C182" s="5"/>
      <c r="D182" s="5"/>
      <c r="E182" s="5"/>
      <c r="F182" s="5"/>
      <c r="G182" s="5"/>
      <c r="H182" s="5"/>
      <c r="I182" s="2"/>
      <c r="J182" s="2"/>
      <c r="K182" s="2"/>
    </row>
    <row r="183" spans="1:11" ht="14.4" x14ac:dyDescent="0.3">
      <c r="A183" s="2"/>
      <c r="B183" s="2"/>
      <c r="C183" s="5"/>
      <c r="D183" s="5"/>
      <c r="E183" s="5"/>
      <c r="F183" s="5"/>
      <c r="G183" s="5"/>
      <c r="H183" s="5"/>
      <c r="I183" s="2"/>
      <c r="J183" s="2"/>
      <c r="K183" s="2"/>
    </row>
    <row r="184" spans="1:11" ht="14.4" x14ac:dyDescent="0.3">
      <c r="A184" s="2"/>
      <c r="B184" s="2"/>
      <c r="C184" s="5"/>
      <c r="D184" s="5"/>
      <c r="E184" s="5"/>
      <c r="F184" s="5"/>
      <c r="G184" s="5"/>
      <c r="H184" s="5"/>
      <c r="I184" s="2"/>
      <c r="J184" s="2"/>
      <c r="K184" s="2"/>
    </row>
    <row r="185" spans="1:11" ht="14.4" x14ac:dyDescent="0.3">
      <c r="A185" s="2"/>
      <c r="B185" s="2"/>
      <c r="C185" s="5"/>
      <c r="D185" s="5"/>
      <c r="E185" s="5"/>
      <c r="F185" s="5"/>
      <c r="G185" s="5"/>
      <c r="H185" s="5"/>
      <c r="I185" s="2"/>
      <c r="J185" s="2"/>
      <c r="K185" s="2"/>
    </row>
    <row r="186" spans="1:11" ht="14.4" x14ac:dyDescent="0.3">
      <c r="A186" s="2"/>
      <c r="B186" s="2"/>
      <c r="C186" s="5"/>
      <c r="D186" s="5"/>
      <c r="E186" s="5"/>
      <c r="F186" s="5"/>
      <c r="G186" s="5"/>
      <c r="H186" s="5"/>
      <c r="I186" s="2"/>
      <c r="J186" s="2"/>
      <c r="K186" s="2"/>
    </row>
    <row r="187" spans="1:11" ht="14.4" x14ac:dyDescent="0.3">
      <c r="A187" s="2"/>
      <c r="B187" s="2"/>
      <c r="C187" s="5"/>
      <c r="D187" s="5"/>
      <c r="E187" s="5"/>
      <c r="F187" s="5"/>
      <c r="G187" s="5"/>
      <c r="H187" s="5"/>
      <c r="I187" s="2"/>
      <c r="J187" s="2"/>
      <c r="K187" s="2"/>
    </row>
    <row r="188" spans="1:11" ht="14.4" x14ac:dyDescent="0.3">
      <c r="A188" s="2"/>
      <c r="B188" s="2"/>
      <c r="C188" s="5"/>
      <c r="D188" s="5"/>
      <c r="E188" s="5"/>
      <c r="F188" s="5"/>
      <c r="G188" s="5"/>
      <c r="H188" s="5"/>
      <c r="I188" s="2"/>
      <c r="J188" s="2"/>
      <c r="K188" s="2"/>
    </row>
    <row r="189" spans="1:11" ht="14.4" x14ac:dyDescent="0.3">
      <c r="A189" s="2"/>
      <c r="B189" s="2"/>
      <c r="C189" s="5"/>
      <c r="D189" s="5"/>
      <c r="E189" s="5"/>
      <c r="F189" s="5"/>
      <c r="G189" s="5"/>
      <c r="H189" s="5"/>
      <c r="I189" s="2"/>
      <c r="J189" s="2"/>
      <c r="K189" s="2"/>
    </row>
    <row r="190" spans="1:11" ht="14.4" x14ac:dyDescent="0.3">
      <c r="A190" s="2"/>
      <c r="B190" s="2"/>
      <c r="C190" s="5"/>
      <c r="D190" s="5"/>
      <c r="E190" s="5"/>
      <c r="F190" s="5"/>
      <c r="G190" s="5"/>
      <c r="H190" s="5"/>
      <c r="I190" s="2"/>
      <c r="J190" s="2"/>
      <c r="K190" s="2"/>
    </row>
    <row r="191" spans="1:11" ht="14.4" x14ac:dyDescent="0.3">
      <c r="A191" s="2"/>
      <c r="B191" s="2"/>
      <c r="C191" s="5"/>
      <c r="D191" s="5"/>
      <c r="E191" s="5"/>
      <c r="F191" s="5"/>
      <c r="G191" s="5"/>
      <c r="H191" s="5"/>
      <c r="I191" s="2"/>
      <c r="J191" s="2"/>
      <c r="K191" s="2"/>
    </row>
    <row r="192" spans="1:11" ht="14.4" x14ac:dyDescent="0.3">
      <c r="A192" s="2"/>
      <c r="B192" s="2"/>
      <c r="C192" s="5"/>
      <c r="D192" s="5"/>
      <c r="E192" s="5"/>
      <c r="F192" s="5"/>
      <c r="G192" s="5"/>
      <c r="H192" s="5"/>
      <c r="I192" s="2"/>
      <c r="J192" s="2"/>
      <c r="K192" s="2"/>
    </row>
    <row r="193" spans="1:11" ht="14.4" x14ac:dyDescent="0.3">
      <c r="A193" s="2"/>
      <c r="B193" s="2"/>
      <c r="C193" s="5"/>
      <c r="D193" s="5"/>
      <c r="E193" s="5"/>
      <c r="F193" s="5"/>
      <c r="G193" s="5"/>
      <c r="H193" s="5"/>
      <c r="I193" s="2"/>
      <c r="J193" s="2"/>
      <c r="K193" s="2"/>
    </row>
    <row r="194" spans="1:11" ht="14.4" x14ac:dyDescent="0.3">
      <c r="A194" s="2"/>
      <c r="B194" s="2"/>
      <c r="C194" s="5"/>
      <c r="D194" s="5"/>
      <c r="E194" s="5"/>
      <c r="F194" s="5"/>
      <c r="G194" s="5"/>
      <c r="H194" s="5"/>
      <c r="I194" s="2"/>
      <c r="J194" s="2"/>
      <c r="K194" s="2"/>
    </row>
    <row r="195" spans="1:11" ht="14.4" x14ac:dyDescent="0.3">
      <c r="A195" s="2"/>
      <c r="B195" s="2"/>
      <c r="C195" s="5"/>
      <c r="D195" s="5"/>
      <c r="E195" s="5"/>
      <c r="F195" s="5"/>
      <c r="G195" s="5"/>
      <c r="H195" s="5"/>
      <c r="I195" s="2"/>
      <c r="J195" s="2"/>
      <c r="K195" s="2"/>
    </row>
    <row r="196" spans="1:11" ht="14.4" x14ac:dyDescent="0.3">
      <c r="A196" s="2"/>
      <c r="B196" s="2"/>
      <c r="C196" s="5"/>
      <c r="D196" s="5"/>
      <c r="E196" s="5"/>
      <c r="F196" s="5"/>
      <c r="G196" s="5"/>
      <c r="H196" s="5"/>
      <c r="I196" s="2"/>
      <c r="J196" s="2"/>
      <c r="K196" s="2"/>
    </row>
    <row r="197" spans="1:11" ht="14.4" x14ac:dyDescent="0.3">
      <c r="A197" s="2"/>
      <c r="B197" s="2"/>
      <c r="C197" s="5"/>
      <c r="D197" s="5"/>
      <c r="E197" s="5"/>
      <c r="F197" s="5"/>
      <c r="G197" s="5"/>
      <c r="H197" s="5"/>
      <c r="I197" s="2"/>
      <c r="J197" s="2"/>
      <c r="K197" s="2"/>
    </row>
    <row r="198" spans="1:11" ht="14.4" x14ac:dyDescent="0.3">
      <c r="A198" s="2"/>
      <c r="B198" s="2"/>
      <c r="C198" s="5"/>
      <c r="D198" s="5"/>
      <c r="E198" s="5"/>
      <c r="F198" s="5"/>
      <c r="G198" s="5"/>
      <c r="H198" s="5"/>
      <c r="I198" s="2"/>
      <c r="J198" s="2"/>
      <c r="K198" s="2"/>
    </row>
    <row r="199" spans="1:11" ht="14.4" x14ac:dyDescent="0.3">
      <c r="A199" s="2"/>
      <c r="B199" s="2"/>
      <c r="C199" s="5"/>
      <c r="D199" s="5"/>
      <c r="E199" s="5"/>
      <c r="F199" s="5"/>
      <c r="G199" s="5"/>
      <c r="H199" s="5"/>
      <c r="I199" s="2"/>
      <c r="J199" s="2"/>
      <c r="K199" s="2"/>
    </row>
    <row r="200" spans="1:11" ht="14.4" x14ac:dyDescent="0.3">
      <c r="A200" s="2"/>
      <c r="B200" s="2"/>
      <c r="C200" s="5"/>
      <c r="D200" s="5"/>
      <c r="E200" s="5"/>
      <c r="F200" s="5"/>
      <c r="G200" s="5"/>
      <c r="H200" s="5"/>
      <c r="I200" s="2"/>
      <c r="J200" s="2"/>
      <c r="K200" s="2"/>
    </row>
    <row r="201" spans="1:11" ht="14.4" x14ac:dyDescent="0.3">
      <c r="A201" s="2"/>
      <c r="B201" s="2"/>
      <c r="C201" s="5"/>
      <c r="D201" s="5"/>
      <c r="E201" s="5"/>
      <c r="F201" s="5"/>
      <c r="G201" s="5"/>
      <c r="H201" s="5"/>
      <c r="I201" s="2"/>
      <c r="J201" s="2"/>
      <c r="K201" s="2"/>
    </row>
    <row r="202" spans="1:11" ht="14.4" x14ac:dyDescent="0.3">
      <c r="A202" s="2"/>
      <c r="B202" s="2"/>
      <c r="C202" s="5"/>
      <c r="D202" s="5"/>
      <c r="E202" s="5"/>
      <c r="F202" s="5"/>
      <c r="G202" s="5"/>
      <c r="H202" s="5"/>
      <c r="I202" s="2"/>
      <c r="J202" s="2"/>
      <c r="K202" s="2"/>
    </row>
    <row r="203" spans="1:11" ht="14.4" x14ac:dyDescent="0.3">
      <c r="A203" s="2"/>
      <c r="B203" s="2"/>
      <c r="C203" s="5"/>
      <c r="D203" s="5"/>
      <c r="E203" s="5"/>
      <c r="F203" s="5"/>
      <c r="G203" s="5"/>
      <c r="H203" s="5"/>
      <c r="I203" s="2"/>
      <c r="J203" s="2"/>
      <c r="K203" s="2"/>
    </row>
    <row r="204" spans="1:11" ht="14.4" x14ac:dyDescent="0.3">
      <c r="A204" s="2"/>
      <c r="B204" s="2"/>
      <c r="C204" s="5"/>
      <c r="D204" s="5"/>
      <c r="E204" s="5"/>
      <c r="F204" s="5"/>
      <c r="G204" s="5"/>
      <c r="H204" s="5"/>
      <c r="I204" s="2"/>
      <c r="J204" s="2"/>
      <c r="K204" s="2"/>
    </row>
    <row r="205" spans="1:11" ht="14.4" x14ac:dyDescent="0.3">
      <c r="A205" s="2"/>
      <c r="B205" s="2"/>
      <c r="C205" s="5"/>
      <c r="D205" s="5"/>
      <c r="E205" s="5"/>
      <c r="F205" s="5"/>
      <c r="G205" s="5"/>
      <c r="H205" s="5"/>
      <c r="I205" s="2"/>
      <c r="J205" s="2"/>
      <c r="K205" s="2"/>
    </row>
    <row r="206" spans="1:11" ht="14.4" x14ac:dyDescent="0.3">
      <c r="A206" s="2"/>
      <c r="B206" s="2"/>
      <c r="C206" s="5"/>
      <c r="D206" s="5"/>
      <c r="E206" s="5"/>
      <c r="F206" s="5"/>
      <c r="G206" s="5"/>
      <c r="H206" s="5"/>
      <c r="I206" s="2"/>
      <c r="J206" s="2"/>
      <c r="K206" s="2"/>
    </row>
    <row r="207" spans="1:11" ht="14.4" x14ac:dyDescent="0.3">
      <c r="A207" s="2"/>
      <c r="B207" s="2"/>
      <c r="C207" s="5"/>
      <c r="D207" s="5"/>
      <c r="E207" s="5"/>
      <c r="F207" s="5"/>
      <c r="G207" s="5"/>
      <c r="H207" s="5"/>
      <c r="I207" s="2"/>
      <c r="J207" s="2"/>
      <c r="K207" s="2"/>
    </row>
    <row r="208" spans="1:11" ht="14.4" x14ac:dyDescent="0.3">
      <c r="A208" s="2"/>
      <c r="B208" s="2"/>
      <c r="C208" s="5"/>
      <c r="D208" s="5"/>
      <c r="E208" s="5"/>
      <c r="F208" s="5"/>
      <c r="G208" s="5"/>
      <c r="H208" s="5"/>
      <c r="I208" s="2"/>
      <c r="J208" s="2"/>
      <c r="K208" s="2"/>
    </row>
    <row r="209" spans="1:11" ht="14.4" x14ac:dyDescent="0.3">
      <c r="A209" s="2"/>
      <c r="B209" s="2"/>
      <c r="C209" s="5"/>
      <c r="D209" s="5"/>
      <c r="E209" s="5"/>
      <c r="F209" s="5"/>
      <c r="G209" s="5"/>
      <c r="H209" s="5"/>
      <c r="I209" s="2"/>
      <c r="J209" s="2"/>
      <c r="K209" s="2"/>
    </row>
    <row r="210" spans="1:11" ht="14.4" x14ac:dyDescent="0.3">
      <c r="A210" s="2"/>
      <c r="B210" s="2"/>
      <c r="C210" s="5"/>
      <c r="D210" s="5"/>
      <c r="E210" s="5"/>
      <c r="F210" s="5"/>
      <c r="G210" s="5"/>
      <c r="H210" s="5"/>
      <c r="I210" s="2"/>
      <c r="J210" s="2"/>
      <c r="K210" s="2"/>
    </row>
    <row r="211" spans="1:11" ht="14.4" x14ac:dyDescent="0.3">
      <c r="A211" s="2"/>
      <c r="B211" s="2"/>
      <c r="C211" s="5"/>
      <c r="D211" s="5"/>
      <c r="E211" s="5"/>
      <c r="F211" s="5"/>
      <c r="G211" s="5"/>
      <c r="H211" s="5"/>
      <c r="I211" s="2"/>
      <c r="J211" s="2"/>
      <c r="K211" s="2"/>
    </row>
    <row r="212" spans="1:11" ht="14.4" x14ac:dyDescent="0.3">
      <c r="A212" s="2"/>
      <c r="B212" s="2"/>
      <c r="C212" s="5"/>
      <c r="D212" s="5"/>
      <c r="E212" s="5"/>
      <c r="F212" s="5"/>
      <c r="G212" s="5"/>
      <c r="H212" s="5"/>
      <c r="I212" s="2"/>
      <c r="J212" s="2"/>
      <c r="K212" s="2"/>
    </row>
    <row r="213" spans="1:11" ht="14.4" x14ac:dyDescent="0.3">
      <c r="A213" s="2"/>
      <c r="B213" s="2"/>
      <c r="C213" s="5"/>
      <c r="D213" s="5"/>
      <c r="E213" s="5"/>
      <c r="F213" s="5"/>
      <c r="G213" s="5"/>
      <c r="H213" s="5"/>
      <c r="I213" s="2"/>
      <c r="J213" s="2"/>
      <c r="K213" s="2"/>
    </row>
    <row r="214" spans="1:11" ht="14.4" x14ac:dyDescent="0.3">
      <c r="A214" s="2"/>
      <c r="B214" s="2"/>
      <c r="C214" s="5"/>
      <c r="D214" s="5"/>
      <c r="E214" s="5"/>
      <c r="F214" s="5"/>
      <c r="G214" s="5"/>
      <c r="H214" s="5"/>
      <c r="I214" s="2"/>
      <c r="J214" s="2"/>
      <c r="K214" s="2"/>
    </row>
    <row r="215" spans="1:11" ht="14.4" x14ac:dyDescent="0.3">
      <c r="A215" s="2"/>
      <c r="B215" s="2"/>
      <c r="C215" s="5"/>
      <c r="D215" s="5"/>
      <c r="E215" s="5"/>
      <c r="F215" s="5"/>
      <c r="G215" s="5"/>
      <c r="H215" s="5"/>
      <c r="I215" s="2"/>
      <c r="J215" s="2"/>
      <c r="K215" s="2"/>
    </row>
    <row r="216" spans="1:11" ht="14.4" x14ac:dyDescent="0.3">
      <c r="A216" s="2"/>
      <c r="B216" s="2"/>
      <c r="C216" s="5"/>
      <c r="D216" s="5"/>
      <c r="E216" s="5"/>
      <c r="F216" s="5"/>
      <c r="G216" s="5"/>
      <c r="H216" s="5"/>
      <c r="I216" s="2"/>
      <c r="J216" s="2"/>
      <c r="K216" s="2"/>
    </row>
    <row r="217" spans="1:11" ht="14.4" x14ac:dyDescent="0.3">
      <c r="A217" s="2"/>
      <c r="B217" s="2"/>
      <c r="C217" s="5"/>
      <c r="D217" s="5"/>
      <c r="E217" s="5"/>
      <c r="F217" s="5"/>
      <c r="G217" s="5"/>
      <c r="H217" s="5"/>
      <c r="I217" s="2"/>
      <c r="J217" s="2"/>
      <c r="K217" s="2"/>
    </row>
    <row r="218" spans="1:11" ht="14.4" x14ac:dyDescent="0.3">
      <c r="A218" s="2"/>
      <c r="B218" s="2"/>
      <c r="C218" s="5"/>
      <c r="D218" s="5"/>
      <c r="E218" s="5"/>
      <c r="F218" s="5"/>
      <c r="G218" s="5"/>
      <c r="H218" s="5"/>
      <c r="I218" s="2"/>
      <c r="J218" s="2"/>
      <c r="K218" s="2"/>
    </row>
    <row r="219" spans="1:11" ht="14.4" x14ac:dyDescent="0.3">
      <c r="A219" s="2"/>
      <c r="B219" s="2"/>
      <c r="C219" s="5"/>
      <c r="D219" s="5"/>
      <c r="E219" s="5"/>
      <c r="F219" s="5"/>
      <c r="G219" s="5"/>
      <c r="H219" s="5"/>
      <c r="I219" s="2"/>
      <c r="J219" s="2"/>
      <c r="K219" s="2"/>
    </row>
    <row r="220" spans="1:11" ht="14.4" x14ac:dyDescent="0.3">
      <c r="A220" s="2"/>
      <c r="B220" s="2"/>
      <c r="C220" s="5"/>
      <c r="D220" s="5"/>
      <c r="E220" s="5"/>
      <c r="F220" s="5"/>
      <c r="G220" s="5"/>
      <c r="H220" s="5"/>
      <c r="I220" s="2"/>
      <c r="J220" s="2"/>
      <c r="K220" s="2"/>
    </row>
    <row r="221" spans="1:11" ht="14.4" x14ac:dyDescent="0.3">
      <c r="A221" s="2"/>
      <c r="B221" s="2"/>
      <c r="C221" s="5"/>
      <c r="D221" s="5"/>
      <c r="E221" s="5"/>
      <c r="F221" s="5"/>
      <c r="G221" s="5"/>
      <c r="H221" s="5"/>
      <c r="I221" s="2"/>
      <c r="J221" s="2"/>
      <c r="K221" s="2"/>
    </row>
    <row r="222" spans="1:11" ht="14.4" x14ac:dyDescent="0.3">
      <c r="A222" s="2"/>
      <c r="B222" s="2"/>
      <c r="C222" s="5"/>
      <c r="D222" s="5"/>
      <c r="E222" s="5"/>
      <c r="F222" s="5"/>
      <c r="G222" s="5"/>
      <c r="H222" s="5"/>
      <c r="I222" s="2"/>
      <c r="J222" s="2"/>
      <c r="K222" s="2"/>
    </row>
    <row r="223" spans="1:11" ht="14.4" x14ac:dyDescent="0.3">
      <c r="A223" s="2"/>
      <c r="B223" s="2"/>
      <c r="C223" s="5"/>
      <c r="D223" s="5"/>
      <c r="E223" s="5"/>
      <c r="F223" s="5"/>
      <c r="G223" s="5"/>
      <c r="H223" s="5"/>
      <c r="I223" s="2"/>
      <c r="J223" s="2"/>
      <c r="K223" s="2"/>
    </row>
    <row r="224" spans="1:11" ht="14.4" x14ac:dyDescent="0.3">
      <c r="A224" s="2"/>
      <c r="B224" s="2"/>
      <c r="C224" s="5"/>
      <c r="D224" s="5"/>
      <c r="E224" s="5"/>
      <c r="F224" s="5"/>
      <c r="G224" s="5"/>
      <c r="H224" s="5"/>
      <c r="I224" s="2"/>
      <c r="J224" s="2"/>
      <c r="K224" s="2"/>
    </row>
    <row r="225" spans="1:11" ht="14.4" x14ac:dyDescent="0.3">
      <c r="A225" s="2"/>
      <c r="B225" s="2"/>
      <c r="C225" s="5"/>
      <c r="D225" s="5"/>
      <c r="E225" s="5"/>
      <c r="F225" s="5"/>
      <c r="G225" s="5"/>
      <c r="H225" s="5"/>
      <c r="I225" s="2"/>
      <c r="J225" s="2"/>
      <c r="K225" s="2"/>
    </row>
    <row r="226" spans="1:11" ht="14.4" x14ac:dyDescent="0.3">
      <c r="A226" s="2"/>
      <c r="B226" s="2"/>
      <c r="C226" s="5"/>
      <c r="D226" s="5"/>
      <c r="E226" s="5"/>
      <c r="F226" s="5"/>
      <c r="G226" s="5"/>
      <c r="H226" s="5"/>
      <c r="I226" s="2"/>
      <c r="J226" s="2"/>
      <c r="K226" s="2"/>
    </row>
    <row r="227" spans="1:11" ht="14.4" x14ac:dyDescent="0.3">
      <c r="A227" s="2"/>
      <c r="B227" s="2"/>
      <c r="C227" s="5"/>
      <c r="D227" s="5"/>
      <c r="E227" s="5"/>
      <c r="F227" s="5"/>
      <c r="G227" s="5"/>
      <c r="H227" s="5"/>
      <c r="I227" s="2"/>
      <c r="J227" s="2"/>
      <c r="K227" s="2"/>
    </row>
    <row r="228" spans="1:11" ht="14.4" x14ac:dyDescent="0.3">
      <c r="A228" s="2"/>
      <c r="B228" s="2"/>
      <c r="C228" s="5"/>
      <c r="D228" s="5"/>
      <c r="E228" s="5"/>
      <c r="F228" s="5"/>
      <c r="G228" s="5"/>
      <c r="H228" s="5"/>
      <c r="I228" s="2"/>
      <c r="J228" s="2"/>
      <c r="K228" s="2"/>
    </row>
    <row r="229" spans="1:11" ht="14.4" x14ac:dyDescent="0.3">
      <c r="A229" s="2"/>
      <c r="B229" s="2"/>
      <c r="C229" s="5"/>
      <c r="D229" s="5"/>
      <c r="E229" s="5"/>
      <c r="F229" s="5"/>
      <c r="G229" s="5"/>
      <c r="H229" s="5"/>
      <c r="I229" s="2"/>
      <c r="J229" s="2"/>
      <c r="K229" s="2"/>
    </row>
    <row r="230" spans="1:11" ht="14.4" x14ac:dyDescent="0.3">
      <c r="A230" s="2"/>
      <c r="B230" s="2"/>
      <c r="C230" s="5"/>
      <c r="D230" s="5"/>
      <c r="E230" s="5"/>
      <c r="F230" s="5"/>
      <c r="G230" s="5"/>
      <c r="H230" s="5"/>
      <c r="I230" s="2"/>
      <c r="J230" s="2"/>
      <c r="K230" s="2"/>
    </row>
    <row r="231" spans="1:11" ht="14.4" x14ac:dyDescent="0.3">
      <c r="A231" s="2"/>
      <c r="B231" s="2"/>
      <c r="C231" s="5"/>
      <c r="D231" s="5"/>
      <c r="E231" s="5"/>
      <c r="F231" s="5"/>
      <c r="G231" s="5"/>
      <c r="H231" s="5"/>
      <c r="I231" s="2"/>
      <c r="J231" s="2"/>
      <c r="K231" s="2"/>
    </row>
    <row r="232" spans="1:11" ht="14.4" x14ac:dyDescent="0.3">
      <c r="A232" s="2"/>
      <c r="B232" s="2"/>
      <c r="C232" s="5"/>
      <c r="D232" s="5"/>
      <c r="E232" s="5"/>
      <c r="F232" s="5"/>
      <c r="G232" s="5"/>
      <c r="H232" s="5"/>
      <c r="I232" s="2"/>
      <c r="J232" s="2"/>
      <c r="K232" s="2"/>
    </row>
    <row r="233" spans="1:11" ht="14.4" x14ac:dyDescent="0.3">
      <c r="A233" s="2"/>
      <c r="B233" s="2"/>
      <c r="C233" s="5"/>
      <c r="D233" s="5"/>
      <c r="E233" s="5"/>
      <c r="F233" s="5"/>
      <c r="G233" s="5"/>
      <c r="H233" s="5"/>
      <c r="I233" s="2"/>
      <c r="J233" s="2"/>
      <c r="K233" s="2"/>
    </row>
    <row r="234" spans="1:11" ht="14.4" x14ac:dyDescent="0.3">
      <c r="A234" s="2"/>
      <c r="B234" s="2"/>
      <c r="C234" s="5"/>
      <c r="D234" s="5"/>
      <c r="E234" s="5"/>
      <c r="F234" s="5"/>
      <c r="G234" s="5"/>
      <c r="H234" s="5"/>
      <c r="I234" s="2"/>
      <c r="J234" s="2"/>
      <c r="K234" s="2"/>
    </row>
    <row r="235" spans="1:11" ht="14.4" x14ac:dyDescent="0.3">
      <c r="A235" s="2"/>
      <c r="B235" s="2"/>
      <c r="C235" s="5"/>
      <c r="D235" s="5"/>
      <c r="E235" s="5"/>
      <c r="F235" s="5"/>
      <c r="G235" s="5"/>
      <c r="H235" s="5"/>
      <c r="I235" s="2"/>
      <c r="J235" s="2"/>
      <c r="K235" s="2"/>
    </row>
    <row r="236" spans="1:11" ht="14.4" x14ac:dyDescent="0.3">
      <c r="A236" s="2"/>
      <c r="B236" s="2"/>
      <c r="C236" s="5"/>
      <c r="D236" s="5"/>
      <c r="E236" s="5"/>
      <c r="F236" s="5"/>
      <c r="G236" s="5"/>
      <c r="H236" s="5"/>
      <c r="I236" s="2"/>
      <c r="J236" s="2"/>
      <c r="K236" s="2"/>
    </row>
    <row r="237" spans="1:11" ht="14.4" x14ac:dyDescent="0.3">
      <c r="A237" s="2"/>
      <c r="B237" s="2"/>
      <c r="C237" s="5"/>
      <c r="D237" s="5"/>
      <c r="E237" s="5"/>
      <c r="F237" s="5"/>
      <c r="G237" s="5"/>
      <c r="H237" s="5"/>
      <c r="I237" s="2"/>
      <c r="J237" s="2"/>
      <c r="K237" s="2"/>
    </row>
    <row r="238" spans="1:11" ht="14.4" x14ac:dyDescent="0.3">
      <c r="A238" s="2"/>
      <c r="B238" s="2"/>
      <c r="C238" s="5"/>
      <c r="D238" s="5"/>
      <c r="E238" s="5"/>
      <c r="F238" s="5"/>
      <c r="G238" s="5"/>
      <c r="H238" s="5"/>
      <c r="I238" s="2"/>
      <c r="J238" s="2"/>
      <c r="K238" s="2"/>
    </row>
    <row r="239" spans="1:11" ht="14.4" x14ac:dyDescent="0.3">
      <c r="A239" s="2"/>
      <c r="B239" s="2"/>
      <c r="C239" s="5"/>
      <c r="D239" s="5"/>
      <c r="E239" s="5"/>
      <c r="F239" s="5"/>
      <c r="G239" s="5"/>
      <c r="H239" s="5"/>
      <c r="I239" s="2"/>
      <c r="J239" s="2"/>
      <c r="K239" s="2"/>
    </row>
    <row r="240" spans="1:11" ht="14.4" x14ac:dyDescent="0.3">
      <c r="A240" s="2"/>
      <c r="B240" s="2"/>
      <c r="C240" s="5"/>
      <c r="D240" s="5"/>
      <c r="E240" s="5"/>
      <c r="F240" s="5"/>
      <c r="G240" s="5"/>
      <c r="H240" s="5"/>
      <c r="I240" s="2"/>
      <c r="J240" s="2"/>
      <c r="K240" s="2"/>
    </row>
    <row r="241" spans="1:11" ht="14.4" x14ac:dyDescent="0.3">
      <c r="A241" s="2"/>
      <c r="B241" s="2"/>
      <c r="C241" s="5"/>
      <c r="D241" s="5"/>
      <c r="E241" s="5"/>
      <c r="F241" s="5"/>
      <c r="G241" s="5"/>
      <c r="H241" s="5"/>
      <c r="I241" s="2"/>
      <c r="J241" s="2"/>
      <c r="K241" s="2"/>
    </row>
    <row r="242" spans="1:11" ht="14.4" x14ac:dyDescent="0.3">
      <c r="A242" s="2"/>
      <c r="B242" s="2"/>
      <c r="C242" s="5"/>
      <c r="D242" s="5"/>
      <c r="E242" s="5"/>
      <c r="F242" s="5"/>
      <c r="G242" s="5"/>
      <c r="H242" s="5"/>
      <c r="I242" s="2"/>
      <c r="J242" s="2"/>
      <c r="K242" s="2"/>
    </row>
    <row r="243" spans="1:11" ht="14.4" x14ac:dyDescent="0.3">
      <c r="A243" s="2"/>
      <c r="B243" s="2"/>
      <c r="C243" s="5"/>
      <c r="D243" s="5"/>
      <c r="E243" s="5"/>
      <c r="F243" s="5"/>
      <c r="G243" s="5"/>
      <c r="H243" s="5"/>
      <c r="I243" s="2"/>
      <c r="J243" s="2"/>
      <c r="K243" s="2"/>
    </row>
    <row r="244" spans="1:11" ht="14.4" x14ac:dyDescent="0.3">
      <c r="A244" s="2"/>
      <c r="B244" s="2"/>
      <c r="C244" s="5"/>
      <c r="D244" s="5"/>
      <c r="E244" s="5"/>
      <c r="F244" s="5"/>
      <c r="G244" s="5"/>
      <c r="H244" s="5"/>
      <c r="I244" s="2"/>
      <c r="J244" s="2"/>
      <c r="K244" s="2"/>
    </row>
    <row r="245" spans="1:11" ht="14.4" x14ac:dyDescent="0.3">
      <c r="A245" s="2"/>
      <c r="B245" s="2"/>
      <c r="C245" s="5"/>
      <c r="D245" s="5"/>
      <c r="E245" s="5"/>
      <c r="F245" s="5"/>
      <c r="G245" s="5"/>
      <c r="H245" s="5"/>
      <c r="I245" s="2"/>
      <c r="J245" s="2"/>
      <c r="K245" s="2"/>
    </row>
    <row r="246" spans="1:11" ht="14.4" x14ac:dyDescent="0.3">
      <c r="A246" s="2"/>
      <c r="B246" s="2"/>
      <c r="C246" s="5"/>
      <c r="D246" s="5"/>
      <c r="E246" s="5"/>
      <c r="F246" s="5"/>
      <c r="G246" s="5"/>
      <c r="H246" s="5"/>
      <c r="I246" s="2"/>
      <c r="J246" s="2"/>
      <c r="K246" s="2"/>
    </row>
    <row r="247" spans="1:11" ht="14.4" x14ac:dyDescent="0.3">
      <c r="A247" s="2"/>
      <c r="B247" s="2"/>
      <c r="C247" s="5"/>
      <c r="D247" s="5"/>
      <c r="E247" s="5"/>
      <c r="F247" s="5"/>
      <c r="G247" s="5"/>
      <c r="H247" s="5"/>
      <c r="I247" s="2"/>
      <c r="J247" s="2"/>
      <c r="K247" s="2"/>
    </row>
    <row r="248" spans="1:11" ht="14.4" x14ac:dyDescent="0.3">
      <c r="A248" s="2"/>
      <c r="B248" s="2"/>
      <c r="C248" s="5"/>
      <c r="D248" s="5"/>
      <c r="E248" s="5"/>
      <c r="F248" s="5"/>
      <c r="G248" s="5"/>
      <c r="H248" s="5"/>
      <c r="I248" s="2"/>
      <c r="J248" s="2"/>
      <c r="K248" s="2"/>
    </row>
    <row r="249" spans="1:11" ht="14.4" x14ac:dyDescent="0.3">
      <c r="A249" s="2"/>
      <c r="B249" s="2"/>
      <c r="C249" s="5"/>
      <c r="D249" s="5"/>
      <c r="E249" s="5"/>
      <c r="F249" s="5"/>
      <c r="G249" s="5"/>
      <c r="H249" s="5"/>
      <c r="I249" s="2"/>
      <c r="J249" s="2"/>
      <c r="K249" s="2"/>
    </row>
    <row r="250" spans="1:11" ht="14.4" x14ac:dyDescent="0.3">
      <c r="A250" s="2"/>
      <c r="B250" s="2"/>
      <c r="C250" s="5"/>
      <c r="D250" s="5"/>
      <c r="E250" s="5"/>
      <c r="F250" s="5"/>
      <c r="G250" s="5"/>
      <c r="H250" s="5"/>
      <c r="I250" s="2"/>
      <c r="J250" s="2"/>
      <c r="K250" s="2"/>
    </row>
    <row r="251" spans="1:11" ht="14.4" x14ac:dyDescent="0.3">
      <c r="A251" s="2"/>
      <c r="B251" s="2"/>
      <c r="C251" s="5"/>
      <c r="D251" s="5"/>
      <c r="E251" s="5"/>
      <c r="F251" s="5"/>
      <c r="G251" s="5"/>
      <c r="H251" s="5"/>
      <c r="I251" s="2"/>
      <c r="J251" s="2"/>
      <c r="K251" s="2"/>
    </row>
    <row r="252" spans="1:11" ht="14.4" x14ac:dyDescent="0.3">
      <c r="A252" s="2"/>
      <c r="B252" s="2"/>
      <c r="C252" s="5"/>
      <c r="D252" s="5"/>
      <c r="E252" s="5"/>
      <c r="F252" s="5"/>
      <c r="G252" s="5"/>
      <c r="H252" s="5"/>
      <c r="I252" s="2"/>
      <c r="J252" s="2"/>
      <c r="K252" s="2"/>
    </row>
    <row r="253" spans="1:11" ht="14.4" x14ac:dyDescent="0.3">
      <c r="A253" s="2"/>
      <c r="B253" s="2"/>
      <c r="C253" s="5"/>
      <c r="D253" s="5"/>
      <c r="E253" s="5"/>
      <c r="F253" s="5"/>
      <c r="G253" s="5"/>
      <c r="H253" s="5"/>
      <c r="I253" s="2"/>
      <c r="J253" s="2"/>
      <c r="K253" s="2"/>
    </row>
    <row r="254" spans="1:11" ht="14.4" x14ac:dyDescent="0.3">
      <c r="A254" s="2"/>
      <c r="B254" s="2"/>
      <c r="C254" s="5"/>
      <c r="D254" s="5"/>
      <c r="E254" s="5"/>
      <c r="F254" s="5"/>
      <c r="G254" s="5"/>
      <c r="H254" s="5"/>
      <c r="I254" s="2"/>
      <c r="J254" s="2"/>
      <c r="K254" s="2"/>
    </row>
    <row r="255" spans="1:11" ht="14.4" x14ac:dyDescent="0.3">
      <c r="A255" s="2"/>
      <c r="B255" s="2"/>
      <c r="C255" s="5"/>
      <c r="D255" s="5"/>
      <c r="E255" s="5"/>
      <c r="F255" s="5"/>
      <c r="G255" s="5"/>
      <c r="H255" s="5"/>
      <c r="I255" s="2"/>
      <c r="J255" s="2"/>
      <c r="K255" s="2"/>
    </row>
    <row r="256" spans="1:11" ht="14.4" x14ac:dyDescent="0.3">
      <c r="A256" s="2"/>
      <c r="B256" s="2"/>
      <c r="C256" s="5"/>
      <c r="D256" s="5"/>
      <c r="E256" s="5"/>
      <c r="F256" s="5"/>
      <c r="G256" s="5"/>
      <c r="H256" s="5"/>
      <c r="I256" s="2"/>
      <c r="J256" s="2"/>
      <c r="K256" s="2"/>
    </row>
    <row r="257" spans="1:11" ht="14.4" x14ac:dyDescent="0.3">
      <c r="A257" s="2"/>
      <c r="B257" s="2"/>
      <c r="C257" s="5"/>
      <c r="D257" s="5"/>
      <c r="E257" s="5"/>
      <c r="F257" s="5"/>
      <c r="G257" s="5"/>
      <c r="H257" s="5"/>
      <c r="I257" s="2"/>
      <c r="J257" s="2"/>
      <c r="K257" s="2"/>
    </row>
    <row r="258" spans="1:11" ht="14.4" x14ac:dyDescent="0.3">
      <c r="A258" s="2"/>
      <c r="B258" s="2"/>
      <c r="C258" s="5"/>
      <c r="D258" s="5"/>
      <c r="E258" s="5"/>
      <c r="F258" s="5"/>
      <c r="G258" s="5"/>
      <c r="H258" s="5"/>
      <c r="I258" s="2"/>
      <c r="J258" s="2"/>
      <c r="K258" s="2"/>
    </row>
    <row r="259" spans="1:11" ht="14.4" x14ac:dyDescent="0.3">
      <c r="A259" s="2"/>
      <c r="B259" s="2"/>
      <c r="C259" s="5"/>
      <c r="D259" s="5"/>
      <c r="E259" s="5"/>
      <c r="F259" s="5"/>
      <c r="G259" s="5"/>
      <c r="H259" s="5"/>
      <c r="I259" s="2"/>
      <c r="J259" s="2"/>
      <c r="K259" s="2"/>
    </row>
    <row r="260" spans="1:11" ht="14.4" x14ac:dyDescent="0.3">
      <c r="A260" s="2"/>
      <c r="B260" s="2"/>
      <c r="C260" s="5"/>
      <c r="D260" s="5"/>
      <c r="E260" s="5"/>
      <c r="F260" s="5"/>
      <c r="G260" s="5"/>
      <c r="H260" s="5"/>
      <c r="I260" s="2"/>
      <c r="J260" s="2"/>
      <c r="K260" s="2"/>
    </row>
    <row r="261" spans="1:11" ht="14.4" x14ac:dyDescent="0.3">
      <c r="A261" s="2"/>
      <c r="B261" s="2"/>
      <c r="C261" s="5"/>
      <c r="D261" s="5"/>
      <c r="E261" s="5"/>
      <c r="F261" s="5"/>
      <c r="G261" s="5"/>
      <c r="H261" s="5"/>
      <c r="I261" s="2"/>
      <c r="J261" s="2"/>
      <c r="K261" s="2"/>
    </row>
    <row r="262" spans="1:11" ht="14.4" x14ac:dyDescent="0.3">
      <c r="A262" s="2"/>
      <c r="B262" s="2"/>
      <c r="C262" s="5"/>
      <c r="D262" s="5"/>
      <c r="E262" s="5"/>
      <c r="F262" s="5"/>
      <c r="G262" s="5"/>
      <c r="H262" s="5"/>
      <c r="I262" s="2"/>
      <c r="J262" s="2"/>
      <c r="K262" s="2"/>
    </row>
    <row r="263" spans="1:11" ht="14.4" x14ac:dyDescent="0.3">
      <c r="A263" s="2"/>
      <c r="B263" s="2"/>
      <c r="C263" s="5"/>
      <c r="D263" s="5"/>
      <c r="E263" s="5"/>
      <c r="F263" s="5"/>
      <c r="G263" s="5"/>
      <c r="H263" s="5"/>
      <c r="I263" s="2"/>
      <c r="J263" s="2"/>
      <c r="K263" s="2"/>
    </row>
    <row r="264" spans="1:11" ht="14.4" x14ac:dyDescent="0.3">
      <c r="A264" s="2"/>
      <c r="B264" s="2"/>
      <c r="C264" s="5"/>
      <c r="D264" s="5"/>
      <c r="E264" s="5"/>
      <c r="F264" s="5"/>
      <c r="G264" s="5"/>
      <c r="H264" s="5"/>
      <c r="I264" s="2"/>
      <c r="J264" s="2"/>
      <c r="K264" s="2"/>
    </row>
    <row r="265" spans="1:11" ht="14.4" x14ac:dyDescent="0.3">
      <c r="A265" s="2"/>
      <c r="B265" s="2"/>
      <c r="C265" s="5"/>
      <c r="D265" s="5"/>
      <c r="E265" s="5"/>
      <c r="F265" s="5"/>
      <c r="G265" s="5"/>
      <c r="H265" s="5"/>
      <c r="I265" s="2"/>
      <c r="J265" s="2"/>
      <c r="K265" s="2"/>
    </row>
    <row r="266" spans="1:11" ht="14.4" x14ac:dyDescent="0.3">
      <c r="A266" s="2"/>
      <c r="B266" s="2"/>
      <c r="C266" s="5"/>
      <c r="D266" s="5"/>
      <c r="E266" s="5"/>
      <c r="F266" s="5"/>
      <c r="G266" s="5"/>
      <c r="H266" s="5"/>
      <c r="I266" s="2"/>
      <c r="J266" s="2"/>
      <c r="K266" s="2"/>
    </row>
    <row r="267" spans="1:11" ht="14.4" x14ac:dyDescent="0.3">
      <c r="A267" s="2"/>
      <c r="B267" s="2"/>
      <c r="C267" s="5"/>
      <c r="D267" s="5"/>
      <c r="E267" s="5"/>
      <c r="F267" s="5"/>
      <c r="G267" s="5"/>
      <c r="H267" s="5"/>
      <c r="I267" s="2"/>
      <c r="J267" s="2"/>
      <c r="K267" s="2"/>
    </row>
    <row r="268" spans="1:11" ht="14.4" x14ac:dyDescent="0.3">
      <c r="A268" s="2"/>
      <c r="B268" s="2"/>
      <c r="C268" s="5"/>
      <c r="D268" s="5"/>
      <c r="E268" s="5"/>
      <c r="F268" s="5"/>
      <c r="G268" s="5"/>
      <c r="H268" s="5"/>
      <c r="I268" s="2"/>
      <c r="J268" s="2"/>
      <c r="K268" s="2"/>
    </row>
    <row r="269" spans="1:11" ht="14.4" x14ac:dyDescent="0.3">
      <c r="A269" s="2"/>
      <c r="B269" s="2"/>
      <c r="C269" s="5"/>
      <c r="D269" s="5"/>
      <c r="E269" s="5"/>
      <c r="F269" s="5"/>
      <c r="G269" s="5"/>
      <c r="H269" s="5"/>
      <c r="I269" s="2"/>
      <c r="J269" s="2"/>
      <c r="K269" s="2"/>
    </row>
    <row r="270" spans="1:11" ht="14.4" x14ac:dyDescent="0.3">
      <c r="A270" s="2"/>
      <c r="B270" s="2"/>
      <c r="C270" s="5"/>
      <c r="D270" s="5"/>
      <c r="E270" s="5"/>
      <c r="F270" s="5"/>
      <c r="G270" s="5"/>
      <c r="H270" s="5"/>
      <c r="I270" s="2"/>
      <c r="J270" s="2"/>
      <c r="K270" s="2"/>
    </row>
    <row r="271" spans="1:11" ht="14.4" x14ac:dyDescent="0.3">
      <c r="A271" s="2"/>
      <c r="B271" s="2"/>
      <c r="C271" s="5"/>
      <c r="D271" s="5"/>
      <c r="E271" s="5"/>
      <c r="F271" s="5"/>
      <c r="G271" s="5"/>
      <c r="H271" s="5"/>
      <c r="I271" s="2"/>
      <c r="J271" s="2"/>
      <c r="K271" s="2"/>
    </row>
    <row r="272" spans="1:11" ht="14.4" x14ac:dyDescent="0.3">
      <c r="A272" s="2"/>
      <c r="B272" s="2"/>
      <c r="C272" s="5"/>
      <c r="D272" s="5"/>
      <c r="E272" s="5"/>
      <c r="F272" s="5"/>
      <c r="G272" s="5"/>
      <c r="H272" s="5"/>
      <c r="I272" s="2"/>
      <c r="J272" s="2"/>
      <c r="K272" s="2"/>
    </row>
    <row r="273" spans="1:11" ht="14.4" x14ac:dyDescent="0.3">
      <c r="A273" s="2"/>
      <c r="B273" s="2"/>
      <c r="C273" s="5"/>
      <c r="D273" s="5"/>
      <c r="E273" s="5"/>
      <c r="F273" s="5"/>
      <c r="G273" s="5"/>
      <c r="H273" s="5"/>
      <c r="I273" s="2"/>
      <c r="J273" s="2"/>
      <c r="K273" s="2"/>
    </row>
    <row r="274" spans="1:11" ht="14.4" x14ac:dyDescent="0.3">
      <c r="A274" s="2"/>
      <c r="B274" s="2"/>
      <c r="C274" s="5"/>
      <c r="D274" s="5"/>
      <c r="E274" s="5"/>
      <c r="F274" s="5"/>
      <c r="G274" s="5"/>
      <c r="H274" s="5"/>
      <c r="I274" s="2"/>
      <c r="J274" s="2"/>
      <c r="K274" s="2"/>
    </row>
    <row r="275" spans="1:11" ht="14.4" x14ac:dyDescent="0.3">
      <c r="A275" s="2"/>
      <c r="B275" s="2"/>
      <c r="C275" s="5"/>
      <c r="D275" s="5"/>
      <c r="E275" s="5"/>
      <c r="F275" s="5"/>
      <c r="G275" s="5"/>
      <c r="H275" s="5"/>
      <c r="I275" s="2"/>
      <c r="J275" s="2"/>
      <c r="K275" s="2"/>
    </row>
    <row r="276" spans="1:11" ht="14.4" x14ac:dyDescent="0.3">
      <c r="A276" s="2"/>
      <c r="B276" s="2"/>
      <c r="C276" s="5"/>
      <c r="D276" s="5"/>
      <c r="E276" s="5"/>
      <c r="F276" s="5"/>
      <c r="G276" s="5"/>
      <c r="H276" s="5"/>
      <c r="I276" s="2"/>
      <c r="J276" s="2"/>
      <c r="K276" s="2"/>
    </row>
    <row r="277" spans="1:11" ht="14.4" x14ac:dyDescent="0.3">
      <c r="A277" s="2"/>
      <c r="B277" s="2"/>
      <c r="C277" s="5"/>
      <c r="D277" s="5"/>
      <c r="E277" s="5"/>
      <c r="F277" s="5"/>
      <c r="G277" s="5"/>
      <c r="H277" s="5"/>
      <c r="I277" s="2"/>
      <c r="J277" s="2"/>
      <c r="K277" s="2"/>
    </row>
    <row r="278" spans="1:11" ht="14.4" x14ac:dyDescent="0.3">
      <c r="A278" s="2"/>
      <c r="B278" s="2"/>
      <c r="C278" s="5"/>
      <c r="D278" s="5"/>
      <c r="E278" s="5"/>
      <c r="F278" s="5"/>
      <c r="G278" s="5"/>
      <c r="H278" s="5"/>
      <c r="I278" s="2"/>
      <c r="J278" s="2"/>
      <c r="K278" s="2"/>
    </row>
    <row r="279" spans="1:11" ht="14.4" x14ac:dyDescent="0.3">
      <c r="A279" s="2"/>
      <c r="B279" s="2"/>
      <c r="C279" s="5"/>
      <c r="D279" s="5"/>
      <c r="E279" s="5"/>
      <c r="F279" s="5"/>
      <c r="G279" s="5"/>
      <c r="H279" s="5"/>
      <c r="I279" s="2"/>
      <c r="J279" s="2"/>
      <c r="K279" s="2"/>
    </row>
    <row r="280" spans="1:11" ht="14.4" x14ac:dyDescent="0.3">
      <c r="A280" s="2"/>
      <c r="B280" s="2"/>
      <c r="C280" s="5"/>
      <c r="D280" s="5"/>
      <c r="E280" s="5"/>
      <c r="F280" s="5"/>
      <c r="G280" s="5"/>
      <c r="H280" s="5"/>
      <c r="I280" s="2"/>
      <c r="J280" s="2"/>
      <c r="K280" s="2"/>
    </row>
    <row r="281" spans="1:11" ht="14.4" x14ac:dyDescent="0.3">
      <c r="A281" s="2"/>
      <c r="B281" s="2"/>
      <c r="C281" s="5"/>
      <c r="D281" s="5"/>
      <c r="E281" s="5"/>
      <c r="F281" s="5"/>
      <c r="G281" s="5"/>
      <c r="H281" s="5"/>
      <c r="I281" s="2"/>
      <c r="J281" s="2"/>
      <c r="K281" s="2"/>
    </row>
    <row r="282" spans="1:11" ht="14.4" x14ac:dyDescent="0.3">
      <c r="A282" s="2"/>
      <c r="B282" s="2"/>
      <c r="C282" s="5"/>
      <c r="D282" s="5"/>
      <c r="E282" s="5"/>
      <c r="F282" s="5"/>
      <c r="G282" s="5"/>
      <c r="H282" s="5"/>
      <c r="I282" s="2"/>
      <c r="J282" s="2"/>
      <c r="K282" s="2"/>
    </row>
    <row r="283" spans="1:11" ht="14.4" x14ac:dyDescent="0.3">
      <c r="A283" s="2"/>
      <c r="B283" s="2"/>
      <c r="C283" s="5"/>
      <c r="D283" s="5"/>
      <c r="E283" s="5"/>
      <c r="F283" s="5"/>
      <c r="G283" s="5"/>
      <c r="H283" s="5"/>
      <c r="I283" s="2"/>
      <c r="J283" s="2"/>
      <c r="K283" s="2"/>
    </row>
    <row r="284" spans="1:11" ht="14.4" x14ac:dyDescent="0.3">
      <c r="A284" s="2"/>
      <c r="B284" s="2"/>
      <c r="C284" s="5"/>
      <c r="D284" s="5"/>
      <c r="E284" s="5"/>
      <c r="F284" s="5"/>
      <c r="G284" s="5"/>
      <c r="H284" s="5"/>
      <c r="I284" s="2"/>
      <c r="J284" s="2"/>
      <c r="K284" s="2"/>
    </row>
    <row r="285" spans="1:11" ht="14.4" x14ac:dyDescent="0.3">
      <c r="A285" s="2"/>
      <c r="B285" s="2"/>
      <c r="C285" s="5"/>
      <c r="D285" s="5"/>
      <c r="E285" s="5"/>
      <c r="F285" s="5"/>
      <c r="G285" s="5"/>
      <c r="H285" s="5"/>
      <c r="I285" s="2"/>
      <c r="J285" s="2"/>
      <c r="K285" s="2"/>
    </row>
    <row r="286" spans="1:11" ht="14.4" x14ac:dyDescent="0.3">
      <c r="A286" s="2"/>
      <c r="B286" s="2"/>
      <c r="C286" s="5"/>
      <c r="D286" s="5"/>
      <c r="E286" s="5"/>
      <c r="F286" s="5"/>
      <c r="G286" s="5"/>
      <c r="H286" s="5"/>
      <c r="I286" s="2"/>
      <c r="J286" s="2"/>
      <c r="K286" s="2"/>
    </row>
    <row r="287" spans="1:11" ht="14.4" x14ac:dyDescent="0.3">
      <c r="A287" s="2"/>
      <c r="B287" s="2"/>
      <c r="C287" s="5"/>
      <c r="D287" s="5"/>
      <c r="E287" s="5"/>
      <c r="F287" s="5"/>
      <c r="G287" s="5"/>
      <c r="H287" s="5"/>
      <c r="I287" s="2"/>
      <c r="J287" s="2"/>
      <c r="K287" s="2"/>
    </row>
    <row r="288" spans="1:11" ht="14.4" x14ac:dyDescent="0.3">
      <c r="A288" s="2"/>
      <c r="B288" s="2"/>
      <c r="C288" s="5"/>
      <c r="D288" s="5"/>
      <c r="E288" s="5"/>
      <c r="F288" s="5"/>
      <c r="G288" s="5"/>
      <c r="H288" s="5"/>
      <c r="I288" s="2"/>
      <c r="J288" s="2"/>
      <c r="K288" s="2"/>
    </row>
    <row r="289" spans="1:11" ht="14.4" x14ac:dyDescent="0.3">
      <c r="A289" s="2"/>
      <c r="B289" s="2"/>
      <c r="C289" s="5"/>
      <c r="D289" s="5"/>
      <c r="E289" s="5"/>
      <c r="F289" s="5"/>
      <c r="G289" s="5"/>
      <c r="H289" s="5"/>
      <c r="I289" s="2"/>
      <c r="J289" s="2"/>
      <c r="K289" s="2"/>
    </row>
    <row r="290" spans="1:11" ht="14.4" x14ac:dyDescent="0.3">
      <c r="A290" s="2"/>
      <c r="B290" s="2"/>
      <c r="C290" s="5"/>
      <c r="D290" s="5"/>
      <c r="E290" s="5"/>
      <c r="F290" s="5"/>
      <c r="G290" s="5"/>
      <c r="H290" s="5"/>
      <c r="I290" s="2"/>
      <c r="J290" s="2"/>
      <c r="K290" s="2"/>
    </row>
    <row r="291" spans="1:11" ht="14.4" x14ac:dyDescent="0.3">
      <c r="A291" s="2"/>
      <c r="B291" s="2"/>
      <c r="C291" s="5"/>
      <c r="D291" s="5"/>
      <c r="E291" s="5"/>
      <c r="F291" s="5"/>
      <c r="G291" s="5"/>
      <c r="H291" s="5"/>
      <c r="I291" s="2"/>
      <c r="J291" s="2"/>
      <c r="K291" s="2"/>
    </row>
    <row r="292" spans="1:11" ht="14.4" x14ac:dyDescent="0.3">
      <c r="A292" s="2"/>
      <c r="B292" s="2"/>
      <c r="C292" s="5"/>
      <c r="D292" s="5"/>
      <c r="E292" s="5"/>
      <c r="F292" s="5"/>
      <c r="G292" s="5"/>
      <c r="H292" s="5"/>
      <c r="I292" s="2"/>
      <c r="J292" s="2"/>
      <c r="K292" s="2"/>
    </row>
    <row r="293" spans="1:11" ht="14.4" x14ac:dyDescent="0.3">
      <c r="A293" s="2"/>
      <c r="B293" s="2"/>
      <c r="C293" s="5"/>
      <c r="D293" s="5"/>
      <c r="E293" s="5"/>
      <c r="F293" s="5"/>
      <c r="G293" s="5"/>
      <c r="H293" s="5"/>
      <c r="I293" s="2"/>
      <c r="J293" s="2"/>
      <c r="K293" s="2"/>
    </row>
    <row r="294" spans="1:11" ht="14.4" x14ac:dyDescent="0.3">
      <c r="A294" s="2"/>
      <c r="B294" s="2"/>
      <c r="C294" s="5"/>
      <c r="D294" s="5"/>
      <c r="E294" s="5"/>
      <c r="F294" s="5"/>
      <c r="G294" s="5"/>
      <c r="H294" s="5"/>
      <c r="I294" s="2"/>
      <c r="J294" s="2"/>
      <c r="K294" s="2"/>
    </row>
    <row r="295" spans="1:11" ht="14.4" x14ac:dyDescent="0.3">
      <c r="A295" s="2"/>
      <c r="B295" s="2"/>
      <c r="C295" s="5"/>
      <c r="D295" s="5"/>
      <c r="E295" s="5"/>
      <c r="F295" s="5"/>
      <c r="G295" s="5"/>
      <c r="H295" s="5"/>
      <c r="I295" s="2"/>
      <c r="J295" s="2"/>
      <c r="K295" s="2"/>
    </row>
    <row r="296" spans="1:11" ht="14.4" x14ac:dyDescent="0.3">
      <c r="A296" s="2"/>
      <c r="B296" s="2"/>
      <c r="C296" s="5"/>
      <c r="D296" s="5"/>
      <c r="E296" s="5"/>
      <c r="F296" s="5"/>
      <c r="G296" s="5"/>
      <c r="H296" s="5"/>
      <c r="I296" s="2"/>
      <c r="J296" s="2"/>
      <c r="K296" s="2"/>
    </row>
    <row r="297" spans="1:11" ht="14.4" x14ac:dyDescent="0.3">
      <c r="A297" s="2"/>
      <c r="B297" s="2"/>
      <c r="C297" s="5"/>
      <c r="D297" s="5"/>
      <c r="E297" s="5"/>
      <c r="F297" s="5"/>
      <c r="G297" s="5"/>
      <c r="H297" s="5"/>
      <c r="I297" s="2"/>
      <c r="J297" s="2"/>
      <c r="K297" s="2"/>
    </row>
    <row r="298" spans="1:11" ht="14.4" x14ac:dyDescent="0.3">
      <c r="A298" s="2"/>
      <c r="B298" s="2"/>
      <c r="C298" s="5"/>
      <c r="D298" s="5"/>
      <c r="E298" s="5"/>
      <c r="F298" s="5"/>
      <c r="G298" s="5"/>
      <c r="H298" s="5"/>
      <c r="I298" s="2"/>
      <c r="J298" s="2"/>
      <c r="K298" s="2"/>
    </row>
    <row r="299" spans="1:11" ht="14.4" x14ac:dyDescent="0.3">
      <c r="A299" s="2"/>
      <c r="B299" s="2"/>
      <c r="C299" s="5"/>
      <c r="D299" s="5"/>
      <c r="E299" s="5"/>
      <c r="F299" s="5"/>
      <c r="G299" s="5"/>
      <c r="H299" s="5"/>
      <c r="I299" s="2"/>
      <c r="J299" s="2"/>
      <c r="K299" s="2"/>
    </row>
    <row r="300" spans="1:11" ht="14.4" x14ac:dyDescent="0.3">
      <c r="A300" s="2"/>
      <c r="B300" s="2"/>
      <c r="C300" s="5"/>
      <c r="D300" s="5"/>
      <c r="E300" s="5"/>
      <c r="F300" s="5"/>
      <c r="G300" s="5"/>
      <c r="H300" s="5"/>
      <c r="I300" s="2"/>
      <c r="J300" s="2"/>
      <c r="K300" s="2"/>
    </row>
    <row r="301" spans="1:11" ht="14.4" x14ac:dyDescent="0.3">
      <c r="A301" s="2"/>
      <c r="B301" s="2"/>
      <c r="C301" s="5"/>
      <c r="D301" s="5"/>
      <c r="E301" s="5"/>
      <c r="F301" s="5"/>
      <c r="G301" s="5"/>
      <c r="H301" s="5"/>
      <c r="I301" s="2"/>
      <c r="J301" s="2"/>
      <c r="K301" s="2"/>
    </row>
    <row r="302" spans="1:11" ht="14.4" x14ac:dyDescent="0.3">
      <c r="A302" s="2"/>
      <c r="B302" s="2"/>
      <c r="C302" s="5"/>
      <c r="D302" s="5"/>
      <c r="E302" s="5"/>
      <c r="F302" s="5"/>
      <c r="G302" s="5"/>
      <c r="H302" s="5"/>
      <c r="I302" s="2"/>
      <c r="J302" s="2"/>
      <c r="K302" s="2"/>
    </row>
    <row r="303" spans="1:11" ht="14.4" x14ac:dyDescent="0.3">
      <c r="A303" s="2"/>
      <c r="B303" s="2"/>
      <c r="C303" s="5"/>
      <c r="D303" s="5"/>
      <c r="E303" s="5"/>
      <c r="F303" s="5"/>
      <c r="G303" s="5"/>
      <c r="H303" s="5"/>
      <c r="I303" s="2"/>
      <c r="J303" s="2"/>
      <c r="K303" s="2"/>
    </row>
    <row r="304" spans="1:11" ht="14.4" x14ac:dyDescent="0.3">
      <c r="A304" s="2"/>
      <c r="B304" s="2"/>
      <c r="C304" s="5"/>
      <c r="D304" s="5"/>
      <c r="E304" s="5"/>
      <c r="F304" s="5"/>
      <c r="G304" s="5"/>
      <c r="H304" s="5"/>
      <c r="I304" s="2"/>
      <c r="J304" s="2"/>
      <c r="K304" s="2"/>
    </row>
    <row r="305" spans="1:11" ht="14.4" x14ac:dyDescent="0.3">
      <c r="A305" s="2"/>
      <c r="B305" s="2"/>
      <c r="C305" s="5"/>
      <c r="D305" s="5"/>
      <c r="E305" s="5"/>
      <c r="F305" s="5"/>
      <c r="G305" s="5"/>
      <c r="H305" s="5"/>
      <c r="I305" s="2"/>
      <c r="J305" s="2"/>
      <c r="K305" s="2"/>
    </row>
    <row r="306" spans="1:11" ht="14.4" x14ac:dyDescent="0.3">
      <c r="A306" s="2"/>
      <c r="B306" s="2"/>
      <c r="C306" s="5"/>
      <c r="D306" s="5"/>
      <c r="E306" s="5"/>
      <c r="F306" s="5"/>
      <c r="G306" s="5"/>
      <c r="H306" s="5"/>
      <c r="I306" s="2"/>
      <c r="J306" s="2"/>
      <c r="K306" s="2"/>
    </row>
  </sheetData>
  <conditionalFormatting sqref="G43:G1048576">
    <cfRule type="top10" dxfId="3" priority="57" rank="1"/>
  </conditionalFormatting>
  <conditionalFormatting sqref="H43:H1048576">
    <cfRule type="aboveAverage" dxfId="2" priority="61"/>
    <cfRule type="aboveAverage" dxfId="1" priority="62"/>
    <cfRule type="aboveAverage" dxfId="0" priority="63"/>
    <cfRule type="colorScale" priority="65">
      <colorScale>
        <cfvo type="min"/>
        <cfvo type="percentile" val="50"/>
        <cfvo type="max"/>
        <color rgb="FFF8696B"/>
        <color rgb="FFFCFCFF"/>
        <color rgb="FF5A8AC6"/>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4" id="{27B7C65A-1C6E-48E2-9313-62854D8AB13C}">
            <x14:iconSet iconSet="3Triangles">
              <x14:cfvo type="percent">
                <xm:f>0</xm:f>
              </x14:cfvo>
              <x14:cfvo type="percent">
                <xm:f>33</xm:f>
              </x14:cfvo>
              <x14:cfvo type="percent">
                <xm:f>67</xm:f>
              </x14:cfvo>
            </x14:iconSet>
          </x14:cfRule>
          <xm:sqref>H43:H1048576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C7EFE-0DD5-431B-8DBD-E9D88FE9B66E}">
  <dimension ref="H5:K28"/>
  <sheetViews>
    <sheetView showGridLines="0" topLeftCell="A4" workbookViewId="0">
      <selection activeCell="N22" sqref="N22"/>
    </sheetView>
  </sheetViews>
  <sheetFormatPr defaultRowHeight="13.2" x14ac:dyDescent="0.25"/>
  <cols>
    <col min="10" max="10" width="21.6640625" bestFit="1" customWidth="1"/>
  </cols>
  <sheetData>
    <row r="5" spans="8:11" ht="14.4" x14ac:dyDescent="0.3">
      <c r="H5" s="2"/>
      <c r="I5" s="5"/>
    </row>
    <row r="6" spans="8:11" ht="21" x14ac:dyDescent="0.4">
      <c r="H6" s="2"/>
      <c r="I6" s="14" t="s">
        <v>59</v>
      </c>
    </row>
    <row r="7" spans="8:11" ht="25.8" x14ac:dyDescent="0.5">
      <c r="H7" s="2"/>
      <c r="I7" s="6"/>
    </row>
    <row r="8" spans="8:11" ht="14.4" x14ac:dyDescent="0.3">
      <c r="H8" s="2"/>
      <c r="I8" s="10" t="s">
        <v>62</v>
      </c>
    </row>
    <row r="9" spans="8:11" ht="14.4" x14ac:dyDescent="0.3">
      <c r="H9" s="2"/>
      <c r="I9" s="7" t="s">
        <v>46</v>
      </c>
      <c r="J9" s="7">
        <f>SUMIF('COVID-19'!B2:B37,"south",'COVID-19'!F2:F37)</f>
        <v>130529</v>
      </c>
      <c r="K9" s="8"/>
    </row>
    <row r="10" spans="8:11" ht="14.4" x14ac:dyDescent="0.3">
      <c r="H10" s="4"/>
      <c r="I10" s="7" t="s">
        <v>47</v>
      </c>
      <c r="J10" s="8">
        <f>SUMIF('COVID-19'!B2:B37,"North",'COVID-19'!D2:D37)</f>
        <v>3795</v>
      </c>
      <c r="K10" s="8"/>
    </row>
    <row r="11" spans="8:11" ht="14.4" x14ac:dyDescent="0.3">
      <c r="H11" s="4"/>
      <c r="I11" s="7" t="s">
        <v>48</v>
      </c>
      <c r="J11" s="8">
        <f>SUMIF('COVID-19'!B2:B37,"west",'COVID-19'!E2:E37)</f>
        <v>9196864</v>
      </c>
      <c r="K11" s="8"/>
    </row>
    <row r="12" spans="8:11" ht="14.4" x14ac:dyDescent="0.3">
      <c r="H12" s="4"/>
      <c r="I12" s="7"/>
      <c r="J12" s="8"/>
      <c r="K12" s="8"/>
    </row>
    <row r="13" spans="8:11" ht="14.4" x14ac:dyDescent="0.3">
      <c r="H13" s="2"/>
      <c r="I13" s="10" t="s">
        <v>61</v>
      </c>
      <c r="J13" s="8"/>
      <c r="K13" s="8"/>
    </row>
    <row r="14" spans="8:11" ht="14.4" x14ac:dyDescent="0.3">
      <c r="H14" s="4"/>
      <c r="I14" s="7" t="s">
        <v>49</v>
      </c>
      <c r="J14" s="8">
        <f>COUNTIF('COVID-19'!B2:B37,"east")</f>
        <v>13</v>
      </c>
      <c r="K14" s="8"/>
    </row>
    <row r="15" spans="8:11" ht="14.4" x14ac:dyDescent="0.3">
      <c r="I15" s="7" t="s">
        <v>50</v>
      </c>
      <c r="J15" s="8">
        <f>COUNTIFS('COVID-19'!B2:B37,"north")</f>
        <v>9</v>
      </c>
      <c r="K15" s="8"/>
    </row>
    <row r="16" spans="8:11" ht="14.4" x14ac:dyDescent="0.25">
      <c r="I16" s="13" t="s">
        <v>64</v>
      </c>
      <c r="J16" s="16">
        <f>COUNTIF('COVID-19'!H2:H37,"below average")</f>
        <v>26</v>
      </c>
    </row>
    <row r="17" spans="8:11" ht="14.4" x14ac:dyDescent="0.3">
      <c r="H17" s="2"/>
      <c r="I17" s="11" t="s">
        <v>65</v>
      </c>
      <c r="J17" s="16">
        <f>COUNTIF('COVID-19'!H:H,"above average")</f>
        <v>10</v>
      </c>
    </row>
    <row r="18" spans="8:11" ht="14.4" x14ac:dyDescent="0.3">
      <c r="H18" s="2"/>
      <c r="I18" s="11"/>
      <c r="J18" s="11"/>
      <c r="K18" s="12"/>
    </row>
    <row r="19" spans="8:11" ht="14.4" x14ac:dyDescent="0.3">
      <c r="H19" s="2"/>
      <c r="I19" s="10" t="s">
        <v>63</v>
      </c>
      <c r="J19" s="8"/>
      <c r="K19" s="8"/>
    </row>
    <row r="20" spans="8:11" ht="14.4" x14ac:dyDescent="0.3">
      <c r="H20" s="2"/>
      <c r="I20" s="7" t="s">
        <v>51</v>
      </c>
      <c r="J20" s="8">
        <f>_xlfn.MAXIFS('COVID-19'!D2:D37,'COVID-19'!B2:B37,"north")</f>
        <v>1450</v>
      </c>
      <c r="K20" s="8"/>
    </row>
    <row r="21" spans="8:11" ht="14.4" x14ac:dyDescent="0.3">
      <c r="H21" s="2"/>
      <c r="I21" s="7" t="s">
        <v>52</v>
      </c>
      <c r="J21" s="8">
        <f>_xlfn.MAXIFS('COVID-19'!E2:E37,'COVID-19'!B2:B37,"south")</f>
        <v>4950281</v>
      </c>
      <c r="K21" s="8"/>
    </row>
    <row r="22" spans="8:11" ht="14.4" x14ac:dyDescent="0.3">
      <c r="H22" s="4"/>
      <c r="I22" s="7" t="s">
        <v>53</v>
      </c>
      <c r="J22" s="8">
        <f>_xlfn.MAXIFS('COVID-19'!F2:F37,'COVID-19'!B2:B37,"east")</f>
        <v>19307</v>
      </c>
      <c r="K22" s="8"/>
    </row>
    <row r="23" spans="8:11" ht="14.4" x14ac:dyDescent="0.3">
      <c r="H23" s="2"/>
      <c r="I23" s="7"/>
      <c r="J23" s="8"/>
      <c r="K23" s="8"/>
    </row>
    <row r="24" spans="8:11" ht="14.4" x14ac:dyDescent="0.3">
      <c r="H24" s="2"/>
      <c r="I24" s="7"/>
      <c r="J24" s="8"/>
      <c r="K24" s="8"/>
    </row>
    <row r="25" spans="8:11" ht="14.4" x14ac:dyDescent="0.3">
      <c r="H25" s="2"/>
      <c r="I25" s="7" t="s">
        <v>55</v>
      </c>
      <c r="J25" s="8" t="s">
        <v>60</v>
      </c>
      <c r="K25" s="8"/>
    </row>
    <row r="26" spans="8:11" ht="14.4" x14ac:dyDescent="0.3">
      <c r="H26" s="2"/>
      <c r="I26" s="7" t="s">
        <v>56</v>
      </c>
      <c r="J26" s="8" t="s">
        <v>66</v>
      </c>
      <c r="K26" s="8"/>
    </row>
    <row r="27" spans="8:11" ht="14.4" x14ac:dyDescent="0.3">
      <c r="H27" s="2"/>
      <c r="I27" s="7"/>
      <c r="J27" s="8"/>
      <c r="K27" s="8"/>
    </row>
    <row r="28" spans="8:11" ht="14.4" x14ac:dyDescent="0.3">
      <c r="H28" s="2"/>
      <c r="I28" s="7" t="s">
        <v>58</v>
      </c>
      <c r="J28" s="9">
        <f>AVERAGE('COVID-19'!G2:G37)</f>
        <v>956591.86111111112</v>
      </c>
      <c r="K28"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891F9-8E83-4D6B-852F-4BFBF6D9549D}">
  <dimension ref="A1"/>
  <sheetViews>
    <sheetView tabSelected="1" zoomScale="80" zoomScaleNormal="80" workbookViewId="0">
      <selection activeCell="BD20" sqref="BD20"/>
    </sheetView>
  </sheetViews>
  <sheetFormatPr defaultRowHeight="13.2" x14ac:dyDescent="0.25"/>
  <cols>
    <col min="1" max="16384" width="8.88671875" style="23"/>
  </cols>
  <sheetData>
    <row r="1" spans="1:1" x14ac:dyDescent="0.25">
      <c r="A1"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ZONE WISE TOTAL CASES</vt:lpstr>
      <vt:lpstr>ZONE WISE ACTIVE CASES</vt:lpstr>
      <vt:lpstr>STATE BY CASES</vt:lpstr>
      <vt:lpstr>KPI</vt:lpstr>
      <vt:lpstr>COVID-19</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balkrishna tripathi</cp:lastModifiedBy>
  <dcterms:modified xsi:type="dcterms:W3CDTF">2026-09-22T14:03:06Z</dcterms:modified>
</cp:coreProperties>
</file>