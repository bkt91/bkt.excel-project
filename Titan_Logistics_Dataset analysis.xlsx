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Balkrishna\Documents\excel dashboard\"/>
    </mc:Choice>
  </mc:AlternateContent>
  <xr:revisionPtr revIDLastSave="0" documentId="13_ncr:1_{F973B433-BD0F-4478-8086-54230536E66C}" xr6:coauthVersionLast="47" xr6:coauthVersionMax="47" xr10:uidLastSave="{00000000-0000-0000-0000-000000000000}"/>
  <bookViews>
    <workbookView xWindow="-108" yWindow="-108" windowWidth="23256" windowHeight="12456" firstSheet="8" activeTab="12" xr2:uid="{00000000-000D-0000-FFFF-FFFF00000000}"/>
  </bookViews>
  <sheets>
    <sheet name="Orders_Logs" sheetId="1" r:id="rId1"/>
    <sheet name="products" sheetId="5" r:id="rId2"/>
    <sheet name="centers" sheetId="4" r:id="rId3"/>
    <sheet name="orders" sheetId="6" r:id="rId4"/>
    <sheet name="catagory wise orders" sheetId="7" r:id="rId5"/>
    <sheet name="catagory wise average price" sheetId="9" r:id="rId6"/>
    <sheet name="catagory wise total order value" sheetId="12" r:id="rId7"/>
    <sheet name="order status by catagory" sheetId="10" r:id="rId8"/>
    <sheet name="month wise orders" sheetId="11" r:id="rId9"/>
    <sheet name="warehouse wise orders" sheetId="16" r:id="rId10"/>
    <sheet name="zone wise warehousing capacity" sheetId="13" r:id="rId11"/>
    <sheet name="insights" sheetId="14" r:id="rId12"/>
    <sheet name="DASHBOARD" sheetId="17" r:id="rId13"/>
  </sheets>
  <definedNames>
    <definedName name="ExternalData_1" localSheetId="2" hidden="1">centers!$A$1:$D$21</definedName>
    <definedName name="ExternalData_1" localSheetId="3" hidden="1">orders!$A$1:$P$1501</definedName>
    <definedName name="ExternalData_1" localSheetId="1" hidden="1">products!$A$1:$D$101</definedName>
    <definedName name="Slicer_centers.Zone">#N/A</definedName>
    <definedName name="Slicer_Months__Order_Date">#N/A</definedName>
    <definedName name="Slicer_products.Category">#N/A</definedName>
    <definedName name="Slicer_Statu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2" l="1"/>
  <c r="K9" i="12"/>
  <c r="B14" i="7"/>
  <c r="C12" i="7"/>
  <c r="B12" i="7"/>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8EB127-16BA-40C3-AF0E-BA0296F6D76D}" keepAlive="1" name="Query - centers" description="Connection to the 'centers' query in the workbook." type="5" refreshedVersion="8" background="1" saveData="1">
    <dbPr connection="Provider=Microsoft.Mashup.OleDb.1;Data Source=$Workbook$;Location=centers;Extended Properties=&quot;&quot;" command="SELECT * FROM [centers]"/>
  </connection>
  <connection id="2" xr16:uid="{2942EA73-23E5-4A03-9B92-A26E08C7C33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C74D689-0561-4B27-A696-F2E446FF08E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<sst xmlns="http://schemas.openxmlformats.org/spreadsheetml/2006/main" count="12309" uniqueCount="442">
  <si>
    <t>Product_ID</t>
  </si>
  <si>
    <t>Warehouse_ID</t>
  </si>
  <si>
    <t>City</t>
  </si>
  <si>
    <t>Category</t>
  </si>
  <si>
    <t>Zone</t>
  </si>
  <si>
    <t>Unit_Weight</t>
  </si>
  <si>
    <t>Capacity_Status</t>
  </si>
  <si>
    <t>Base_Price</t>
  </si>
  <si>
    <t>Hyderabad</t>
  </si>
  <si>
    <t>Apparel</t>
  </si>
  <si>
    <t>South</t>
  </si>
  <si>
    <t>Full</t>
  </si>
  <si>
    <t>Ahmedabad</t>
  </si>
  <si>
    <t>Industrial</t>
  </si>
  <si>
    <t>East</t>
  </si>
  <si>
    <t>Delhi</t>
  </si>
  <si>
    <t>Under Capacity</t>
  </si>
  <si>
    <t>Lucknow</t>
  </si>
  <si>
    <t>North</t>
  </si>
  <si>
    <t>Near Capacity</t>
  </si>
  <si>
    <t>Jaipur</t>
  </si>
  <si>
    <t>Automotive</t>
  </si>
  <si>
    <t>Furniture</t>
  </si>
  <si>
    <t>Pune</t>
  </si>
  <si>
    <t>Bangalore</t>
  </si>
  <si>
    <t>West</t>
  </si>
  <si>
    <t>Mumbai</t>
  </si>
  <si>
    <t>Electronics</t>
  </si>
  <si>
    <t>Order_ID</t>
  </si>
  <si>
    <t>Customer_ID</t>
  </si>
  <si>
    <t>Order_Date</t>
  </si>
  <si>
    <t>Ship_Date</t>
  </si>
  <si>
    <t>Quantity</t>
  </si>
  <si>
    <t>Status</t>
  </si>
  <si>
    <t>2024-06-04</t>
  </si>
  <si>
    <t>2024-06-12</t>
  </si>
  <si>
    <t>Pending</t>
  </si>
  <si>
    <t>2024-12-02</t>
  </si>
  <si>
    <t>2024-12-08</t>
  </si>
  <si>
    <t>Shipped</t>
  </si>
  <si>
    <t>2024-10-23</t>
  </si>
  <si>
    <t>2024-10-28</t>
  </si>
  <si>
    <t>Returned</t>
  </si>
  <si>
    <t>2024-08-02</t>
  </si>
  <si>
    <t>2024-08-12</t>
  </si>
  <si>
    <t>2024-06-17</t>
  </si>
  <si>
    <t>2024-06-22</t>
  </si>
  <si>
    <t>2024-03-28</t>
  </si>
  <si>
    <t>2024-04-03</t>
  </si>
  <si>
    <t>2024-12-20</t>
  </si>
  <si>
    <t>2024-12-29</t>
  </si>
  <si>
    <t>2024-12-06</t>
  </si>
  <si>
    <t>2024-12-12</t>
  </si>
  <si>
    <t>2024-06-10</t>
  </si>
  <si>
    <t>2024-06-16</t>
  </si>
  <si>
    <t>2024-09-16</t>
  </si>
  <si>
    <t>2024-09-21</t>
  </si>
  <si>
    <t>2024-09-30</t>
  </si>
  <si>
    <t>2024-10-05</t>
  </si>
  <si>
    <t>2024-03-16</t>
  </si>
  <si>
    <t>2024-03-23</t>
  </si>
  <si>
    <t>2024-01-28</t>
  </si>
  <si>
    <t>2024-01-29</t>
  </si>
  <si>
    <t>2024-05-30</t>
  </si>
  <si>
    <t>2024-05-31</t>
  </si>
  <si>
    <t>2024-02-29</t>
  </si>
  <si>
    <t>2024-03-07</t>
  </si>
  <si>
    <t>2024-10-26</t>
  </si>
  <si>
    <t>2024-07-24</t>
  </si>
  <si>
    <t>2024-08-03</t>
  </si>
  <si>
    <t>2024-11-05</t>
  </si>
  <si>
    <t>2024-11-08</t>
  </si>
  <si>
    <t>2024-01-08</t>
  </si>
  <si>
    <t>2024-01-12</t>
  </si>
  <si>
    <t>2024-04-06</t>
  </si>
  <si>
    <t>2024-04-16</t>
  </si>
  <si>
    <t>2024-07-25</t>
  </si>
  <si>
    <t>2024-07-26</t>
  </si>
  <si>
    <t>Cancelled</t>
  </si>
  <si>
    <t>2024-09-01</t>
  </si>
  <si>
    <t>2024-09-03</t>
  </si>
  <si>
    <t>2024-09-07</t>
  </si>
  <si>
    <t>2024-07-03</t>
  </si>
  <si>
    <t>2024-07-10</t>
  </si>
  <si>
    <t>2024-10-04</t>
  </si>
  <si>
    <t>2024-10-13</t>
  </si>
  <si>
    <t>2024-09-19</t>
  </si>
  <si>
    <t>2024-09-24</t>
  </si>
  <si>
    <t>2024-09-09</t>
  </si>
  <si>
    <t>2024-08-09</t>
  </si>
  <si>
    <t>2024-08-15</t>
  </si>
  <si>
    <t>2024-06-26</t>
  </si>
  <si>
    <t>2024-06-29</t>
  </si>
  <si>
    <t>2024-11-12</t>
  </si>
  <si>
    <t>2024-11-22</t>
  </si>
  <si>
    <t>2024-03-14</t>
  </si>
  <si>
    <t>2024-02-24</t>
  </si>
  <si>
    <t>2024-02-26</t>
  </si>
  <si>
    <t>2024-05-18</t>
  </si>
  <si>
    <t>2024-05-23</t>
  </si>
  <si>
    <t>2024-05-13</t>
  </si>
  <si>
    <t>2024-05-16</t>
  </si>
  <si>
    <t>2024-07-16</t>
  </si>
  <si>
    <t>2024-07-17</t>
  </si>
  <si>
    <t>2024-06-09</t>
  </si>
  <si>
    <t>2024-06-13</t>
  </si>
  <si>
    <t>2024-07-20</t>
  </si>
  <si>
    <t>2024-07-23</t>
  </si>
  <si>
    <t>2024-10-14</t>
  </si>
  <si>
    <t>2024-10-19</t>
  </si>
  <si>
    <t>2024-02-11</t>
  </si>
  <si>
    <t>2024-02-13</t>
  </si>
  <si>
    <t>2024-06-05</t>
  </si>
  <si>
    <t>2024-05-28</t>
  </si>
  <si>
    <t>2024-06-01</t>
  </si>
  <si>
    <t>2024-10-02</t>
  </si>
  <si>
    <t>2024-10-08</t>
  </si>
  <si>
    <t>2024-06-02</t>
  </si>
  <si>
    <t>2024-06-11</t>
  </si>
  <si>
    <t>2024-04-11</t>
  </si>
  <si>
    <t>2024-08-20</t>
  </si>
  <si>
    <t>2024-08-28</t>
  </si>
  <si>
    <t>2024-12-05</t>
  </si>
  <si>
    <t>2024-07-22</t>
  </si>
  <si>
    <t>2024-05-21</t>
  </si>
  <si>
    <t>2024-05-22</t>
  </si>
  <si>
    <t>2024-05-25</t>
  </si>
  <si>
    <t>2024-04-12</t>
  </si>
  <si>
    <t>2024-02-22</t>
  </si>
  <si>
    <t>2024-03-01</t>
  </si>
  <si>
    <t>2024-08-14</t>
  </si>
  <si>
    <t>2024-08-22</t>
  </si>
  <si>
    <t>2024-07-08</t>
  </si>
  <si>
    <t>2024-07-02</t>
  </si>
  <si>
    <t>2024-07-09</t>
  </si>
  <si>
    <t>2024-11-17</t>
  </si>
  <si>
    <t>2024-11-24</t>
  </si>
  <si>
    <t>2024-08-10</t>
  </si>
  <si>
    <t>2024-06-23</t>
  </si>
  <si>
    <t>2024-07-01</t>
  </si>
  <si>
    <t>2024-12-22</t>
  </si>
  <si>
    <t>2024-12-25</t>
  </si>
  <si>
    <t>2024-02-12</t>
  </si>
  <si>
    <t>2024-02-18</t>
  </si>
  <si>
    <t>2024-09-11</t>
  </si>
  <si>
    <t>2024-08-16</t>
  </si>
  <si>
    <t>2024-08-18</t>
  </si>
  <si>
    <t>2024-12-31</t>
  </si>
  <si>
    <t>2025-01-04</t>
  </si>
  <si>
    <t>2024-03-15</t>
  </si>
  <si>
    <t>2024-03-25</t>
  </si>
  <si>
    <t>2024-04-07</t>
  </si>
  <si>
    <t>2024-04-17</t>
  </si>
  <si>
    <t>2024-10-16</t>
  </si>
  <si>
    <t>2024-10-24</t>
  </si>
  <si>
    <t>2024-03-12</t>
  </si>
  <si>
    <t>2024-03-18</t>
  </si>
  <si>
    <t>2024-07-13</t>
  </si>
  <si>
    <t>2024-05-07</t>
  </si>
  <si>
    <t>2024-05-09</t>
  </si>
  <si>
    <t>2024-08-26</t>
  </si>
  <si>
    <t>2024-09-02</t>
  </si>
  <si>
    <t>2024-12-10</t>
  </si>
  <si>
    <t>2024-03-02</t>
  </si>
  <si>
    <t>2024-03-05</t>
  </si>
  <si>
    <t>2024-03-22</t>
  </si>
  <si>
    <t>2024-03-29</t>
  </si>
  <si>
    <t>2024-06-28</t>
  </si>
  <si>
    <t>2024-07-07</t>
  </si>
  <si>
    <t>2024-06-27</t>
  </si>
  <si>
    <t>2024-09-15</t>
  </si>
  <si>
    <t>2024-09-05</t>
  </si>
  <si>
    <t>2024-12-30</t>
  </si>
  <si>
    <t>2025-01-03</t>
  </si>
  <si>
    <t>2024-05-24</t>
  </si>
  <si>
    <t>2024-06-03</t>
  </si>
  <si>
    <t>2024-02-09</t>
  </si>
  <si>
    <t>2024-02-10</t>
  </si>
  <si>
    <t>2024-11-01</t>
  </si>
  <si>
    <t>2024-07-29</t>
  </si>
  <si>
    <t>2024-08-05</t>
  </si>
  <si>
    <t>2024-11-03</t>
  </si>
  <si>
    <t>2024-11-09</t>
  </si>
  <si>
    <t>2024-07-31</t>
  </si>
  <si>
    <t>2024-08-07</t>
  </si>
  <si>
    <t>2024-11-20</t>
  </si>
  <si>
    <t>2024-10-22</t>
  </si>
  <si>
    <t>2024-10-31</t>
  </si>
  <si>
    <t>2024-10-01</t>
  </si>
  <si>
    <t>2024-10-07</t>
  </si>
  <si>
    <t>2024-06-19</t>
  </si>
  <si>
    <t>2024-09-10</t>
  </si>
  <si>
    <t>2024-02-20</t>
  </si>
  <si>
    <t>2024-09-22</t>
  </si>
  <si>
    <t>2024-09-25</t>
  </si>
  <si>
    <t>2024-05-08</t>
  </si>
  <si>
    <t>2024-05-15</t>
  </si>
  <si>
    <t>2024-10-25</t>
  </si>
  <si>
    <t>2024-01-30</t>
  </si>
  <si>
    <t>2024-02-06</t>
  </si>
  <si>
    <t>2024-09-08</t>
  </si>
  <si>
    <t>2024-12-27</t>
  </si>
  <si>
    <t>2024-12-28</t>
  </si>
  <si>
    <t>2024-09-13</t>
  </si>
  <si>
    <t>2024-04-01</t>
  </si>
  <si>
    <t>2024-10-10</t>
  </si>
  <si>
    <t>2024-10-15</t>
  </si>
  <si>
    <t>2024-01-11</t>
  </si>
  <si>
    <t>2024-01-13</t>
  </si>
  <si>
    <t>2024-09-17</t>
  </si>
  <si>
    <t>2024-10-20</t>
  </si>
  <si>
    <t>2024-04-08</t>
  </si>
  <si>
    <t>2024-04-18</t>
  </si>
  <si>
    <t>2024-11-04</t>
  </si>
  <si>
    <t>2024-11-11</t>
  </si>
  <si>
    <t>2024-10-06</t>
  </si>
  <si>
    <t>2024-09-18</t>
  </si>
  <si>
    <t>2024-07-27</t>
  </si>
  <si>
    <t>2024-07-28</t>
  </si>
  <si>
    <t>2024-10-30</t>
  </si>
  <si>
    <t>2024-07-06</t>
  </si>
  <si>
    <t>2024-10-09</t>
  </si>
  <si>
    <t>2024-12-23</t>
  </si>
  <si>
    <t>2025-01-01</t>
  </si>
  <si>
    <t>2024-08-24</t>
  </si>
  <si>
    <t>2024-05-06</t>
  </si>
  <si>
    <t>2024-05-12</t>
  </si>
  <si>
    <t>2024-03-06</t>
  </si>
  <si>
    <t>2024-01-07</t>
  </si>
  <si>
    <t>2024-01-14</t>
  </si>
  <si>
    <t>2024-12-01</t>
  </si>
  <si>
    <t>2024-06-08</t>
  </si>
  <si>
    <t>2024-04-05</t>
  </si>
  <si>
    <t>2024-07-18</t>
  </si>
  <si>
    <t>2024-08-30</t>
  </si>
  <si>
    <t>2024-08-17</t>
  </si>
  <si>
    <t>2024-08-23</t>
  </si>
  <si>
    <t>2024-08-01</t>
  </si>
  <si>
    <t>2024-06-30</t>
  </si>
  <si>
    <t>2024-02-27</t>
  </si>
  <si>
    <t>2024-03-04</t>
  </si>
  <si>
    <t>2024-07-21</t>
  </si>
  <si>
    <t>2024-01-02</t>
  </si>
  <si>
    <t>2024-01-03</t>
  </si>
  <si>
    <t>2024-01-16</t>
  </si>
  <si>
    <t>2024-05-26</t>
  </si>
  <si>
    <t>2024-01-17</t>
  </si>
  <si>
    <t>2024-01-20</t>
  </si>
  <si>
    <t>2024-11-15</t>
  </si>
  <si>
    <t>2024-11-19</t>
  </si>
  <si>
    <t>2024-04-10</t>
  </si>
  <si>
    <t>2024-04-14</t>
  </si>
  <si>
    <t>2024-10-11</t>
  </si>
  <si>
    <t>2024-11-07</t>
  </si>
  <si>
    <t>2024-11-02</t>
  </si>
  <si>
    <t>2024-09-20</t>
  </si>
  <si>
    <t>2024-09-23</t>
  </si>
  <si>
    <t>2024-12-13</t>
  </si>
  <si>
    <t>2024-12-21</t>
  </si>
  <si>
    <t>2024-02-03</t>
  </si>
  <si>
    <t>2024-01-10</t>
  </si>
  <si>
    <t>2024-01-19</t>
  </si>
  <si>
    <t>2024-05-17</t>
  </si>
  <si>
    <t>2024-03-09</t>
  </si>
  <si>
    <t>2024-11-29</t>
  </si>
  <si>
    <t>2024-05-20</t>
  </si>
  <si>
    <t>2024-04-22</t>
  </si>
  <si>
    <t>2024-05-01</t>
  </si>
  <si>
    <t>2024-11-25</t>
  </si>
  <si>
    <t>2024-11-30</t>
  </si>
  <si>
    <t>2024-12-09</t>
  </si>
  <si>
    <t>2024-12-14</t>
  </si>
  <si>
    <t>2024-11-16</t>
  </si>
  <si>
    <t>2024-01-04</t>
  </si>
  <si>
    <t>2024-07-11</t>
  </si>
  <si>
    <t>2024-06-14</t>
  </si>
  <si>
    <t>2024-05-03</t>
  </si>
  <si>
    <t>2024-01-06</t>
  </si>
  <si>
    <t>2024-04-23</t>
  </si>
  <si>
    <t>2024-04-24</t>
  </si>
  <si>
    <t>2024-10-18</t>
  </si>
  <si>
    <t>2024-11-26</t>
  </si>
  <si>
    <t>2024-09-06</t>
  </si>
  <si>
    <t>2024-03-11</t>
  </si>
  <si>
    <t>2024-07-05</t>
  </si>
  <si>
    <t>2024-04-21</t>
  </si>
  <si>
    <t>2024-04-04</t>
  </si>
  <si>
    <t>2024-12-19</t>
  </si>
  <si>
    <t>2024-08-19</t>
  </si>
  <si>
    <t>2024-08-13</t>
  </si>
  <si>
    <t>2024-03-13</t>
  </si>
  <si>
    <t>2024-03-21</t>
  </si>
  <si>
    <t>2024-05-02</t>
  </si>
  <si>
    <t>2024-05-10</t>
  </si>
  <si>
    <t>2024-04-02</t>
  </si>
  <si>
    <t>2024-09-26</t>
  </si>
  <si>
    <t>2024-07-04</t>
  </si>
  <si>
    <t>2024-02-17</t>
  </si>
  <si>
    <t>2024-03-17</t>
  </si>
  <si>
    <t>2024-11-28</t>
  </si>
  <si>
    <t>2024-04-13</t>
  </si>
  <si>
    <t>2024-08-25</t>
  </si>
  <si>
    <t>2024-02-28</t>
  </si>
  <si>
    <t>2024-03-08</t>
  </si>
  <si>
    <t>2024-09-27</t>
  </si>
  <si>
    <t>2024-10-03</t>
  </si>
  <si>
    <t>2024-12-03</t>
  </si>
  <si>
    <t>2024-09-14</t>
  </si>
  <si>
    <t>2024-07-14</t>
  </si>
  <si>
    <t>2024-01-09</t>
  </si>
  <si>
    <t>2024-05-14</t>
  </si>
  <si>
    <t>2024-01-22</t>
  </si>
  <si>
    <t>2024-01-23</t>
  </si>
  <si>
    <t>2024-04-28</t>
  </si>
  <si>
    <t>2024-01-26</t>
  </si>
  <si>
    <t>2024-01-27</t>
  </si>
  <si>
    <t>2024-03-30</t>
  </si>
  <si>
    <t>2024-03-31</t>
  </si>
  <si>
    <t>2024-12-26</t>
  </si>
  <si>
    <t>2024-01-24</t>
  </si>
  <si>
    <t>2024-07-15</t>
  </si>
  <si>
    <t>2024-06-07</t>
  </si>
  <si>
    <t>2024-10-29</t>
  </si>
  <si>
    <t>2024-07-12</t>
  </si>
  <si>
    <t>2024-05-27</t>
  </si>
  <si>
    <t>2024-09-28</t>
  </si>
  <si>
    <t>2024-04-25</t>
  </si>
  <si>
    <t>2024-06-21</t>
  </si>
  <si>
    <t>2024-04-19</t>
  </si>
  <si>
    <t>2024-02-08</t>
  </si>
  <si>
    <t>2024-02-14</t>
  </si>
  <si>
    <t>2024-05-29</t>
  </si>
  <si>
    <t>2024-08-11</t>
  </si>
  <si>
    <t>2025-01-07</t>
  </si>
  <si>
    <t>2024-02-25</t>
  </si>
  <si>
    <t>2024-05-11</t>
  </si>
  <si>
    <t>2024-12-18</t>
  </si>
  <si>
    <t>2024-06-25</t>
  </si>
  <si>
    <t>2024-11-10</t>
  </si>
  <si>
    <t>2024-11-14</t>
  </si>
  <si>
    <t>2024-10-27</t>
  </si>
  <si>
    <t>2024-08-21</t>
  </si>
  <si>
    <t>2024-12-07</t>
  </si>
  <si>
    <t>2024-04-20</t>
  </si>
  <si>
    <t>2024-06-15</t>
  </si>
  <si>
    <t>2024-06-18</t>
  </si>
  <si>
    <t>2024-11-06</t>
  </si>
  <si>
    <t>2024-09-12</t>
  </si>
  <si>
    <t>2024-07-30</t>
  </si>
  <si>
    <t>2024-08-08</t>
  </si>
  <si>
    <t>2024-05-04</t>
  </si>
  <si>
    <t>2024-02-05</t>
  </si>
  <si>
    <t>2024-02-15</t>
  </si>
  <si>
    <t>2024-08-31</t>
  </si>
  <si>
    <t>2024-11-23</t>
  </si>
  <si>
    <t>2024-01-25</t>
  </si>
  <si>
    <t>2024-06-24</t>
  </si>
  <si>
    <t>2024-12-15</t>
  </si>
  <si>
    <t>2024-03-24</t>
  </si>
  <si>
    <t>2024-07-19</t>
  </si>
  <si>
    <t>2024-04-27</t>
  </si>
  <si>
    <t>2024-01-18</t>
  </si>
  <si>
    <t>2024-09-04</t>
  </si>
  <si>
    <t>2024-11-21</t>
  </si>
  <si>
    <t>2024-02-21</t>
  </si>
  <si>
    <t>2024-12-16</t>
  </si>
  <si>
    <t>2024-05-19</t>
  </si>
  <si>
    <t>2024-01-31</t>
  </si>
  <si>
    <t>2024-10-17</t>
  </si>
  <si>
    <t>2024-11-27</t>
  </si>
  <si>
    <t>2024-02-23</t>
  </si>
  <si>
    <t>2024-02-16</t>
  </si>
  <si>
    <t>2024-06-20</t>
  </si>
  <si>
    <t>2024-01-21</t>
  </si>
  <si>
    <t>2024-02-04</t>
  </si>
  <si>
    <t>2024-11-13</t>
  </si>
  <si>
    <t>2024-03-27</t>
  </si>
  <si>
    <t>2024-01-05</t>
  </si>
  <si>
    <t>2024-09-29</t>
  </si>
  <si>
    <t>2024-03-03</t>
  </si>
  <si>
    <t>2024-03-19</t>
  </si>
  <si>
    <t>2024-12-11</t>
  </si>
  <si>
    <t>2024-02-07</t>
  </si>
  <si>
    <t>2024-08-27</t>
  </si>
  <si>
    <t>2024-08-29</t>
  </si>
  <si>
    <t>2024-10-12</t>
  </si>
  <si>
    <t>2024-12-24</t>
  </si>
  <si>
    <t>2024-01-15</t>
  </si>
  <si>
    <t>2024-03-26</t>
  </si>
  <si>
    <t>2024-08-06</t>
  </si>
  <si>
    <t>2024-11-18</t>
  </si>
  <si>
    <t>2024-04-09</t>
  </si>
  <si>
    <t>2024-02-01</t>
  </si>
  <si>
    <t>2025-01-06</t>
  </si>
  <si>
    <t>2024-10-21</t>
  </si>
  <si>
    <t>2024-08-04</t>
  </si>
  <si>
    <t>2024-06-06</t>
  </si>
  <si>
    <t>2025-01-05</t>
  </si>
  <si>
    <t>2024-02-02</t>
  </si>
  <si>
    <t>2024-04-29</t>
  </si>
  <si>
    <t>2024-12-04</t>
  </si>
  <si>
    <t>2024-03-20</t>
  </si>
  <si>
    <t>2024-04-26</t>
  </si>
  <si>
    <t>2024-04-15</t>
  </si>
  <si>
    <t>2024-05-05</t>
  </si>
  <si>
    <t>2025-01-02</t>
  </si>
  <si>
    <t>2024-04-30</t>
  </si>
  <si>
    <t>2024-03-10</t>
  </si>
  <si>
    <t>2024-12-17</t>
  </si>
  <si>
    <t>2024-01-01</t>
  </si>
  <si>
    <t>2024-02-19</t>
  </si>
  <si>
    <t>2025-01-08</t>
  </si>
  <si>
    <t>products.Category</t>
  </si>
  <si>
    <t>products.Unit_Weight</t>
  </si>
  <si>
    <t>products.Base_Price</t>
  </si>
  <si>
    <t>centers.City</t>
  </si>
  <si>
    <t>centers.Zone</t>
  </si>
  <si>
    <t>centers.Capacity_Status</t>
  </si>
  <si>
    <t>Row Labels</t>
  </si>
  <si>
    <t>Grand Total</t>
  </si>
  <si>
    <t>Column Labels</t>
  </si>
  <si>
    <t>Average of products.Base_Price</t>
  </si>
  <si>
    <t>Shipping days</t>
  </si>
  <si>
    <t>Count of Order_ID</t>
  </si>
  <si>
    <t>Sum of Quantity</t>
  </si>
  <si>
    <t>Average of Shipping days</t>
  </si>
  <si>
    <t>Jan</t>
  </si>
  <si>
    <t>Feb</t>
  </si>
  <si>
    <t>Mar</t>
  </si>
  <si>
    <t>Apr</t>
  </si>
  <si>
    <t>May</t>
  </si>
  <si>
    <t>Jun</t>
  </si>
  <si>
    <t>Jul</t>
  </si>
  <si>
    <t>Aug</t>
  </si>
  <si>
    <t>Sep</t>
  </si>
  <si>
    <t>Oct</t>
  </si>
  <si>
    <t>Nov</t>
  </si>
  <si>
    <t>Dec</t>
  </si>
  <si>
    <t>Average of products.Unit_Weight</t>
  </si>
  <si>
    <t>Count of Warehouse_ID</t>
  </si>
  <si>
    <t>Total Order Value</t>
  </si>
  <si>
    <t>Sum of Total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</si>
</sst>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09]\ #,##0.00;[$₹-4009]\ \-#,##0.00"/>
    <numFmt numFmtId="165" formatCode="0.0"/>
    <numFmt numFmtId="166" formatCode="&quot;#&quot;\ 00"/>
    <numFmt numFmtId="167" formatCode="&quot;#&quot;\ 0"/>
    <numFmt numFmtId="168" formatCode="&quot;₹&quot;\ #,##0"/>
  </numFmts>
  <fonts count="4" x14ac:knownFonts="1">
    <font>
      <sz val="11"/>
      <color theme="1"/>
      <name val="Calibri"/>
      <scheme val="minor"/>
    </font>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0" fillId="0" borderId="0" xfId="0"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1" fillId="0" borderId="0" xfId="0" applyFont="1" applyAlignment="1">
      <alignment horizontal="center"/>
    </xf>
    <xf numFmtId="0" fontId="0" fillId="0" borderId="0" xfId="0" applyAlignment="1">
      <alignment horizontal="left" indent="1"/>
    </xf>
    <xf numFmtId="0" fontId="0" fillId="2" borderId="0" xfId="0" applyFill="1"/>
    <xf numFmtId="0" fontId="2" fillId="2" borderId="0" xfId="0" applyFont="1" applyFill="1"/>
    <xf numFmtId="0" fontId="0" fillId="0" borderId="0" xfId="0" applyNumberFormat="1"/>
    <xf numFmtId="166" fontId="3" fillId="0" borderId="0" xfId="0" applyNumberFormat="1" applyFont="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168" fontId="3" fillId="0" borderId="0" xfId="0" applyNumberFormat="1" applyFont="1" applyAlignment="1">
      <alignment horizontal="center"/>
    </xf>
  </cellXfs>
  <cellStyles count="1">
    <cellStyle name="Normal" xfId="0" builtinId="0"/>
  </cellStyles>
  <dxfs count="161">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font>
        <color theme="0"/>
      </font>
      <fill>
        <patternFill>
          <fgColor theme="7" tint="-0.499984740745262"/>
          <bgColor theme="7" tint="-0.499984740745262"/>
        </patternFill>
      </fill>
      <border>
        <left style="thin">
          <color auto="1"/>
        </left>
        <right style="thin">
          <color auto="1"/>
        </right>
        <top style="thin">
          <color auto="1"/>
        </top>
        <bottom style="thin">
          <color auto="1"/>
        </bottom>
      </border>
    </dxf>
    <dxf>
      <fill>
        <patternFill>
          <fgColor theme="7" tint="-0.499984740745262"/>
          <bgColor theme="7" tint="-0.499984740745262"/>
        </patternFill>
      </fill>
      <border>
        <left style="thick">
          <color auto="1"/>
        </left>
        <right style="thick">
          <color auto="1"/>
        </right>
        <top style="thick">
          <color auto="1"/>
        </top>
        <bottom style="thick">
          <color auto="1"/>
        </bottom>
      </border>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0" formatCode="General"/>
    </dxf>
    <dxf>
      <numFmt numFmtId="0" formatCode="General"/>
    </dxf>
    <dxf>
      <numFmt numFmtId="0" formatCode="General"/>
    </dxf>
    <dxf>
      <numFmt numFmtId="164" formatCode="[$₹-4009]\ #,##0.00;[$₹-4009]\ \-#,##0.00"/>
      <alignment horizontal="center" vertical="bottom" textRotation="0" wrapText="0" indent="0" justifyLastLine="0" shrinkToFit="0" readingOrder="0"/>
    </dxf>
    <dxf>
      <numFmt numFmtId="164" formatCode="[$₹-4009]\ #,##0.00;[$₹-4009]\ \-#,##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2" defaultTableStyle="TableStyleMedium2" defaultPivotStyle="PivotStyleLight16">
    <tableStyle name="Slicer Style 1" pivot="0" table="0" count="1" xr9:uid="{80C7FC17-6221-4C34-9B7C-3C4E369CD549}">
      <tableStyleElement type="wholeTable" dxfId="120"/>
    </tableStyle>
    <tableStyle name="Slicer Style 2" pivot="0" table="0" count="1" xr9:uid="{52A01ABD-6B23-4C3C-9421-408632B12D5F}">
      <tableStyleElement type="wholeTable" dxfId="119"/>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[Titan_Logistics_Dataset.xlsx]catagory wise orders!PivotTable1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Catagory wise Orders and Product </a:t>
            </a:r>
            <a:r>
              <a:rPr lang="en-US" sz="1200" baseline="0"/>
              <a:t>Quantity </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10298102981029E-2"/>
          <c:y val="0.14330024813895781"/>
          <c:w val="0.71490024112839556"/>
          <c:h val="0.77316680017975425"/>
        </c:manualLayout>
      </c:layout>
      <c:barChart>
        <c:barDir val="col"/>
        <c:grouping val="clustered"/>
        <c:varyColors val="0"/>
        <c:ser>
          <c:idx val="0"/>
          <c:order val="0"/>
          <c:tx>
            <c:strRef>
              <c:f>'catagory wise orders'!$B$3</c:f>
              <c:strCache>
                <c:ptCount val="1"/>
                <c:pt idx="0">
                  <c:v>Count of Order_ID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orders'!$A$4:$A$9</c:f>
              <c:strCache>
                <c:ptCount val="5"/>
                <c:pt idx="0">
                  <c:v>Apparel</c:v>
                </c:pt>
                <c:pt idx="1">
                  <c:v>Automotive</c:v>
                </c:pt>
                <c:pt idx="2">
                  <c:v>Electronics</c:v>
                </c:pt>
                <c:pt idx="3">
                  <c:v>Furniture</c:v>
                </c:pt>
                <c:pt idx="4">
                  <c:v>Industrial</c:v>
                </c:pt>
              </c:strCache>
            </c:strRef>
          </c:cat>
          <c:val>
            <c:numRef>
              <c:f>'catagory wise orders'!$B$4:$B$9</c:f>
              <c:numCache>
                <c:formatCode>General</c:formatCode>
                <c:ptCount val="5"/>
                <c:pt idx="0">
                  <c:v>277</c:v>
                </c:pt>
                <c:pt idx="1">
                  <c:v>280</c:v>
                </c:pt>
                <c:pt idx="2">
                  <c:v>336</c:v>
                </c:pt>
                <c:pt idx="3">
                  <c:v>311</c:v>
                </c:pt>
                <c:pt idx="4">
                  <c:v>296</c:v>
                </c:pt>
              </c:numCache>
            </c:numRef>
          </c:val>
          <c:extLst>
            <c:ext xmlns:c16="http://schemas.microsoft.com/office/drawing/2014/chart" uri="{C3380CC4-5D6E-409C-BE32-E72D297353CC}">
              <c16:uniqueId val="{00000000-4F99-4063-B56C-876639B5B9FD}"/>
            </c:ext>
          </c:extLst>
        </c:ser>
        <c:ser>
          <c:idx val="1"/>
          <c:order val="1"/>
          <c:tx>
            <c:strRef>
              <c:f>'catagory wise orders'!$C$3</c:f>
              <c:strCache>
                <c:ptCount val="1"/>
                <c:pt idx="0">
                  <c:v>Sum of Quantity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orders'!$A$4:$A$9</c:f>
              <c:strCache>
                <c:ptCount val="5"/>
                <c:pt idx="0">
                  <c:v>Apparel</c:v>
                </c:pt>
                <c:pt idx="1">
                  <c:v>Automotive</c:v>
                </c:pt>
                <c:pt idx="2">
                  <c:v>Electronics</c:v>
                </c:pt>
                <c:pt idx="3">
                  <c:v>Furniture</c:v>
                </c:pt>
                <c:pt idx="4">
                  <c:v>Industrial</c:v>
                </c:pt>
              </c:strCache>
            </c:strRef>
          </c:cat>
          <c:val>
            <c:numRef>
              <c:f>'catagory wise orders'!$C$4:$C$9</c:f>
              <c:numCache>
                <c:formatCode>General</c:formatCode>
                <c:ptCount val="5"/>
                <c:pt idx="0">
                  <c:v>14784</c:v>
                </c:pt>
                <c:pt idx="1">
                  <c:v>13468</c:v>
                </c:pt>
                <c:pt idx="2">
                  <c:v>17406</c:v>
                </c:pt>
                <c:pt idx="3">
                  <c:v>15928</c:v>
                </c:pt>
                <c:pt idx="4">
                  <c:v>15345</c:v>
                </c:pt>
              </c:numCache>
            </c:numRef>
          </c:val>
          <c:extLst>
            <c:ext xmlns:c16="http://schemas.microsoft.com/office/drawing/2014/chart" uri="{C3380CC4-5D6E-409C-BE32-E72D297353CC}">
              <c16:uniqueId val="{00000000-1E07-462D-899D-2E430131BE0C}"/>
            </c:ext>
          </c:extLst>
        </c:ser>
        <c:dLbls>
          <c:dLblPos val="outEnd"/>
          <c:showLegendKey val="0"/>
          <c:showVal val="1"/>
          <c:showCatName val="0"/>
          <c:showSerName val="0"/>
          <c:showPercent val="0"/>
          <c:showBubbleSize val="0"/>
        </c:dLbls>
        <c:gapWidth val="219"/>
        <c:overlap val="-27"/>
        <c:axId val="1425010384"/>
        <c:axId val="1328156880"/>
      </c:barChart>
      <c:catAx>
        <c:axId val="142501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56880"/>
        <c:crosses val="autoZero"/>
        <c:auto val="1"/>
        <c:lblAlgn val="ctr"/>
        <c:lblOffset val="100"/>
        <c:noMultiLvlLbl val="0"/>
      </c:catAx>
      <c:valAx>
        <c:axId val="1328156880"/>
        <c:scaling>
          <c:orientation val="minMax"/>
        </c:scaling>
        <c:delete val="1"/>
        <c:axPos val="l"/>
        <c:numFmt formatCode="General" sourceLinked="1"/>
        <c:majorTickMark val="none"/>
        <c:minorTickMark val="none"/>
        <c:tickLblPos val="nextTo"/>
        <c:crossAx val="1425010384"/>
        <c:crosses val="autoZero"/>
        <c:crossBetween val="between"/>
      </c:valAx>
      <c:spPr>
        <a:noFill/>
        <a:ln>
          <a:noFill/>
        </a:ln>
        <a:effectLst/>
      </c:spPr>
    </c:plotArea>
    <c:legend>
      <c:legendPos val="r"/>
      <c:layout>
        <c:manualLayout>
          <c:xMode val="edge"/>
          <c:yMode val="edge"/>
          <c:x val="0.7555506476324606"/>
          <c:y val="0.47911431976710106"/>
          <c:w val="0.2281891897659134"/>
          <c:h val="0.13957914069674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[Titan_Logistics_Dataset.xlsx]catagory wise average price!PivotTable4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a:t>
            </a:r>
            <a:r>
              <a:rPr lang="en-US" baseline="0"/>
              <a:t> </a:t>
            </a:r>
            <a:r>
              <a:rPr lang="en-US"/>
              <a:t>Average Base Price and Unit</a:t>
            </a:r>
            <a:r>
              <a:rPr lang="en-US" baseline="0"/>
              <a:t> weight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'catagory wise average price'!$B$3</c:f>
              <c:strCache>
                <c:ptCount val="1"/>
                <c:pt idx="0">
                  <c:v>Average of products.Base_Price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average price'!$A$4:$A$9</c:f>
              <c:strCache>
                <c:ptCount val="5"/>
                <c:pt idx="0">
                  <c:v>Apparel</c:v>
                </c:pt>
                <c:pt idx="1">
                  <c:v>Automotive</c:v>
                </c:pt>
                <c:pt idx="2">
                  <c:v>Electronics</c:v>
                </c:pt>
                <c:pt idx="3">
                  <c:v>Furniture</c:v>
                </c:pt>
                <c:pt idx="4">
                  <c:v>Industrial</c:v>
                </c:pt>
              </c:strCache>
            </c:strRef>
          </c:cat>
          <c:val>
            <c:numRef>
              <c:f>'catagory wise average price'!$B$4:$B$9</c:f>
              <c:numCache>
                <c:formatCode>[$₹-4009]\ #,##0.00;[$₹-4009]\ \-#,##0.00</c:formatCode>
                <c:ptCount val="5"/>
                <c:pt idx="0">
                  <c:v>397.70238267148079</c:v>
                </c:pt>
                <c:pt idx="1">
                  <c:v>501.1121785714285</c:v>
                </c:pt>
                <c:pt idx="2">
                  <c:v>459.75181547619019</c:v>
                </c:pt>
                <c:pt idx="3">
                  <c:v>489.69864951768608</c:v>
                </c:pt>
                <c:pt idx="4">
                  <c:v>577.57422297297205</c:v>
                </c:pt>
              </c:numCache>
            </c:numRef>
          </c:val>
          <c:extLst>
            <c:ext xmlns:c16="http://schemas.microsoft.com/office/drawing/2014/chart" uri="{C3380CC4-5D6E-409C-BE32-E72D297353CC}">
              <c16:uniqueId val="{00000000-0C53-4BC9-A690-CEC426B09711}"/>
            </c:ext>
          </c:extLst>
        </c:ser>
        <c:ser>
          <c:idx val="1"/>
          <c:order val="1"/>
          <c:tx>
            <c:strRef>
              <c:f>'catagory wise average price'!$C$3</c:f>
              <c:strCache>
                <c:ptCount val="1"/>
                <c:pt idx="0">
                  <c:v>Average of products.Unit_Weight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average price'!$A$4:$A$9</c:f>
              <c:strCache>
                <c:ptCount val="5"/>
                <c:pt idx="0">
                  <c:v>Apparel</c:v>
                </c:pt>
                <c:pt idx="1">
                  <c:v>Automotive</c:v>
                </c:pt>
                <c:pt idx="2">
                  <c:v>Electronics</c:v>
                </c:pt>
                <c:pt idx="3">
                  <c:v>Furniture</c:v>
                </c:pt>
                <c:pt idx="4">
                  <c:v>Industrial</c:v>
                </c:pt>
              </c:strCache>
            </c:strRef>
          </c:cat>
          <c:val>
            <c:numRef>
              <c:f>'catagory wise average price'!$C$4:$C$9</c:f>
              <c:numCache>
                <c:formatCode>0.00</c:formatCode>
                <c:ptCount val="5"/>
                <c:pt idx="0">
                  <c:v>23.968844765342997</c:v>
                </c:pt>
                <c:pt idx="1">
                  <c:v>19.810357142857114</c:v>
                </c:pt>
                <c:pt idx="2">
                  <c:v>26.529940476190447</c:v>
                </c:pt>
                <c:pt idx="3">
                  <c:v>27.44655948553055</c:v>
                </c:pt>
                <c:pt idx="4">
                  <c:v>28.146013513513555</c:v>
                </c:pt>
              </c:numCache>
            </c:numRef>
          </c:val>
          <c:extLst>
            <c:ext xmlns:c16="http://schemas.microsoft.com/office/drawing/2014/chart" uri="{C3380CC4-5D6E-409C-BE32-E72D297353CC}">
              <c16:uniqueId val="{00000000-D48D-41DA-A5C4-FF7BF1538EF7}"/>
            </c:ext>
          </c:extLst>
        </c:ser>
        <c:dLbls>
          <c:dLblPos val="outEnd"/>
          <c:showLegendKey val="0"/>
          <c:showVal val="1"/>
          <c:showCatName val="0"/>
          <c:showSerName val="0"/>
          <c:showPercent val="0"/>
          <c:showBubbleSize val="0"/>
        </c:dLbls>
        <c:gapWidth val="219"/>
        <c:overlap val="-27"/>
        <c:axId val="211369152"/>
        <c:axId val="1328118480"/>
      </c:barChart>
      <c:catAx>
        <c:axId val="2113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480"/>
        <c:crosses val="autoZero"/>
        <c:auto val="1"/>
        <c:lblAlgn val="ctr"/>
        <c:lblOffset val="100"/>
        <c:noMultiLvlLbl val="0"/>
      </c:catAx>
      <c:valAx>
        <c:axId val="1328118480"/>
        <c:scaling>
          <c:orientation val="minMax"/>
        </c:scaling>
        <c:delete val="1"/>
        <c:axPos val="l"/>
        <c:numFmt formatCode="[$₹-4009]\ #,##0.00;[$₹-4009]\ \-#,##0.00" sourceLinked="1"/>
        <c:majorTickMark val="none"/>
        <c:minorTickMark val="none"/>
        <c:tickLblPos val="nextTo"/>
        <c:crossAx val="21136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[Titan_Logistics_Dataset.xlsx]catagory wise total order value!PivotTable6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Total Order</a:t>
            </a:r>
            <a:r>
              <a:rPr lang="en-US" baseline="0"/>
              <a:t>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2680781887257"/>
          <c:y val="0.17171296296296296"/>
          <c:w val="0.77692276016657535"/>
          <c:h val="0.77736111111111106"/>
        </c:manualLayout>
      </c:layout>
      <c:barChart>
        <c:barDir val="bar"/>
        <c:grouping val="clustered"/>
        <c:varyColors val="0"/>
        <c:ser>
          <c:idx val="0"/>
          <c:order val="0"/>
          <c:tx>
            <c:strRef>
              <c:f>'catagory wise total order value'!$C$3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total order value'!$B$4:$B$9</c:f>
              <c:strCache>
                <c:ptCount val="5"/>
                <c:pt idx="0">
                  <c:v>Apparel</c:v>
                </c:pt>
                <c:pt idx="1">
                  <c:v>Automotive</c:v>
                </c:pt>
                <c:pt idx="2">
                  <c:v>Electronics</c:v>
                </c:pt>
                <c:pt idx="3">
                  <c:v>Furniture</c:v>
                </c:pt>
                <c:pt idx="4">
                  <c:v>Industrial</c:v>
                </c:pt>
              </c:strCache>
            </c:strRef>
          </c:cat>
          <c:val>
            <c:numRef>
              <c:f>'catagory wise total order value'!$C$4:$C$9</c:f>
              <c:numCache>
                <c:formatCode>[$₹-4009]\ #,##0.00;[$₹-4009]\ \-#,##0.00</c:formatCode>
                <c:ptCount val="5"/>
                <c:pt idx="0">
                  <c:v>5802918.4399999995</c:v>
                </c:pt>
                <c:pt idx="1">
                  <c:v>6689777.2199999951</c:v>
                </c:pt>
                <c:pt idx="2">
                  <c:v>8076223.2399999965</c:v>
                </c:pt>
                <c:pt idx="3">
                  <c:v>7742383.1899999985</c:v>
                </c:pt>
                <c:pt idx="4">
                  <c:v>8932840.910000002</c:v>
                </c:pt>
              </c:numCache>
            </c:numRef>
          </c:val>
          <c:extLst>
            <c:ext xmlns:c16="http://schemas.microsoft.com/office/drawing/2014/chart" uri="{C3380CC4-5D6E-409C-BE32-E72D297353CC}">
              <c16:uniqueId val="{00000000-E12C-4F62-A49B-C0563051285B}"/>
            </c:ext>
          </c:extLst>
        </c:ser>
        <c:dLbls>
          <c:dLblPos val="outEnd"/>
          <c:showLegendKey val="0"/>
          <c:showVal val="1"/>
          <c:showCatName val="0"/>
          <c:showSerName val="0"/>
          <c:showPercent val="0"/>
          <c:showBubbleSize val="0"/>
        </c:dLbls>
        <c:gapWidth val="182"/>
        <c:axId val="376805103"/>
        <c:axId val="332422351"/>
      </c:barChart>
      <c:catAx>
        <c:axId val="37680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22351"/>
        <c:crosses val="autoZero"/>
        <c:auto val="1"/>
        <c:lblAlgn val="ctr"/>
        <c:lblOffset val="100"/>
        <c:noMultiLvlLbl val="0"/>
      </c:catAx>
      <c:valAx>
        <c:axId val="332422351"/>
        <c:scaling>
          <c:orientation val="minMax"/>
        </c:scaling>
        <c:delete val="1"/>
        <c:axPos val="b"/>
        <c:numFmt formatCode="[$₹-4009]\ #,##0.00;[$₹-4009]\ \-#,##0.00" sourceLinked="1"/>
        <c:majorTickMark val="none"/>
        <c:minorTickMark val="none"/>
        <c:tickLblPos val="nextTo"/>
        <c:crossAx val="37680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[Titan_Logistics_Dataset.xlsx]catagory wise total order value!PivotTable2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Average Shipping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'catagory wise total order value'!$I$3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total order value'!$H$4:$H$9</c:f>
              <c:strCache>
                <c:ptCount val="5"/>
                <c:pt idx="0">
                  <c:v>Apparel</c:v>
                </c:pt>
                <c:pt idx="1">
                  <c:v>Automotive</c:v>
                </c:pt>
                <c:pt idx="2">
                  <c:v>Electronics</c:v>
                </c:pt>
                <c:pt idx="3">
                  <c:v>Furniture</c:v>
                </c:pt>
                <c:pt idx="4">
                  <c:v>Industrial</c:v>
                </c:pt>
              </c:strCache>
            </c:strRef>
          </c:cat>
          <c:val>
            <c:numRef>
              <c:f>'catagory wise total order value'!$I$4:$I$9</c:f>
              <c:numCache>
                <c:formatCode>0.0</c:formatCode>
                <c:ptCount val="5"/>
                <c:pt idx="0">
                  <c:v>5.3393501805054155</c:v>
                </c:pt>
                <c:pt idx="1">
                  <c:v>5.5250000000000004</c:v>
                </c:pt>
                <c:pt idx="2">
                  <c:v>5.8571428571428568</c:v>
                </c:pt>
                <c:pt idx="3">
                  <c:v>5.559485530546624</c:v>
                </c:pt>
                <c:pt idx="4">
                  <c:v>5.3310810810810807</c:v>
                </c:pt>
              </c:numCache>
            </c:numRef>
          </c:val>
          <c:extLst>
            <c:ext xmlns:c16="http://schemas.microsoft.com/office/drawing/2014/chart" uri="{C3380CC4-5D6E-409C-BE32-E72D297353CC}">
              <c16:uniqueId val="{00000000-A55E-4F90-8438-311E7AB230E4}"/>
            </c:ext>
          </c:extLst>
        </c:ser>
        <c:dLbls>
          <c:dLblPos val="outEnd"/>
          <c:showLegendKey val="0"/>
          <c:showVal val="1"/>
          <c:showCatName val="0"/>
          <c:showSerName val="0"/>
          <c:showPercent val="0"/>
          <c:showBubbleSize val="0"/>
        </c:dLbls>
        <c:gapWidth val="219"/>
        <c:overlap val="-27"/>
        <c:axId val="1235165840"/>
        <c:axId val="623464080"/>
      </c:barChart>
      <c:catAx>
        <c:axId val="1235165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464080"/>
        <c:crosses val="autoZero"/>
        <c:auto val="1"/>
        <c:lblAlgn val="ctr"/>
        <c:lblOffset val="100"/>
        <c:noMultiLvlLbl val="0"/>
      </c:catAx>
      <c:valAx>
        <c:axId val="623464080"/>
        <c:scaling>
          <c:orientation val="minMax"/>
        </c:scaling>
        <c:delete val="1"/>
        <c:axPos val="l"/>
        <c:numFmt formatCode="0.0" sourceLinked="1"/>
        <c:majorTickMark val="out"/>
        <c:minorTickMark val="none"/>
        <c:tickLblPos val="nextTo"/>
        <c:crossAx val="12351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[Titan_Logistics_Dataset.xlsx]order status by catagory!PivotTable1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by</a:t>
            </a:r>
            <a:r>
              <a:rPr lang="en-US" baseline="0"/>
              <a:t> Catagory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'order status by catagory'!$B$3:$B$4</c:f>
              <c:strCache>
                <c:ptCount val="1"/>
                <c:pt idx="0">
                  <c:v>Apparel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catagory'!$B$5:$B$9</c:f>
              <c:numCache>
                <c:formatCode>General</c:formatCode>
                <c:ptCount val="4"/>
                <c:pt idx="0">
                  <c:v>70</c:v>
                </c:pt>
                <c:pt idx="1">
                  <c:v>63</c:v>
                </c:pt>
                <c:pt idx="2">
                  <c:v>71</c:v>
                </c:pt>
                <c:pt idx="3">
                  <c:v>73</c:v>
                </c:pt>
              </c:numCache>
            </c:numRef>
          </c:val>
          <c:extLst>
            <c:ext xmlns:c16="http://schemas.microsoft.com/office/drawing/2014/chart" uri="{C3380CC4-5D6E-409C-BE32-E72D297353CC}">
              <c16:uniqueId val="{00000000-3CE2-4C61-B1FC-1B7AD8CD16CF}"/>
            </c:ext>
          </c:extLst>
        </c:ser>
        <c:ser>
          <c:idx val="1"/>
          <c:order val="1"/>
          <c:tx>
            <c:strRef>
              <c:f>'order status by catagory'!$C$3:$C$4</c:f>
              <c:strCache>
                <c:ptCount val="1"/>
                <c:pt idx="0">
                  <c:v>Automotive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catagory'!$C$5:$C$9</c:f>
              <c:numCache>
                <c:formatCode>General</c:formatCode>
                <c:ptCount val="4"/>
                <c:pt idx="0">
                  <c:v>69</c:v>
                </c:pt>
                <c:pt idx="1">
                  <c:v>70</c:v>
                </c:pt>
                <c:pt idx="2">
                  <c:v>73</c:v>
                </c:pt>
                <c:pt idx="3">
                  <c:v>68</c:v>
                </c:pt>
              </c:numCache>
            </c:numRef>
          </c:val>
          <c:extLst>
            <c:ext xmlns:c16="http://schemas.microsoft.com/office/drawing/2014/chart" uri="{C3380CC4-5D6E-409C-BE32-E72D297353CC}">
              <c16:uniqueId val="{00000000-57AC-4D21-86AA-3A1F9E94B4FF}"/>
            </c:ext>
          </c:extLst>
        </c:ser>
        <c:ser>
          <c:idx val="2"/>
          <c:order val="2"/>
          <c:tx>
            <c:strRef>
              <c:f>'order status by catagory'!$D$3:$D$4</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catagory'!$D$5:$D$9</c:f>
              <c:numCache>
                <c:formatCode>General</c:formatCode>
                <c:ptCount val="4"/>
                <c:pt idx="0">
                  <c:v>84</c:v>
                </c:pt>
                <c:pt idx="1">
                  <c:v>87</c:v>
                </c:pt>
                <c:pt idx="2">
                  <c:v>74</c:v>
                </c:pt>
                <c:pt idx="3">
                  <c:v>91</c:v>
                </c:pt>
              </c:numCache>
            </c:numRef>
          </c:val>
          <c:extLst>
            <c:ext xmlns:c16="http://schemas.microsoft.com/office/drawing/2014/chart" uri="{C3380CC4-5D6E-409C-BE32-E72D297353CC}">
              <c16:uniqueId val="{00000001-57AC-4D21-86AA-3A1F9E94B4FF}"/>
            </c:ext>
          </c:extLst>
        </c:ser>
        <c:ser>
          <c:idx val="3"/>
          <c:order val="3"/>
          <c:tx>
            <c:strRef>
              <c:f>'order status by catagory'!$E$3:$E$4</c:f>
              <c:strCache>
                <c:ptCount val="1"/>
                <c:pt idx="0">
                  <c:v>Furniture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catagory'!$E$5:$E$9</c:f>
              <c:numCache>
                <c:formatCode>General</c:formatCode>
                <c:ptCount val="4"/>
                <c:pt idx="0">
                  <c:v>72</c:v>
                </c:pt>
                <c:pt idx="1">
                  <c:v>87</c:v>
                </c:pt>
                <c:pt idx="2">
                  <c:v>72</c:v>
                </c:pt>
                <c:pt idx="3">
                  <c:v>80</c:v>
                </c:pt>
              </c:numCache>
            </c:numRef>
          </c:val>
          <c:extLst>
            <c:ext xmlns:c16="http://schemas.microsoft.com/office/drawing/2014/chart" uri="{C3380CC4-5D6E-409C-BE32-E72D297353CC}">
              <c16:uniqueId val="{00000002-57AC-4D21-86AA-3A1F9E94B4FF}"/>
            </c:ext>
          </c:extLst>
        </c:ser>
        <c:ser>
          <c:idx val="4"/>
          <c:order val="4"/>
          <c:tx>
            <c:strRef>
              <c:f>'order status by catagory'!$F$3:$F$4</c:f>
              <c:strCache>
                <c:ptCount val="1"/>
                <c:pt idx="0">
                  <c:v>Industrial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catagory'!$F$5:$F$9</c:f>
              <c:numCache>
                <c:formatCode>General</c:formatCode>
                <c:ptCount val="4"/>
                <c:pt idx="0">
                  <c:v>62</c:v>
                </c:pt>
                <c:pt idx="1">
                  <c:v>85</c:v>
                </c:pt>
                <c:pt idx="2">
                  <c:v>80</c:v>
                </c:pt>
                <c:pt idx="3">
                  <c:v>69</c:v>
                </c:pt>
              </c:numCache>
            </c:numRef>
          </c:val>
          <c:extLst>
            <c:ext xmlns:c16="http://schemas.microsoft.com/office/drawing/2014/chart" uri="{C3380CC4-5D6E-409C-BE32-E72D297353CC}">
              <c16:uniqueId val="{00000003-57AC-4D21-86AA-3A1F9E94B4FF}"/>
            </c:ext>
          </c:extLst>
        </c:ser>
        <c:dLbls>
          <c:dLblPos val="ctr"/>
          <c:showLegendKey val="0"/>
          <c:showVal val="1"/>
          <c:showCatName val="0"/>
          <c:showSerName val="0"/>
          <c:showPercent val="0"/>
          <c:showBubbleSize val="0"/>
        </c:dLbls>
        <c:gapWidth val="150"/>
        <c:overlap val="100"/>
        <c:axId val="324663759"/>
        <c:axId val="332444911"/>
      </c:barChart>
      <c:catAx>
        <c:axId val="3246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44911"/>
        <c:crosses val="autoZero"/>
        <c:auto val="1"/>
        <c:lblAlgn val="ctr"/>
        <c:lblOffset val="100"/>
        <c:noMultiLvlLbl val="0"/>
      </c:catAx>
      <c:valAx>
        <c:axId val="33244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6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[Titan_Logistics_Dataset.xlsx]month wise orders!PivotTable3</c:name>
    <c:fmtId val="0"/>
  </c:pivotSource>
  <c:chart>
    <c:title>
      <c:tx>
        <c:rich>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r>
              <a:rPr lang="en-US" sz="1200" b="0"/>
              <a:t>Month wise Orders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orders'!$B$3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 wise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orders'!$B$4:$B$16</c:f>
              <c:numCache>
                <c:formatCode>General</c:formatCode>
                <c:ptCount val="12"/>
                <c:pt idx="0">
                  <c:v>135</c:v>
                </c:pt>
                <c:pt idx="1">
                  <c:v>116</c:v>
                </c:pt>
                <c:pt idx="2">
                  <c:v>109</c:v>
                </c:pt>
                <c:pt idx="3">
                  <c:v>101</c:v>
                </c:pt>
                <c:pt idx="4">
                  <c:v>148</c:v>
                </c:pt>
                <c:pt idx="5">
                  <c:v>135</c:v>
                </c:pt>
                <c:pt idx="6">
                  <c:v>135</c:v>
                </c:pt>
                <c:pt idx="7">
                  <c:v>106</c:v>
                </c:pt>
                <c:pt idx="8">
                  <c:v>127</c:v>
                </c:pt>
                <c:pt idx="9">
                  <c:v>136</c:v>
                </c:pt>
                <c:pt idx="10">
                  <c:v>134</c:v>
                </c:pt>
                <c:pt idx="11">
                  <c:v>118</c:v>
                </c:pt>
              </c:numCache>
            </c:numRef>
          </c:val>
          <c:smooth val="0"/>
          <c:extLst>
            <c:ext xmlns:c16="http://schemas.microsoft.com/office/drawing/2014/chart" uri="{C3380CC4-5D6E-409C-BE32-E72D297353CC}">
              <c16:uniqueId val="{00000000-39B6-4198-9CFF-EB8C79DB982F}"/>
            </c:ext>
          </c:extLst>
        </c:ser>
        <c:dLbls>
          <c:showLegendKey val="0"/>
          <c:showVal val="1"/>
          <c:showCatName val="0"/>
          <c:showSerName val="0"/>
          <c:showPercent val="0"/>
          <c:showBubbleSize val="0"/>
        </c:dLbls>
        <c:marker val="1"/>
        <c:smooth val="0"/>
        <c:axId val="2079916607"/>
        <c:axId val="332476111"/>
      </c:lineChart>
      <c:catAx>
        <c:axId val="20799166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2476111"/>
        <c:crosses val="autoZero"/>
        <c:auto val="1"/>
        <c:lblAlgn val="ctr"/>
        <c:lblOffset val="100"/>
        <c:noMultiLvlLbl val="0"/>
      </c:catAx>
      <c:valAx>
        <c:axId val="3324761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991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[Titan_Logistics_Dataset.xlsx]month wise orders!PivotTable1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t>Month wise shipping</a:t>
            </a:r>
          </a:p>
        </c:rich>
      </c:tx>
      <c:layout>
        <c:manualLayout>
          <c:xMode val="edge"/>
          <c:yMode val="edge"/>
          <c:x val="0.32639065817409763"/>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orders'!$B$19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orders'!$A$20:$A$32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orders'!$B$20:$B$32</c:f>
              <c:numCache>
                <c:formatCode>General</c:formatCode>
                <c:ptCount val="12"/>
                <c:pt idx="0">
                  <c:v>134</c:v>
                </c:pt>
                <c:pt idx="1">
                  <c:v>111</c:v>
                </c:pt>
                <c:pt idx="2">
                  <c:v>119</c:v>
                </c:pt>
                <c:pt idx="3">
                  <c:v>100</c:v>
                </c:pt>
                <c:pt idx="4">
                  <c:v>134</c:v>
                </c:pt>
                <c:pt idx="5">
                  <c:v>138</c:v>
                </c:pt>
                <c:pt idx="6">
                  <c:v>135</c:v>
                </c:pt>
                <c:pt idx="7">
                  <c:v>112</c:v>
                </c:pt>
                <c:pt idx="8">
                  <c:v>126</c:v>
                </c:pt>
                <c:pt idx="9">
                  <c:v>131</c:v>
                </c:pt>
                <c:pt idx="10">
                  <c:v>140</c:v>
                </c:pt>
                <c:pt idx="11">
                  <c:v>120</c:v>
                </c:pt>
              </c:numCache>
            </c:numRef>
          </c:val>
          <c:smooth val="0"/>
          <c:extLst>
            <c:ext xmlns:c16="http://schemas.microsoft.com/office/drawing/2014/chart" uri="{C3380CC4-5D6E-409C-BE32-E72D297353CC}">
              <c16:uniqueId val="{00000000-E334-4DBC-9F64-C78952B14475}"/>
            </c:ext>
          </c:extLst>
        </c:ser>
        <c:dLbls>
          <c:dLblPos val="t"/>
          <c:showLegendKey val="0"/>
          <c:showVal val="1"/>
          <c:showCatName val="0"/>
          <c:showSerName val="0"/>
          <c:showPercent val="0"/>
          <c:showBubbleSize val="0"/>
        </c:dLbls>
        <c:marker val="1"/>
        <c:smooth val="0"/>
        <c:axId val="1235167232"/>
        <c:axId val="1627446352"/>
      </c:lineChart>
      <c:catAx>
        <c:axId val="123516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446352"/>
        <c:crosses val="autoZero"/>
        <c:auto val="1"/>
        <c:lblAlgn val="ctr"/>
        <c:lblOffset val="100"/>
        <c:noMultiLvlLbl val="0"/>
      </c:catAx>
      <c:valAx>
        <c:axId val="162744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6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[Titan_Logistics_Dataset.xlsx]warehouse wise orders!PivotTable1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Warehouse_City wise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wise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'warehouse wise orders'!$A$4:$A$32</c:f>
              <c:multiLvlStrCache>
                <c:ptCount val="20"/>
                <c:lvl>
                  <c:pt idx="0">
                    <c:v>302</c:v>
                  </c:pt>
                  <c:pt idx="1">
                    <c:v>309</c:v>
                  </c:pt>
                  <c:pt idx="2">
                    <c:v>316</c:v>
                  </c:pt>
                  <c:pt idx="3">
                    <c:v>303</c:v>
                  </c:pt>
                  <c:pt idx="4">
                    <c:v>312</c:v>
                  </c:pt>
                  <c:pt idx="5">
                    <c:v>313</c:v>
                  </c:pt>
                  <c:pt idx="6">
                    <c:v>315</c:v>
                  </c:pt>
                  <c:pt idx="7">
                    <c:v>320</c:v>
                  </c:pt>
                  <c:pt idx="8">
                    <c:v>301</c:v>
                  </c:pt>
                  <c:pt idx="9">
                    <c:v>306</c:v>
                  </c:pt>
                  <c:pt idx="10">
                    <c:v>305</c:v>
                  </c:pt>
                  <c:pt idx="11">
                    <c:v>317</c:v>
                  </c:pt>
                  <c:pt idx="12">
                    <c:v>319</c:v>
                  </c:pt>
                  <c:pt idx="13">
                    <c:v>304</c:v>
                  </c:pt>
                  <c:pt idx="14">
                    <c:v>307</c:v>
                  </c:pt>
                  <c:pt idx="15">
                    <c:v>314</c:v>
                  </c:pt>
                  <c:pt idx="16">
                    <c:v>318</c:v>
                  </c:pt>
                  <c:pt idx="17">
                    <c:v>310</c:v>
                  </c:pt>
                  <c:pt idx="18">
                    <c:v>311</c:v>
                  </c:pt>
                  <c:pt idx="19">
                    <c:v>308</c:v>
                  </c:pt>
                </c:lvl>
                <c:lvl>
                  <c:pt idx="0">
                    <c:v>Ahmedabad</c:v>
                  </c:pt>
                  <c:pt idx="1">
                    <c:v>Bangalore</c:v>
                  </c:pt>
                  <c:pt idx="3">
                    <c:v>Delhi</c:v>
                  </c:pt>
                  <c:pt idx="8">
                    <c:v>Hyderabad</c:v>
                  </c:pt>
                  <c:pt idx="10">
                    <c:v>Jaipur</c:v>
                  </c:pt>
                  <c:pt idx="13">
                    <c:v>Lucknow</c:v>
                  </c:pt>
                  <c:pt idx="17">
                    <c:v>Mumbai</c:v>
                  </c:pt>
                  <c:pt idx="19">
                    <c:v>Pune</c:v>
                  </c:pt>
                </c:lvl>
              </c:multiLvlStrCache>
            </c:multiLvlStrRef>
          </c:cat>
          <c:val>
            <c:numRef>
              <c:f>'warehouse wise orders'!$B$4:$B$32</c:f>
              <c:numCache>
                <c:formatCode>General</c:formatCode>
                <c:ptCount val="20"/>
                <c:pt idx="0">
                  <c:v>88</c:v>
                </c:pt>
                <c:pt idx="1">
                  <c:v>73</c:v>
                </c:pt>
                <c:pt idx="2">
                  <c:v>83</c:v>
                </c:pt>
                <c:pt idx="3">
                  <c:v>57</c:v>
                </c:pt>
                <c:pt idx="4">
                  <c:v>69</c:v>
                </c:pt>
                <c:pt idx="5">
                  <c:v>58</c:v>
                </c:pt>
                <c:pt idx="6">
                  <c:v>78</c:v>
                </c:pt>
                <c:pt idx="7">
                  <c:v>68</c:v>
                </c:pt>
                <c:pt idx="8">
                  <c:v>70</c:v>
                </c:pt>
                <c:pt idx="9">
                  <c:v>92</c:v>
                </c:pt>
                <c:pt idx="10">
                  <c:v>74</c:v>
                </c:pt>
                <c:pt idx="11">
                  <c:v>73</c:v>
                </c:pt>
                <c:pt idx="12">
                  <c:v>72</c:v>
                </c:pt>
                <c:pt idx="13">
                  <c:v>77</c:v>
                </c:pt>
                <c:pt idx="14">
                  <c:v>88</c:v>
                </c:pt>
                <c:pt idx="15">
                  <c:v>75</c:v>
                </c:pt>
                <c:pt idx="16">
                  <c:v>78</c:v>
                </c:pt>
                <c:pt idx="17">
                  <c:v>64</c:v>
                </c:pt>
                <c:pt idx="18">
                  <c:v>81</c:v>
                </c:pt>
                <c:pt idx="19">
                  <c:v>82</c:v>
                </c:pt>
              </c:numCache>
            </c:numRef>
          </c:val>
          <c:extLst>
            <c:ext xmlns:c16="http://schemas.microsoft.com/office/drawing/2014/chart" uri="{C3380CC4-5D6E-409C-BE32-E72D297353CC}">
              <c16:uniqueId val="{00000000-4599-470C-A8F0-ACD4B06B4743}"/>
            </c:ext>
          </c:extLst>
        </c:ser>
        <c:dLbls>
          <c:dLblPos val="outEnd"/>
          <c:showLegendKey val="0"/>
          <c:showVal val="1"/>
          <c:showCatName val="0"/>
          <c:showSerName val="0"/>
          <c:showPercent val="0"/>
          <c:showBubbleSize val="0"/>
        </c:dLbls>
        <c:gapWidth val="219"/>
        <c:overlap val="-27"/>
        <c:axId val="848218592"/>
        <c:axId val="221538832"/>
      </c:barChart>
      <c:catAx>
        <c:axId val="84821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38832"/>
        <c:crosses val="autoZero"/>
        <c:auto val="1"/>
        <c:lblAlgn val="ctr"/>
        <c:lblOffset val="100"/>
        <c:noMultiLvlLbl val="0"/>
      </c:catAx>
      <c:valAx>
        <c:axId val="221538832"/>
        <c:scaling>
          <c:orientation val="minMax"/>
        </c:scaling>
        <c:delete val="1"/>
        <c:axPos val="l"/>
        <c:numFmt formatCode="General" sourceLinked="1"/>
        <c:majorTickMark val="none"/>
        <c:minorTickMark val="none"/>
        <c:tickLblPos val="nextTo"/>
        <c:crossAx val="84821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[Titan_Logistics_Dataset.xlsx]zone wise warehousing capacity!PivotTable8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 wise Warehousing 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'zone wise warehousing capacity'!$B$1:$B$2</c:f>
              <c:strCache>
                <c:ptCount val="1"/>
                <c:pt idx="0">
                  <c:v>Full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wise warehousing capacity'!$A$3:$A$7</c:f>
              <c:strCache>
                <c:ptCount val="4"/>
                <c:pt idx="0">
                  <c:v>East</c:v>
                </c:pt>
                <c:pt idx="1">
                  <c:v>North</c:v>
                </c:pt>
                <c:pt idx="2">
                  <c:v>South</c:v>
                </c:pt>
                <c:pt idx="3">
                  <c:v>West</c:v>
                </c:pt>
              </c:strCache>
            </c:strRef>
          </c:cat>
          <c:val>
            <c:numRef>
              <c:f>'zone wise warehousing capacity'!$B$3:$B$7</c:f>
              <c:numCache>
                <c:formatCode>General</c:formatCode>
                <c:ptCount val="4"/>
                <c:pt idx="0">
                  <c:v>88</c:v>
                </c:pt>
                <c:pt idx="1">
                  <c:v>72</c:v>
                </c:pt>
                <c:pt idx="2">
                  <c:v>308</c:v>
                </c:pt>
                <c:pt idx="3">
                  <c:v>132</c:v>
                </c:pt>
              </c:numCache>
            </c:numRef>
          </c:val>
          <c:extLst>
            <c:ext xmlns:c16="http://schemas.microsoft.com/office/drawing/2014/chart" uri="{C3380CC4-5D6E-409C-BE32-E72D297353CC}">
              <c16:uniqueId val="{00000000-FA49-4E89-AE71-434F78B31542}"/>
            </c:ext>
          </c:extLst>
        </c:ser>
        <c:ser>
          <c:idx val="1"/>
          <c:order val="1"/>
          <c:tx>
            <c:strRef>
              <c:f>'zone wise warehousing capacity'!$C$1:$C$2</c:f>
              <c:strCache>
                <c:ptCount val="1"/>
                <c:pt idx="0">
                  <c:v>Near Capacity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wise warehousing capacity'!$A$3:$A$7</c:f>
              <c:strCache>
                <c:ptCount val="4"/>
                <c:pt idx="0">
                  <c:v>East</c:v>
                </c:pt>
                <c:pt idx="1">
                  <c:v>North</c:v>
                </c:pt>
                <c:pt idx="2">
                  <c:v>South</c:v>
                </c:pt>
                <c:pt idx="3">
                  <c:v>West</c:v>
                </c:pt>
              </c:strCache>
            </c:strRef>
          </c:cat>
          <c:val>
            <c:numRef>
              <c:f>'zone wise warehousing capacity'!$C$3:$C$7</c:f>
              <c:numCache>
                <c:formatCode>General</c:formatCode>
                <c:ptCount val="4"/>
                <c:pt idx="0">
                  <c:v>157</c:v>
                </c:pt>
                <c:pt idx="1">
                  <c:v>77</c:v>
                </c:pt>
                <c:pt idx="2">
                  <c:v>152</c:v>
                </c:pt>
                <c:pt idx="3">
                  <c:v>234</c:v>
                </c:pt>
              </c:numCache>
            </c:numRef>
          </c:val>
          <c:extLst>
            <c:ext xmlns:c16="http://schemas.microsoft.com/office/drawing/2014/chart" uri="{C3380CC4-5D6E-409C-BE32-E72D297353CC}">
              <c16:uniqueId val="{00000001-FA49-4E89-AE71-434F78B31542}"/>
            </c:ext>
          </c:extLst>
        </c:ser>
        <c:ser>
          <c:idx val="2"/>
          <c:order val="2"/>
          <c:tx>
            <c:strRef>
              <c:f>'zone wise warehousing capacity'!$D$1:$D$2</c:f>
              <c:strCache>
                <c:ptCount val="1"/>
                <c:pt idx="0">
                  <c:v>Under Capacity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wise warehousing capacity'!$A$3:$A$7</c:f>
              <c:strCache>
                <c:ptCount val="4"/>
                <c:pt idx="0">
                  <c:v>East</c:v>
                </c:pt>
                <c:pt idx="1">
                  <c:v>North</c:v>
                </c:pt>
                <c:pt idx="2">
                  <c:v>South</c:v>
                </c:pt>
                <c:pt idx="3">
                  <c:v>West</c:v>
                </c:pt>
              </c:strCache>
            </c:strRef>
          </c:cat>
          <c:val>
            <c:numRef>
              <c:f>'zone wise warehousing capacity'!$D$3:$D$7</c:f>
              <c:numCache>
                <c:formatCode>General</c:formatCode>
                <c:ptCount val="4"/>
                <c:pt idx="2">
                  <c:v>149</c:v>
                </c:pt>
                <c:pt idx="3">
                  <c:v>131</c:v>
                </c:pt>
              </c:numCache>
            </c:numRef>
          </c:val>
          <c:extLst>
            <c:ext xmlns:c16="http://schemas.microsoft.com/office/drawing/2014/chart" uri="{C3380CC4-5D6E-409C-BE32-E72D297353CC}">
              <c16:uniqueId val="{00000000-1B87-43EE-BFE9-2DAA32E47BEF}"/>
            </c:ext>
          </c:extLst>
        </c:ser>
        <c:dLbls>
          <c:showLegendKey val="0"/>
          <c:showVal val="1"/>
          <c:showCatName val="0"/>
          <c:showSerName val="0"/>
          <c:showPercent val="0"/>
          <c:showBubbleSize val="0"/>
        </c:dLbls>
        <c:gapWidth val="219"/>
        <c:overlap val="100"/>
        <c:axId val="90170895"/>
        <c:axId val="2938639"/>
      </c:barChart>
      <c:catAx>
        <c:axId val="901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639"/>
        <c:crosses val="autoZero"/>
        <c:auto val="1"/>
        <c:lblAlgn val="ctr"/>
        <c:lblOffset val="100"/>
        <c:noMultiLvlLbl val="0"/>
      </c:catAx>
      <c:valAx>
        <c:axId val="2938639"/>
        <c:scaling>
          <c:orientation val="minMax"/>
        </c:scaling>
        <c:delete val="1"/>
        <c:axPos val="l"/>
        <c:numFmt formatCode="General" sourceLinked="1"/>
        <c:majorTickMark val="none"/>
        <c:minorTickMark val="none"/>
        <c:tickLblPos val="nextTo"/>
        <c:crossAx val="901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[Titan_Logistics_Dataset.xlsx]zone wise warehousing capacity!PivotTable1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warehousing Capacity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51644027408908E-2"/>
          <c:y val="0.18675730110775429"/>
          <c:w val="0.70922262131795188"/>
          <c:h val="0.5796552243658365"/>
        </c:manualLayout>
      </c:layout>
      <c:barChart>
        <c:barDir val="col"/>
        <c:grouping val="stacked"/>
        <c:varyColors val="0"/>
        <c:ser>
          <c:idx val="0"/>
          <c:order val="0"/>
          <c:tx>
            <c:strRef>
              <c:f>'zone wise warehousing capacity'!$H$2:$H$3</c:f>
              <c:strCache>
                <c:ptCount val="1"/>
                <c:pt idx="0">
                  <c:v>Full</c:v>
                </c:pt>
              </c:strCache>
            </c:strRef>
          </c:tx>
          <c:spPr>
            <a:solidFill>
              <a:schemeClr val="accent1"/>
            </a:solidFill>
            <a:ln>
              <a:noFill/>
            </a:ln>
            <a:effectLst/>
          </c:spPr>
          <c:invertIfNegative val="0"/>
          <c:cat>
            <c:strRef>
              <c:f>'zone wise warehousing capacity'!$G$4:$G$12</c:f>
              <c:strCache>
                <c:ptCount val="8"/>
                <c:pt idx="0">
                  <c:v>Ahmedabad</c:v>
                </c:pt>
                <c:pt idx="1">
                  <c:v>Bangalore</c:v>
                </c:pt>
                <c:pt idx="2">
                  <c:v>Delhi</c:v>
                </c:pt>
                <c:pt idx="3">
                  <c:v>Hyderabad</c:v>
                </c:pt>
                <c:pt idx="4">
                  <c:v>Jaipur</c:v>
                </c:pt>
                <c:pt idx="5">
                  <c:v>Lucknow</c:v>
                </c:pt>
                <c:pt idx="6">
                  <c:v>Mumbai</c:v>
                </c:pt>
                <c:pt idx="7">
                  <c:v>Pune</c:v>
                </c:pt>
              </c:strCache>
            </c:strRef>
          </c:cat>
          <c:val>
            <c:numRef>
              <c:f>'zone wise warehousing capacity'!$H$4:$H$12</c:f>
              <c:numCache>
                <c:formatCode>General</c:formatCode>
                <c:ptCount val="8"/>
                <c:pt idx="0">
                  <c:v>88</c:v>
                </c:pt>
                <c:pt idx="2">
                  <c:v>137</c:v>
                </c:pt>
                <c:pt idx="3">
                  <c:v>70</c:v>
                </c:pt>
                <c:pt idx="4">
                  <c:v>72</c:v>
                </c:pt>
                <c:pt idx="5">
                  <c:v>88</c:v>
                </c:pt>
                <c:pt idx="6">
                  <c:v>145</c:v>
                </c:pt>
              </c:numCache>
            </c:numRef>
          </c:val>
          <c:extLst>
            <c:ext xmlns:c16="http://schemas.microsoft.com/office/drawing/2014/chart" uri="{C3380CC4-5D6E-409C-BE32-E72D297353CC}">
              <c16:uniqueId val="{00000000-408E-4C53-834D-F8D4F46AA49D}"/>
            </c:ext>
          </c:extLst>
        </c:ser>
        <c:ser>
          <c:idx val="1"/>
          <c:order val="1"/>
          <c:tx>
            <c:strRef>
              <c:f>'zone wise warehousing capacity'!$I$2:$I$3</c:f>
              <c:strCache>
                <c:ptCount val="1"/>
                <c:pt idx="0">
                  <c:v>Near Capacity</c:v>
                </c:pt>
              </c:strCache>
            </c:strRef>
          </c:tx>
          <c:spPr>
            <a:solidFill>
              <a:schemeClr val="accent2"/>
            </a:solidFill>
            <a:ln>
              <a:noFill/>
            </a:ln>
            <a:effectLst/>
          </c:spPr>
          <c:invertIfNegative val="0"/>
          <c:cat>
            <c:strRef>
              <c:f>'zone wise warehousing capacity'!$G$4:$G$12</c:f>
              <c:strCache>
                <c:ptCount val="8"/>
                <c:pt idx="0">
                  <c:v>Ahmedabad</c:v>
                </c:pt>
                <c:pt idx="1">
                  <c:v>Bangalore</c:v>
                </c:pt>
                <c:pt idx="2">
                  <c:v>Delhi</c:v>
                </c:pt>
                <c:pt idx="3">
                  <c:v>Hyderabad</c:v>
                </c:pt>
                <c:pt idx="4">
                  <c:v>Jaipur</c:v>
                </c:pt>
                <c:pt idx="5">
                  <c:v>Lucknow</c:v>
                </c:pt>
                <c:pt idx="6">
                  <c:v>Mumbai</c:v>
                </c:pt>
                <c:pt idx="7">
                  <c:v>Pune</c:v>
                </c:pt>
              </c:strCache>
            </c:strRef>
          </c:cat>
          <c:val>
            <c:numRef>
              <c:f>'zone wise warehousing capacity'!$I$4:$I$12</c:f>
              <c:numCache>
                <c:formatCode>General</c:formatCode>
                <c:ptCount val="8"/>
                <c:pt idx="1">
                  <c:v>83</c:v>
                </c:pt>
                <c:pt idx="2">
                  <c:v>78</c:v>
                </c:pt>
                <c:pt idx="4">
                  <c:v>147</c:v>
                </c:pt>
                <c:pt idx="5">
                  <c:v>230</c:v>
                </c:pt>
                <c:pt idx="7">
                  <c:v>82</c:v>
                </c:pt>
              </c:numCache>
            </c:numRef>
          </c:val>
          <c:extLst>
            <c:ext xmlns:c16="http://schemas.microsoft.com/office/drawing/2014/chart" uri="{C3380CC4-5D6E-409C-BE32-E72D297353CC}">
              <c16:uniqueId val="{00000001-408E-4C53-834D-F8D4F46AA49D}"/>
            </c:ext>
          </c:extLst>
        </c:ser>
        <c:ser>
          <c:idx val="2"/>
          <c:order val="2"/>
          <c:tx>
            <c:strRef>
              <c:f>'zone wise warehousing capacity'!$J$2:$J$3</c:f>
              <c:strCache>
                <c:ptCount val="1"/>
                <c:pt idx="0">
                  <c:v>Under Capacity</c:v>
                </c:pt>
              </c:strCache>
            </c:strRef>
          </c:tx>
          <c:spPr>
            <a:solidFill>
              <a:schemeClr val="accent3"/>
            </a:solidFill>
            <a:ln>
              <a:noFill/>
            </a:ln>
            <a:effectLst/>
          </c:spPr>
          <c:invertIfNegative val="0"/>
          <c:cat>
            <c:strRef>
              <c:f>'zone wise warehousing capacity'!$G$4:$G$12</c:f>
              <c:strCache>
                <c:ptCount val="8"/>
                <c:pt idx="0">
                  <c:v>Ahmedabad</c:v>
                </c:pt>
                <c:pt idx="1">
                  <c:v>Bangalore</c:v>
                </c:pt>
                <c:pt idx="2">
                  <c:v>Delhi</c:v>
                </c:pt>
                <c:pt idx="3">
                  <c:v>Hyderabad</c:v>
                </c:pt>
                <c:pt idx="4">
                  <c:v>Jaipur</c:v>
                </c:pt>
                <c:pt idx="5">
                  <c:v>Lucknow</c:v>
                </c:pt>
                <c:pt idx="6">
                  <c:v>Mumbai</c:v>
                </c:pt>
                <c:pt idx="7">
                  <c:v>Pune</c:v>
                </c:pt>
              </c:strCache>
            </c:strRef>
          </c:cat>
          <c:val>
            <c:numRef>
              <c:f>'zone wise warehousing capacity'!$J$4:$J$12</c:f>
              <c:numCache>
                <c:formatCode>General</c:formatCode>
                <c:ptCount val="8"/>
                <c:pt idx="1">
                  <c:v>73</c:v>
                </c:pt>
                <c:pt idx="2">
                  <c:v>115</c:v>
                </c:pt>
                <c:pt idx="3">
                  <c:v>92</c:v>
                </c:pt>
              </c:numCache>
            </c:numRef>
          </c:val>
          <c:extLst>
            <c:ext xmlns:c16="http://schemas.microsoft.com/office/drawing/2014/chart" uri="{C3380CC4-5D6E-409C-BE32-E72D297353CC}">
              <c16:uniqueId val="{00000000-F463-435A-B98A-188E7BD4E897}"/>
            </c:ext>
          </c:extLst>
        </c:ser>
        <c:dLbls>
          <c:showLegendKey val="0"/>
          <c:showVal val="0"/>
          <c:showCatName val="0"/>
          <c:showSerName val="0"/>
          <c:showPercent val="0"/>
          <c:showBubbleSize val="0"/>
        </c:dLbls>
        <c:gapWidth val="219"/>
        <c:overlap val="100"/>
        <c:axId val="954918928"/>
        <c:axId val="791780240"/>
      </c:barChart>
      <c:catAx>
        <c:axId val="9549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80240"/>
        <c:crosses val="autoZero"/>
        <c:auto val="1"/>
        <c:lblAlgn val="ctr"/>
        <c:lblOffset val="100"/>
        <c:noMultiLvlLbl val="0"/>
      </c:catAx>
      <c:valAx>
        <c:axId val="79178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[Titan_Logistics_Dataset.xlsx]catagory wise orders!PivotTable1</c:name>
    <c:fmtId val="8"/>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Catagory wise Orders and Product </a:t>
            </a:r>
            <a:r>
              <a:rPr lang="en-US" sz="1200" baseline="0">
                <a:solidFill>
                  <a:schemeClr val="bg1"/>
                </a:solidFill>
              </a:rPr>
              <a:t>Quantity </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75440391662611E-2"/>
          <c:y val="0.13795847634430311"/>
          <c:w val="0.75716127797812915"/>
          <c:h val="0.77316680017975425"/>
        </c:manualLayout>
      </c:layout>
      <c:barChart>
        <c:barDir val="col"/>
        <c:grouping val="clustered"/>
        <c:varyColors val="0"/>
        <c:ser>
          <c:idx val="0"/>
          <c:order val="0"/>
          <c:tx>
            <c:strRef>
              <c:f>'catagory wise orders'!$B$3</c:f>
              <c:strCache>
                <c:ptCount val="1"/>
                <c:pt idx="0">
                  <c:v>Count of Order_ID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orders'!$A$4:$A$9</c:f>
              <c:strCache>
                <c:ptCount val="5"/>
                <c:pt idx="0">
                  <c:v>Apparel</c:v>
                </c:pt>
                <c:pt idx="1">
                  <c:v>Automotive</c:v>
                </c:pt>
                <c:pt idx="2">
                  <c:v>Electronics</c:v>
                </c:pt>
                <c:pt idx="3">
                  <c:v>Furniture</c:v>
                </c:pt>
                <c:pt idx="4">
                  <c:v>Industrial</c:v>
                </c:pt>
              </c:strCache>
            </c:strRef>
          </c:cat>
          <c:val>
            <c:numRef>
              <c:f>'catagory wise orders'!$B$4:$B$9</c:f>
              <c:numCache>
                <c:formatCode>General</c:formatCode>
                <c:ptCount val="5"/>
                <c:pt idx="0">
                  <c:v>277</c:v>
                </c:pt>
                <c:pt idx="1">
                  <c:v>280</c:v>
                </c:pt>
                <c:pt idx="2">
                  <c:v>336</c:v>
                </c:pt>
                <c:pt idx="3">
                  <c:v>311</c:v>
                </c:pt>
                <c:pt idx="4">
                  <c:v>296</c:v>
                </c:pt>
              </c:numCache>
            </c:numRef>
          </c:val>
          <c:extLst>
            <c:ext xmlns:c16="http://schemas.microsoft.com/office/drawing/2014/chart" uri="{C3380CC4-5D6E-409C-BE32-E72D297353CC}">
              <c16:uniqueId val="{00000000-417A-4FC6-B725-8EBFC4F74FD6}"/>
            </c:ext>
          </c:extLst>
        </c:ser>
        <c:ser>
          <c:idx val="1"/>
          <c:order val="1"/>
          <c:tx>
            <c:strRef>
              <c:f>'catagory wise orders'!$C$3</c:f>
              <c:strCache>
                <c:ptCount val="1"/>
                <c:pt idx="0">
                  <c:v>Sum of Quantity</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orders'!$A$4:$A$9</c:f>
              <c:strCache>
                <c:ptCount val="5"/>
                <c:pt idx="0">
                  <c:v>Apparel</c:v>
                </c:pt>
                <c:pt idx="1">
                  <c:v>Automotive</c:v>
                </c:pt>
                <c:pt idx="2">
                  <c:v>Electronics</c:v>
                </c:pt>
                <c:pt idx="3">
                  <c:v>Furniture</c:v>
                </c:pt>
                <c:pt idx="4">
                  <c:v>Industrial</c:v>
                </c:pt>
              </c:strCache>
            </c:strRef>
          </c:cat>
          <c:val>
            <c:numRef>
              <c:f>'catagory wise orders'!$C$4:$C$9</c:f>
              <c:numCache>
                <c:formatCode>General</c:formatCode>
                <c:ptCount val="5"/>
                <c:pt idx="0">
                  <c:v>14784</c:v>
                </c:pt>
                <c:pt idx="1">
                  <c:v>13468</c:v>
                </c:pt>
                <c:pt idx="2">
                  <c:v>17406</c:v>
                </c:pt>
                <c:pt idx="3">
                  <c:v>15928</c:v>
                </c:pt>
                <c:pt idx="4">
                  <c:v>15345</c:v>
                </c:pt>
              </c:numCache>
            </c:numRef>
          </c:val>
          <c:extLst>
            <c:ext xmlns:c16="http://schemas.microsoft.com/office/drawing/2014/chart" uri="{C3380CC4-5D6E-409C-BE32-E72D297353CC}">
              <c16:uniqueId val="{00000001-417A-4FC6-B725-8EBFC4F74FD6}"/>
            </c:ext>
          </c:extLst>
        </c:ser>
        <c:dLbls>
          <c:dLblPos val="outEnd"/>
          <c:showLegendKey val="0"/>
          <c:showVal val="1"/>
          <c:showCatName val="0"/>
          <c:showSerName val="0"/>
          <c:showPercent val="0"/>
          <c:showBubbleSize val="0"/>
        </c:dLbls>
        <c:gapWidth val="219"/>
        <c:overlap val="-27"/>
        <c:axId val="1425010384"/>
        <c:axId val="1328156880"/>
      </c:barChart>
      <c:catAx>
        <c:axId val="142501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8156880"/>
        <c:crosses val="autoZero"/>
        <c:auto val="1"/>
        <c:lblAlgn val="ctr"/>
        <c:lblOffset val="100"/>
        <c:noMultiLvlLbl val="0"/>
      </c:catAx>
      <c:valAx>
        <c:axId val="1328156880"/>
        <c:scaling>
          <c:orientation val="minMax"/>
        </c:scaling>
        <c:delete val="1"/>
        <c:axPos val="l"/>
        <c:numFmt formatCode="General" sourceLinked="1"/>
        <c:majorTickMark val="none"/>
        <c:minorTickMark val="none"/>
        <c:tickLblPos val="nextTo"/>
        <c:crossAx val="1425010384"/>
        <c:crosses val="autoZero"/>
        <c:crossBetween val="between"/>
      </c:valAx>
      <c:spPr>
        <a:noFill/>
        <a:ln>
          <a:noFill/>
        </a:ln>
        <a:effectLst/>
      </c:spPr>
    </c:plotArea>
    <c:legend>
      <c:legendPos val="r"/>
      <c:layout>
        <c:manualLayout>
          <c:xMode val="edge"/>
          <c:yMode val="edge"/>
          <c:x val="0.76875725320388821"/>
          <c:y val="0.49981822924308372"/>
          <c:w val="0.2281891897659134"/>
          <c:h val="0.13957914069674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[Titan_Logistics_Dataset.xlsx]catagory wise total order value!PivotTable6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wise Total Order</a:t>
            </a:r>
            <a:r>
              <a:rPr lang="en-US" baseline="0">
                <a:solidFill>
                  <a:schemeClr val="bg1"/>
                </a:solidFill>
              </a:rPr>
              <a:t> value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2680781887257"/>
          <c:y val="0.13570485402287677"/>
          <c:w val="0.77692276016657535"/>
          <c:h val="0.82880131881662933"/>
        </c:manualLayout>
      </c:layout>
      <c:barChart>
        <c:barDir val="bar"/>
        <c:grouping val="clustered"/>
        <c:varyColors val="0"/>
        <c:ser>
          <c:idx val="0"/>
          <c:order val="0"/>
          <c:tx>
            <c:strRef>
              <c:f>'catagory wise total order value'!$C$3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total order value'!$B$4:$B$9</c:f>
              <c:strCache>
                <c:ptCount val="5"/>
                <c:pt idx="0">
                  <c:v>Apparel</c:v>
                </c:pt>
                <c:pt idx="1">
                  <c:v>Automotive</c:v>
                </c:pt>
                <c:pt idx="2">
                  <c:v>Electronics</c:v>
                </c:pt>
                <c:pt idx="3">
                  <c:v>Furniture</c:v>
                </c:pt>
                <c:pt idx="4">
                  <c:v>Industrial</c:v>
                </c:pt>
              </c:strCache>
            </c:strRef>
          </c:cat>
          <c:val>
            <c:numRef>
              <c:f>'catagory wise total order value'!$C$4:$C$9</c:f>
              <c:numCache>
                <c:formatCode>[$₹-4009]\ #,##0.00;[$₹-4009]\ \-#,##0.00</c:formatCode>
                <c:ptCount val="5"/>
                <c:pt idx="0">
                  <c:v>5802918.4399999995</c:v>
                </c:pt>
                <c:pt idx="1">
                  <c:v>6689777.2199999951</c:v>
                </c:pt>
                <c:pt idx="2">
                  <c:v>8076223.2399999965</c:v>
                </c:pt>
                <c:pt idx="3">
                  <c:v>7742383.1899999985</c:v>
                </c:pt>
                <c:pt idx="4">
                  <c:v>8932840.910000002</c:v>
                </c:pt>
              </c:numCache>
            </c:numRef>
          </c:val>
          <c:extLst>
            <c:ext xmlns:c16="http://schemas.microsoft.com/office/drawing/2014/chart" uri="{C3380CC4-5D6E-409C-BE32-E72D297353CC}">
              <c16:uniqueId val="{00000000-1A1D-4480-A973-E8CFB66EC74A}"/>
            </c:ext>
          </c:extLst>
        </c:ser>
        <c:dLbls>
          <c:dLblPos val="outEnd"/>
          <c:showLegendKey val="0"/>
          <c:showVal val="1"/>
          <c:showCatName val="0"/>
          <c:showSerName val="0"/>
          <c:showPercent val="0"/>
          <c:showBubbleSize val="0"/>
        </c:dLbls>
        <c:gapWidth val="182"/>
        <c:axId val="376805103"/>
        <c:axId val="332422351"/>
      </c:barChart>
      <c:catAx>
        <c:axId val="37680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2422351"/>
        <c:crosses val="autoZero"/>
        <c:auto val="1"/>
        <c:lblAlgn val="ctr"/>
        <c:lblOffset val="100"/>
        <c:noMultiLvlLbl val="0"/>
      </c:catAx>
      <c:valAx>
        <c:axId val="332422351"/>
        <c:scaling>
          <c:orientation val="minMax"/>
        </c:scaling>
        <c:delete val="1"/>
        <c:axPos val="b"/>
        <c:numFmt formatCode="[$₹-4009]\ #,##0.00;[$₹-4009]\ \-#,##0.00" sourceLinked="1"/>
        <c:majorTickMark val="none"/>
        <c:minorTickMark val="none"/>
        <c:tickLblPos val="nextTo"/>
        <c:crossAx val="37680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[Titan_Logistics_Dataset.xlsx]month wise orders!PivotTable3</c:name>
    <c:fmtId val="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400" b="0"/>
              <a:t>Month wise Orders</a:t>
            </a:r>
          </a:p>
        </c:rich>
      </c:tx>
      <c:layout>
        <c:manualLayout>
          <c:xMode val="edge"/>
          <c:yMode val="edge"/>
          <c:x val="0.38830172001695662"/>
          <c:y val="1.92678227360308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lumMod val="40000"/>
                <a:lumOff val="6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orders'!$B$3</c:f>
              <c:strCache>
                <c:ptCount val="1"/>
                <c:pt idx="0">
                  <c:v>Total</c:v>
                </c:pt>
              </c:strCache>
            </c:strRef>
          </c:tx>
          <c:spPr>
            <a:ln w="31750" cap="rnd">
              <a:solidFill>
                <a:schemeClr val="accent4">
                  <a:lumMod val="40000"/>
                  <a:lumOff val="6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 wise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orders'!$B$4:$B$16</c:f>
              <c:numCache>
                <c:formatCode>General</c:formatCode>
                <c:ptCount val="12"/>
                <c:pt idx="0">
                  <c:v>135</c:v>
                </c:pt>
                <c:pt idx="1">
                  <c:v>116</c:v>
                </c:pt>
                <c:pt idx="2">
                  <c:v>109</c:v>
                </c:pt>
                <c:pt idx="3">
                  <c:v>101</c:v>
                </c:pt>
                <c:pt idx="4">
                  <c:v>148</c:v>
                </c:pt>
                <c:pt idx="5">
                  <c:v>135</c:v>
                </c:pt>
                <c:pt idx="6">
                  <c:v>135</c:v>
                </c:pt>
                <c:pt idx="7">
                  <c:v>106</c:v>
                </c:pt>
                <c:pt idx="8">
                  <c:v>127</c:v>
                </c:pt>
                <c:pt idx="9">
                  <c:v>136</c:v>
                </c:pt>
                <c:pt idx="10">
                  <c:v>134</c:v>
                </c:pt>
                <c:pt idx="11">
                  <c:v>118</c:v>
                </c:pt>
              </c:numCache>
            </c:numRef>
          </c:val>
          <c:smooth val="0"/>
          <c:extLst>
            <c:ext xmlns:c16="http://schemas.microsoft.com/office/drawing/2014/chart" uri="{C3380CC4-5D6E-409C-BE32-E72D297353CC}">
              <c16:uniqueId val="{00000000-F220-4F8B-A792-C38B6C52A197}"/>
            </c:ext>
          </c:extLst>
        </c:ser>
        <c:dLbls>
          <c:showLegendKey val="0"/>
          <c:showVal val="1"/>
          <c:showCatName val="0"/>
          <c:showSerName val="0"/>
          <c:showPercent val="0"/>
          <c:showBubbleSize val="0"/>
        </c:dLbls>
        <c:marker val="1"/>
        <c:smooth val="0"/>
        <c:axId val="2079916607"/>
        <c:axId val="332476111"/>
      </c:lineChart>
      <c:catAx>
        <c:axId val="20799166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2476111"/>
        <c:crosses val="autoZero"/>
        <c:auto val="1"/>
        <c:lblAlgn val="ctr"/>
        <c:lblOffset val="100"/>
        <c:noMultiLvlLbl val="0"/>
      </c:catAx>
      <c:valAx>
        <c:axId val="3324761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991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[Titan_Logistics_Dataset.xlsx]month wise orders!PivotTable1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 wise shipping</a:t>
            </a:r>
          </a:p>
        </c:rich>
      </c:tx>
      <c:layout>
        <c:manualLayout>
          <c:xMode val="edge"/>
          <c:yMode val="edge"/>
          <c:x val="0.3263906581740976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orders'!$B$19</c:f>
              <c:strCache>
                <c:ptCount val="1"/>
                <c:pt idx="0">
                  <c:v>Total</c:v>
                </c:pt>
              </c:strCache>
            </c:strRef>
          </c:tx>
          <c:spPr>
            <a:ln w="28575" cap="rnd">
              <a:solidFill>
                <a:schemeClr val="accent4">
                  <a:lumMod val="40000"/>
                  <a:lumOff val="6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wise orders'!$A$20:$A$32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orders'!$B$20:$B$32</c:f>
              <c:numCache>
                <c:formatCode>General</c:formatCode>
                <c:ptCount val="12"/>
                <c:pt idx="0">
                  <c:v>134</c:v>
                </c:pt>
                <c:pt idx="1">
                  <c:v>111</c:v>
                </c:pt>
                <c:pt idx="2">
                  <c:v>119</c:v>
                </c:pt>
                <c:pt idx="3">
                  <c:v>100</c:v>
                </c:pt>
                <c:pt idx="4">
                  <c:v>134</c:v>
                </c:pt>
                <c:pt idx="5">
                  <c:v>138</c:v>
                </c:pt>
                <c:pt idx="6">
                  <c:v>135</c:v>
                </c:pt>
                <c:pt idx="7">
                  <c:v>112</c:v>
                </c:pt>
                <c:pt idx="8">
                  <c:v>126</c:v>
                </c:pt>
                <c:pt idx="9">
                  <c:v>131</c:v>
                </c:pt>
                <c:pt idx="10">
                  <c:v>140</c:v>
                </c:pt>
                <c:pt idx="11">
                  <c:v>120</c:v>
                </c:pt>
              </c:numCache>
            </c:numRef>
          </c:val>
          <c:smooth val="0"/>
          <c:extLst>
            <c:ext xmlns:c16="http://schemas.microsoft.com/office/drawing/2014/chart" uri="{C3380CC4-5D6E-409C-BE32-E72D297353CC}">
              <c16:uniqueId val="{00000000-AD22-49CD-B33E-669BA5C877E8}"/>
            </c:ext>
          </c:extLst>
        </c:ser>
        <c:dLbls>
          <c:dLblPos val="t"/>
          <c:showLegendKey val="0"/>
          <c:showVal val="1"/>
          <c:showCatName val="0"/>
          <c:showSerName val="0"/>
          <c:showPercent val="0"/>
          <c:showBubbleSize val="0"/>
        </c:dLbls>
        <c:marker val="1"/>
        <c:smooth val="0"/>
        <c:axId val="1235167232"/>
        <c:axId val="1627446352"/>
      </c:lineChart>
      <c:catAx>
        <c:axId val="123516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7446352"/>
        <c:crosses val="autoZero"/>
        <c:auto val="1"/>
        <c:lblAlgn val="ctr"/>
        <c:lblOffset val="100"/>
        <c:noMultiLvlLbl val="0"/>
      </c:catAx>
      <c:valAx>
        <c:axId val="162744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16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[Titan_Logistics_Dataset.xlsx]order status by catagory!PivotTable1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 Status by</a:t>
            </a:r>
            <a:r>
              <a:rPr lang="en-US" baseline="0">
                <a:solidFill>
                  <a:schemeClr val="bg1"/>
                </a:solidFill>
              </a:rPr>
              <a:t> Catagory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93889396575825E-2"/>
          <c:y val="0.19020512820512819"/>
          <c:w val="0.72263936006409368"/>
          <c:h val="0.71647042196648492"/>
        </c:manualLayout>
      </c:layout>
      <c:barChart>
        <c:barDir val="col"/>
        <c:grouping val="stacked"/>
        <c:varyColors val="0"/>
        <c:ser>
          <c:idx val="0"/>
          <c:order val="0"/>
          <c:tx>
            <c:strRef>
              <c:f>'order status by catagory'!$B$3:$B$4</c:f>
              <c:strCache>
                <c:ptCount val="1"/>
                <c:pt idx="0">
                  <c:v>Apparel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catagory'!$B$5:$B$9</c:f>
              <c:numCache>
                <c:formatCode>General</c:formatCode>
                <c:ptCount val="4"/>
                <c:pt idx="0">
                  <c:v>70</c:v>
                </c:pt>
                <c:pt idx="1">
                  <c:v>63</c:v>
                </c:pt>
                <c:pt idx="2">
                  <c:v>71</c:v>
                </c:pt>
                <c:pt idx="3">
                  <c:v>73</c:v>
                </c:pt>
              </c:numCache>
            </c:numRef>
          </c:val>
          <c:extLst>
            <c:ext xmlns:c16="http://schemas.microsoft.com/office/drawing/2014/chart" uri="{C3380CC4-5D6E-409C-BE32-E72D297353CC}">
              <c16:uniqueId val="{00000000-CC3F-4F12-88D4-797D1A6C5613}"/>
            </c:ext>
          </c:extLst>
        </c:ser>
        <c:ser>
          <c:idx val="1"/>
          <c:order val="1"/>
          <c:tx>
            <c:strRef>
              <c:f>'order status by catagory'!$C$3:$C$4</c:f>
              <c:strCache>
                <c:ptCount val="1"/>
                <c:pt idx="0">
                  <c:v>Automotive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catagory'!$C$5:$C$9</c:f>
              <c:numCache>
                <c:formatCode>General</c:formatCode>
                <c:ptCount val="4"/>
                <c:pt idx="0">
                  <c:v>69</c:v>
                </c:pt>
                <c:pt idx="1">
                  <c:v>70</c:v>
                </c:pt>
                <c:pt idx="2">
                  <c:v>73</c:v>
                </c:pt>
                <c:pt idx="3">
                  <c:v>68</c:v>
                </c:pt>
              </c:numCache>
            </c:numRef>
          </c:val>
          <c:extLst>
            <c:ext xmlns:c16="http://schemas.microsoft.com/office/drawing/2014/chart" uri="{C3380CC4-5D6E-409C-BE32-E72D297353CC}">
              <c16:uniqueId val="{00000001-BF99-4A62-B643-0579E1DF2325}"/>
            </c:ext>
          </c:extLst>
        </c:ser>
        <c:ser>
          <c:idx val="2"/>
          <c:order val="2"/>
          <c:tx>
            <c:strRef>
              <c:f>'order status by catagory'!$D$3:$D$4</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catagory'!$D$5:$D$9</c:f>
              <c:numCache>
                <c:formatCode>General</c:formatCode>
                <c:ptCount val="4"/>
                <c:pt idx="0">
                  <c:v>84</c:v>
                </c:pt>
                <c:pt idx="1">
                  <c:v>87</c:v>
                </c:pt>
                <c:pt idx="2">
                  <c:v>74</c:v>
                </c:pt>
                <c:pt idx="3">
                  <c:v>91</c:v>
                </c:pt>
              </c:numCache>
            </c:numRef>
          </c:val>
          <c:extLst>
            <c:ext xmlns:c16="http://schemas.microsoft.com/office/drawing/2014/chart" uri="{C3380CC4-5D6E-409C-BE32-E72D297353CC}">
              <c16:uniqueId val="{00000002-BF99-4A62-B643-0579E1DF2325}"/>
            </c:ext>
          </c:extLst>
        </c:ser>
        <c:ser>
          <c:idx val="3"/>
          <c:order val="3"/>
          <c:tx>
            <c:strRef>
              <c:f>'order status by catagory'!$E$3:$E$4</c:f>
              <c:strCache>
                <c:ptCount val="1"/>
                <c:pt idx="0">
                  <c:v>Furniture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catagory'!$E$5:$E$9</c:f>
              <c:numCache>
                <c:formatCode>General</c:formatCode>
                <c:ptCount val="4"/>
                <c:pt idx="0">
                  <c:v>72</c:v>
                </c:pt>
                <c:pt idx="1">
                  <c:v>87</c:v>
                </c:pt>
                <c:pt idx="2">
                  <c:v>72</c:v>
                </c:pt>
                <c:pt idx="3">
                  <c:v>80</c:v>
                </c:pt>
              </c:numCache>
            </c:numRef>
          </c:val>
          <c:extLst>
            <c:ext xmlns:c16="http://schemas.microsoft.com/office/drawing/2014/chart" uri="{C3380CC4-5D6E-409C-BE32-E72D297353CC}">
              <c16:uniqueId val="{00000003-BF99-4A62-B643-0579E1DF2325}"/>
            </c:ext>
          </c:extLst>
        </c:ser>
        <c:ser>
          <c:idx val="4"/>
          <c:order val="4"/>
          <c:tx>
            <c:strRef>
              <c:f>'order status by catagory'!$F$3:$F$4</c:f>
              <c:strCache>
                <c:ptCount val="1"/>
                <c:pt idx="0">
                  <c:v>Industrial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status by catagory'!$A$5:$A$9</c:f>
              <c:strCache>
                <c:ptCount val="4"/>
                <c:pt idx="0">
                  <c:v>Cancelled</c:v>
                </c:pt>
                <c:pt idx="1">
                  <c:v>Pending</c:v>
                </c:pt>
                <c:pt idx="2">
                  <c:v>Returned</c:v>
                </c:pt>
                <c:pt idx="3">
                  <c:v>Shipped</c:v>
                </c:pt>
              </c:strCache>
            </c:strRef>
          </c:cat>
          <c:val>
            <c:numRef>
              <c:f>'order status by catagory'!$F$5:$F$9</c:f>
              <c:numCache>
                <c:formatCode>General</c:formatCode>
                <c:ptCount val="4"/>
                <c:pt idx="0">
                  <c:v>62</c:v>
                </c:pt>
                <c:pt idx="1">
                  <c:v>85</c:v>
                </c:pt>
                <c:pt idx="2">
                  <c:v>80</c:v>
                </c:pt>
                <c:pt idx="3">
                  <c:v>69</c:v>
                </c:pt>
              </c:numCache>
            </c:numRef>
          </c:val>
          <c:extLst>
            <c:ext xmlns:c16="http://schemas.microsoft.com/office/drawing/2014/chart" uri="{C3380CC4-5D6E-409C-BE32-E72D297353CC}">
              <c16:uniqueId val="{00000004-BF99-4A62-B643-0579E1DF2325}"/>
            </c:ext>
          </c:extLst>
        </c:ser>
        <c:dLbls>
          <c:dLblPos val="ctr"/>
          <c:showLegendKey val="0"/>
          <c:showVal val="1"/>
          <c:showCatName val="0"/>
          <c:showSerName val="0"/>
          <c:showPercent val="0"/>
          <c:showBubbleSize val="0"/>
        </c:dLbls>
        <c:gapWidth val="150"/>
        <c:overlap val="100"/>
        <c:axId val="324663759"/>
        <c:axId val="332444911"/>
      </c:barChart>
      <c:catAx>
        <c:axId val="3246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2444911"/>
        <c:crosses val="autoZero"/>
        <c:auto val="1"/>
        <c:lblAlgn val="ctr"/>
        <c:lblOffset val="100"/>
        <c:noMultiLvlLbl val="0"/>
      </c:catAx>
      <c:valAx>
        <c:axId val="332444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466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[Titan_Logistics_Dataset.xlsx]zone wise warehousing capacity!PivotTable8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Zone wise Warehousing 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27527527527528E-2"/>
          <c:y val="0.13420781893004116"/>
          <c:w val="0.78506813900514683"/>
          <c:h val="0.77217969281617571"/>
        </c:manualLayout>
      </c:layout>
      <c:barChart>
        <c:barDir val="col"/>
        <c:grouping val="stacked"/>
        <c:varyColors val="0"/>
        <c:ser>
          <c:idx val="0"/>
          <c:order val="0"/>
          <c:tx>
            <c:strRef>
              <c:f>'zone wise warehousing capacity'!$B$1:$B$2</c:f>
              <c:strCache>
                <c:ptCount val="1"/>
                <c:pt idx="0">
                  <c:v>Full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wise warehousing capacity'!$A$3:$A$7</c:f>
              <c:strCache>
                <c:ptCount val="4"/>
                <c:pt idx="0">
                  <c:v>East</c:v>
                </c:pt>
                <c:pt idx="1">
                  <c:v>North</c:v>
                </c:pt>
                <c:pt idx="2">
                  <c:v>South</c:v>
                </c:pt>
                <c:pt idx="3">
                  <c:v>West</c:v>
                </c:pt>
              </c:strCache>
            </c:strRef>
          </c:cat>
          <c:val>
            <c:numRef>
              <c:f>'zone wise warehousing capacity'!$B$3:$B$7</c:f>
              <c:numCache>
                <c:formatCode>General</c:formatCode>
                <c:ptCount val="4"/>
                <c:pt idx="0">
                  <c:v>88</c:v>
                </c:pt>
                <c:pt idx="1">
                  <c:v>72</c:v>
                </c:pt>
                <c:pt idx="2">
                  <c:v>308</c:v>
                </c:pt>
                <c:pt idx="3">
                  <c:v>132</c:v>
                </c:pt>
              </c:numCache>
            </c:numRef>
          </c:val>
          <c:extLst>
            <c:ext xmlns:c16="http://schemas.microsoft.com/office/drawing/2014/chart" uri="{C3380CC4-5D6E-409C-BE32-E72D297353CC}">
              <c16:uniqueId val="{00000000-B030-4D5E-945E-38B60F75F033}"/>
            </c:ext>
          </c:extLst>
        </c:ser>
        <c:ser>
          <c:idx val="1"/>
          <c:order val="1"/>
          <c:tx>
            <c:strRef>
              <c:f>'zone wise warehousing capacity'!$C$1:$C$2</c:f>
              <c:strCache>
                <c:ptCount val="1"/>
                <c:pt idx="0">
                  <c:v>Near Capacity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wise warehousing capacity'!$A$3:$A$7</c:f>
              <c:strCache>
                <c:ptCount val="4"/>
                <c:pt idx="0">
                  <c:v>East</c:v>
                </c:pt>
                <c:pt idx="1">
                  <c:v>North</c:v>
                </c:pt>
                <c:pt idx="2">
                  <c:v>South</c:v>
                </c:pt>
                <c:pt idx="3">
                  <c:v>West</c:v>
                </c:pt>
              </c:strCache>
            </c:strRef>
          </c:cat>
          <c:val>
            <c:numRef>
              <c:f>'zone wise warehousing capacity'!$C$3:$C$7</c:f>
              <c:numCache>
                <c:formatCode>General</c:formatCode>
                <c:ptCount val="4"/>
                <c:pt idx="0">
                  <c:v>157</c:v>
                </c:pt>
                <c:pt idx="1">
                  <c:v>77</c:v>
                </c:pt>
                <c:pt idx="2">
                  <c:v>152</c:v>
                </c:pt>
                <c:pt idx="3">
                  <c:v>234</c:v>
                </c:pt>
              </c:numCache>
            </c:numRef>
          </c:val>
          <c:extLst>
            <c:ext xmlns:c16="http://schemas.microsoft.com/office/drawing/2014/chart" uri="{C3380CC4-5D6E-409C-BE32-E72D297353CC}">
              <c16:uniqueId val="{00000001-B030-4D5E-945E-38B60F75F033}"/>
            </c:ext>
          </c:extLst>
        </c:ser>
        <c:ser>
          <c:idx val="2"/>
          <c:order val="2"/>
          <c:tx>
            <c:strRef>
              <c:f>'zone wise warehousing capacity'!$D$1:$D$2</c:f>
              <c:strCache>
                <c:ptCount val="1"/>
                <c:pt idx="0">
                  <c:v>Under Capacity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wise warehousing capacity'!$A$3:$A$7</c:f>
              <c:strCache>
                <c:ptCount val="4"/>
                <c:pt idx="0">
                  <c:v>East</c:v>
                </c:pt>
                <c:pt idx="1">
                  <c:v>North</c:v>
                </c:pt>
                <c:pt idx="2">
                  <c:v>South</c:v>
                </c:pt>
                <c:pt idx="3">
                  <c:v>West</c:v>
                </c:pt>
              </c:strCache>
            </c:strRef>
          </c:cat>
          <c:val>
            <c:numRef>
              <c:f>'zone wise warehousing capacity'!$D$3:$D$7</c:f>
              <c:numCache>
                <c:formatCode>General</c:formatCode>
                <c:ptCount val="4"/>
                <c:pt idx="2">
                  <c:v>149</c:v>
                </c:pt>
                <c:pt idx="3">
                  <c:v>131</c:v>
                </c:pt>
              </c:numCache>
            </c:numRef>
          </c:val>
          <c:extLst>
            <c:ext xmlns:c16="http://schemas.microsoft.com/office/drawing/2014/chart" uri="{C3380CC4-5D6E-409C-BE32-E72D297353CC}">
              <c16:uniqueId val="{00000001-54D1-44DB-8328-454786B63B1E}"/>
            </c:ext>
          </c:extLst>
        </c:ser>
        <c:dLbls>
          <c:showLegendKey val="0"/>
          <c:showVal val="1"/>
          <c:showCatName val="0"/>
          <c:showSerName val="0"/>
          <c:showPercent val="0"/>
          <c:showBubbleSize val="0"/>
        </c:dLbls>
        <c:gapWidth val="219"/>
        <c:overlap val="100"/>
        <c:axId val="90170895"/>
        <c:axId val="2938639"/>
      </c:barChart>
      <c:catAx>
        <c:axId val="901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38639"/>
        <c:crosses val="autoZero"/>
        <c:auto val="1"/>
        <c:lblAlgn val="ctr"/>
        <c:lblOffset val="100"/>
        <c:noMultiLvlLbl val="0"/>
      </c:catAx>
      <c:valAx>
        <c:axId val="2938639"/>
        <c:scaling>
          <c:orientation val="minMax"/>
        </c:scaling>
        <c:delete val="1"/>
        <c:axPos val="l"/>
        <c:numFmt formatCode="General" sourceLinked="1"/>
        <c:majorTickMark val="none"/>
        <c:minorTickMark val="none"/>
        <c:tickLblPos val="nextTo"/>
        <c:crossAx val="901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13.xml"/><Relationship Id="rId7" Type="http://schemas.openxmlformats.org/officeDocument/2006/relationships/image" Target="../media/image1.emf"/><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5.emf"/><Relationship Id="rId5" Type="http://schemas.openxmlformats.org/officeDocument/2006/relationships/chart" Target="../charts/chart15.xml"/><Relationship Id="rId10" Type="http://schemas.openxmlformats.org/officeDocument/2006/relationships/image" Target="../media/image4.emf"/><Relationship Id="rId4" Type="http://schemas.openxmlformats.org/officeDocument/2006/relationships/chart" Target="../charts/chart14.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1592580</xdr:colOff>
      <xdr:row>5</xdr:row>
      <xdr:rowOff>121920</xdr:rowOff>
    </xdr:from>
    <xdr:to>
      <xdr:col>9</xdr:col>
      <xdr:colOff>335280</xdr:colOff>
      <xdr:row>19</xdr:row>
      <xdr:rowOff>175260</xdr:rowOff>
    </xdr:to>
    <xdr:graphicFrame macro="">
      <xdr:nvGraphicFramePr>
        <xdr:cNvPr id="2" name="Chart 1">
          <a:extLst>
            <a:ext uri="{FF2B5EF4-FFF2-40B4-BE49-F238E27FC236}">
              <a16:creationId xmlns:a16="http://schemas.microsoft.com/office/drawing/2014/main" id="{7FD8FB1E-FCD8-0557-E058-58EF5D43A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1287780</xdr:colOff>
      <xdr:row>11</xdr:row>
      <xdr:rowOff>7620</xdr:rowOff>
    </xdr:from>
    <xdr:to>
      <xdr:col>6</xdr:col>
      <xdr:colOff>1447800</xdr:colOff>
      <xdr:row>23</xdr:row>
      <xdr:rowOff>160020</xdr:rowOff>
    </xdr:to>
    <xdr:graphicFrame macro="">
      <xdr:nvGraphicFramePr>
        <xdr:cNvPr id="2" name="Chart 1">
          <a:extLst>
            <a:ext uri="{FF2B5EF4-FFF2-40B4-BE49-F238E27FC236}">
              <a16:creationId xmlns:a16="http://schemas.microsoft.com/office/drawing/2014/main" id="{E590F8E0-F54F-290F-6657-C4C6C79EC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10</xdr:row>
      <xdr:rowOff>7620</xdr:rowOff>
    </xdr:from>
    <xdr:to>
      <xdr:col>5</xdr:col>
      <xdr:colOff>480060</xdr:colOff>
      <xdr:row>23</xdr:row>
      <xdr:rowOff>167640</xdr:rowOff>
    </xdr:to>
    <xdr:graphicFrame macro="">
      <xdr:nvGraphicFramePr>
        <xdr:cNvPr id="3" name="Chart 2">
          <a:extLst>
            <a:ext uri="{FF2B5EF4-FFF2-40B4-BE49-F238E27FC236}">
              <a16:creationId xmlns:a16="http://schemas.microsoft.com/office/drawing/2014/main" id="{9A2C7AF3-EC61-FFDD-7110-C678DFF87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10</xdr:row>
      <xdr:rowOff>30480</xdr:rowOff>
    </xdr:from>
    <xdr:to>
      <xdr:col>9</xdr:col>
      <xdr:colOff>906780</xdr:colOff>
      <xdr:row>25</xdr:row>
      <xdr:rowOff>30480</xdr:rowOff>
    </xdr:to>
    <xdr:graphicFrame macro="">
      <xdr:nvGraphicFramePr>
        <xdr:cNvPr id="2" name="Chart 1">
          <a:extLst>
            <a:ext uri="{FF2B5EF4-FFF2-40B4-BE49-F238E27FC236}">
              <a16:creationId xmlns:a16="http://schemas.microsoft.com/office/drawing/2014/main" id="{975635AC-65F1-499B-8551-91398AC77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xdr:colOff>
      <xdr:row>10</xdr:row>
      <xdr:rowOff>38100</xdr:rowOff>
    </xdr:from>
    <xdr:to>
      <xdr:col>7</xdr:col>
      <xdr:colOff>358140</xdr:colOff>
      <xdr:row>25</xdr:row>
      <xdr:rowOff>38100</xdr:rowOff>
    </xdr:to>
    <xdr:graphicFrame macro="">
      <xdr:nvGraphicFramePr>
        <xdr:cNvPr id="3" name="Chart 2">
          <a:extLst>
            <a:ext uri="{FF2B5EF4-FFF2-40B4-BE49-F238E27FC236}">
              <a16:creationId xmlns:a16="http://schemas.microsoft.com/office/drawing/2014/main" id="{F36C81A3-5AB1-6CCA-B6D3-3AB5A21A7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571500</xdr:colOff>
      <xdr:row>2</xdr:row>
      <xdr:rowOff>7620</xdr:rowOff>
    </xdr:from>
    <xdr:to>
      <xdr:col>8</xdr:col>
      <xdr:colOff>1539240</xdr:colOff>
      <xdr:row>15</xdr:row>
      <xdr:rowOff>97155</xdr:rowOff>
    </xdr:to>
    <mc:AlternateContent xmlns:mc="http://schemas.openxmlformats.org/markup-compatibility/2006">
      <mc:Choice xmlns:a14="http://schemas.microsoft.com/office/drawing/2010/main" Requires="a14">
        <xdr:graphicFrame macro="">
          <xdr:nvGraphicFramePr>
            <xdr:cNvPr id="2" name="products.Category">
              <a:extLst>
                <a:ext uri="{FF2B5EF4-FFF2-40B4-BE49-F238E27FC236}">
                  <a16:creationId xmlns:a16="http://schemas.microsoft.com/office/drawing/2014/main" id="{984E7B7A-8803-79DE-547F-2A20C1BE22A8}"/>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dr:sp macro="" textlink="">
          <xdr:nvSpPr>
            <xdr:cNvPr id="0" name=""/>
            <xdr:cNvSpPr>
              <a:spLocks noTextEdit="1"/>
            </xdr:cNvSpPr>
          </xdr:nvSpPr>
          <xdr:spPr>
            <a:xfrm>
              <a:off x="614934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2</xdr:row>
      <xdr:rowOff>0</xdr:rowOff>
    </xdr:from>
    <xdr:to>
      <xdr:col>12</xdr:col>
      <xdr:colOff>182880</xdr:colOff>
      <xdr:row>15</xdr:row>
      <xdr:rowOff>89535</xdr:rowOff>
    </xdr:to>
    <mc:AlternateContent xmlns:mc="http://schemas.openxmlformats.org/markup-compatibility/2006">
      <mc:Choice xmlns:a14="http://schemas.microsoft.com/office/drawing/2010/main" Requires="a14">
        <xdr:graphicFrame macro="">
          <xdr:nvGraphicFramePr>
            <xdr:cNvPr id="4" name="centers.Zone">
              <a:extLst>
                <a:ext uri="{FF2B5EF4-FFF2-40B4-BE49-F238E27FC236}">
                  <a16:creationId xmlns:a16="http://schemas.microsoft.com/office/drawing/2014/main" id="{4C7F97C2-AD8E-5A60-67C1-3B563C28162B}"/>
                </a:ext>
              </a:extLst>
            </xdr:cNvPr>
            <xdr:cNvGraphicFramePr/>
          </xdr:nvGraphicFramePr>
          <xdr:xfrm>
            <a:off x="0" y="0"/>
            <a:ext cx="0" cy="0"/>
          </xdr:xfrm>
          <a:graphic>
            <a:graphicData uri="http://schemas.microsoft.com/office/drawing/2010/slicer">
              <sle:slicer xmlns:sle="http://schemas.microsoft.com/office/drawing/2010/slicer" name="centers.Zone"/>
            </a:graphicData>
          </a:graphic>
        </xdr:graphicFrame>
      </mc:Choice>
      <mc:Fallback>
        <xdr:sp macro="" textlink="">
          <xdr:nvSpPr>
            <xdr:cNvPr id="0" name=""/>
            <xdr:cNvSpPr>
              <a:spLocks noTextEdit="1"/>
            </xdr:cNvSpPr>
          </xdr:nvSpPr>
          <xdr:spPr>
            <a:xfrm>
              <a:off x="802386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2</xdr:row>
      <xdr:rowOff>38100</xdr:rowOff>
    </xdr:from>
    <xdr:to>
      <xdr:col>18</xdr:col>
      <xdr:colOff>259080</xdr:colOff>
      <xdr:row>15</xdr:row>
      <xdr:rowOff>127635</xdr:rowOff>
    </xdr:to>
    <mc:AlternateContent xmlns:mc="http://schemas.openxmlformats.org/markup-compatibility/2006">
      <mc:Choice xmlns:a14="http://schemas.microsoft.com/office/drawing/2010/main" Requires="a14">
        <xdr:graphicFrame macro="">
          <xdr:nvGraphicFramePr>
            <xdr:cNvPr id="8" name="Months (Order_Date)">
              <a:extLst>
                <a:ext uri="{FF2B5EF4-FFF2-40B4-BE49-F238E27FC236}">
                  <a16:creationId xmlns:a16="http://schemas.microsoft.com/office/drawing/2014/main" id="{BAF69744-DD21-D1D2-48B8-9A7F196F1A73}"/>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188720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2</xdr:row>
      <xdr:rowOff>38100</xdr:rowOff>
    </xdr:from>
    <xdr:to>
      <xdr:col>15</xdr:col>
      <xdr:colOff>129540</xdr:colOff>
      <xdr:row>15</xdr:row>
      <xdr:rowOff>127635</xdr:rowOff>
    </xdr:to>
    <mc:AlternateContent xmlns:mc="http://schemas.openxmlformats.org/markup-compatibility/2006">
      <mc:Choice xmlns:a14="http://schemas.microsoft.com/office/drawing/2010/main" Requires="a14">
        <xdr:graphicFrame macro="">
          <xdr:nvGraphicFramePr>
            <xdr:cNvPr id="9" name="Status">
              <a:extLst>
                <a:ext uri="{FF2B5EF4-FFF2-40B4-BE49-F238E27FC236}">
                  <a16:creationId xmlns:a16="http://schemas.microsoft.com/office/drawing/2014/main" id="{770296FC-DD6A-F8DB-7A3A-2CA3107BD5C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92886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2</xdr:row>
      <xdr:rowOff>22860</xdr:rowOff>
    </xdr:from>
    <xdr:to>
      <xdr:col>11</xdr:col>
      <xdr:colOff>160020</xdr:colOff>
      <xdr:row>15</xdr:row>
      <xdr:rowOff>15240</xdr:rowOff>
    </xdr:to>
    <xdr:graphicFrame macro="">
      <xdr:nvGraphicFramePr>
        <xdr:cNvPr id="2" name="Chart 1">
          <a:extLst>
            <a:ext uri="{FF2B5EF4-FFF2-40B4-BE49-F238E27FC236}">
              <a16:creationId xmlns:a16="http://schemas.microsoft.com/office/drawing/2014/main" id="{23EF6260-AA8B-06FB-2690-CE6502E7F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18</xdr:row>
      <xdr:rowOff>0</xdr:rowOff>
    </xdr:from>
    <xdr:to>
      <xdr:col>11</xdr:col>
      <xdr:colOff>68580</xdr:colOff>
      <xdr:row>31</xdr:row>
      <xdr:rowOff>106680</xdr:rowOff>
    </xdr:to>
    <xdr:graphicFrame macro="">
      <xdr:nvGraphicFramePr>
        <xdr:cNvPr id="5" name="Chart 4">
          <a:extLst>
            <a:ext uri="{FF2B5EF4-FFF2-40B4-BE49-F238E27FC236}">
              <a16:creationId xmlns:a16="http://schemas.microsoft.com/office/drawing/2014/main" id="{9142582D-0C60-0362-7E6D-68DFAE096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3</xdr:row>
      <xdr:rowOff>167640</xdr:rowOff>
    </xdr:from>
    <xdr:to>
      <xdr:col>26</xdr:col>
      <xdr:colOff>7620</xdr:colOff>
      <xdr:row>21</xdr:row>
      <xdr:rowOff>0</xdr:rowOff>
    </xdr:to>
    <xdr:graphicFrame macro="">
      <xdr:nvGraphicFramePr>
        <xdr:cNvPr id="2" name="Chart 1">
          <a:extLst>
            <a:ext uri="{FF2B5EF4-FFF2-40B4-BE49-F238E27FC236}">
              <a16:creationId xmlns:a16="http://schemas.microsoft.com/office/drawing/2014/main" id="{912A7A46-A7D3-61D2-5878-33462F5D0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312420</xdr:colOff>
      <xdr:row>10</xdr:row>
      <xdr:rowOff>121920</xdr:rowOff>
    </xdr:from>
    <xdr:to>
      <xdr:col>4</xdr:col>
      <xdr:colOff>518160</xdr:colOff>
      <xdr:row>24</xdr:row>
      <xdr:rowOff>30480</xdr:rowOff>
    </xdr:to>
    <xdr:graphicFrame macro="">
      <xdr:nvGraphicFramePr>
        <xdr:cNvPr id="2" name="Chart 1">
          <a:extLst>
            <a:ext uri="{FF2B5EF4-FFF2-40B4-BE49-F238E27FC236}">
              <a16:creationId xmlns:a16="http://schemas.microsoft.com/office/drawing/2014/main" id="{03502D03-2654-26AC-427D-60F37A1CC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1066800</xdr:colOff>
      <xdr:row>13</xdr:row>
      <xdr:rowOff>15240</xdr:rowOff>
    </xdr:from>
    <xdr:to>
      <xdr:col>11</xdr:col>
      <xdr:colOff>594360</xdr:colOff>
      <xdr:row>26</xdr:row>
      <xdr:rowOff>160020</xdr:rowOff>
    </xdr:to>
    <xdr:graphicFrame macro="">
      <xdr:nvGraphicFramePr>
        <xdr:cNvPr id="3" name="Chart 2">
          <a:extLst>
            <a:ext uri="{FF2B5EF4-FFF2-40B4-BE49-F238E27FC236}">
              <a16:creationId xmlns:a16="http://schemas.microsoft.com/office/drawing/2014/main" id="{3D148545-3EAF-0FBF-45EE-5596CDC87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121920</xdr:colOff>
      <xdr:row>1</xdr:row>
      <xdr:rowOff>45720</xdr:rowOff>
    </xdr:from>
    <xdr:to>
      <xdr:col>19</xdr:col>
      <xdr:colOff>106680</xdr:colOff>
      <xdr:row>25</xdr:row>
      <xdr:rowOff>129540</xdr:rowOff>
    </xdr:to>
    <xdr:sp macro="" textlink="">
      <xdr:nvSpPr>
        <xdr:cNvPr id="2" name="Rectangle: Rounded Corners 1">
          <a:extLst>
            <a:ext uri="{FF2B5EF4-FFF2-40B4-BE49-F238E27FC236}">
              <a16:creationId xmlns:a16="http://schemas.microsoft.com/office/drawing/2014/main" id="{C14BDE6E-F06B-CECE-60A1-3991604BE36B}"/>
            </a:ext>
          </a:extLst>
        </xdr:cNvPr>
        <xdr:cNvSpPr/>
      </xdr:nvSpPr>
      <xdr:spPr>
        <a:xfrm>
          <a:off x="1950720" y="228600"/>
          <a:ext cx="9738360" cy="447294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ctr"/>
          <a:r>
            <a:rPr lang="en-IN" sz="1600" b="1" u="sng">
              <a:solidFill>
                <a:srgbClr val="FF0000"/>
              </a:solidFill>
            </a:rPr>
            <a:t>INSIGHTS</a:t>
          </a:r>
        </a:p>
        <a:p>
          <a:pPr algn="l"/>
          <a:endParaRPr lang="en-IN" sz="1200" b="0" u="none">
            <a:solidFill>
              <a:srgbClr val="FF0000"/>
            </a:solidFill>
          </a:endParaRPr>
        </a:p>
        <a:p>
          <a:pPr lvl="1" algn="l"/>
          <a:r>
            <a:rPr lang="en-IN" sz="1200" b="0" u="none">
              <a:solidFill>
                <a:srgbClr val="C00000"/>
              </a:solidFill>
            </a:rPr>
            <a:t>1.</a:t>
          </a:r>
          <a:r>
            <a:rPr lang="en-IN" sz="1200" b="0" u="none" baseline="0">
              <a:solidFill>
                <a:srgbClr val="C00000"/>
              </a:solidFill>
            </a:rPr>
            <a:t> Most no. of orders made in </a:t>
          </a:r>
          <a:r>
            <a:rPr lang="en-IN" sz="1200" b="1" u="none" baseline="0">
              <a:solidFill>
                <a:srgbClr val="C00000"/>
              </a:solidFill>
            </a:rPr>
            <a:t>Electronics Catagory</a:t>
          </a:r>
          <a:r>
            <a:rPr lang="en-IN" sz="1200" b="0" u="none" baseline="0">
              <a:solidFill>
                <a:srgbClr val="C00000"/>
              </a:solidFill>
            </a:rPr>
            <a:t>(336) followed by Furniture(311) and Industrial(296).</a:t>
          </a:r>
        </a:p>
        <a:p>
          <a:pPr lvl="1" algn="l"/>
          <a:endParaRPr lang="en-IN" sz="800" b="0" u="none" baseline="0">
            <a:solidFill>
              <a:srgbClr val="C00000"/>
            </a:solidFill>
          </a:endParaRPr>
        </a:p>
        <a:p>
          <a:pPr lvl="1" algn="l"/>
          <a:r>
            <a:rPr lang="en-IN" sz="1200" b="0" u="none" baseline="0">
              <a:solidFill>
                <a:srgbClr val="C00000"/>
              </a:solidFill>
            </a:rPr>
            <a:t>2. Most no. of orders made in month of </a:t>
          </a:r>
          <a:r>
            <a:rPr lang="en-IN" sz="1200" b="1" u="none" baseline="0">
              <a:solidFill>
                <a:srgbClr val="C00000"/>
              </a:solidFill>
            </a:rPr>
            <a:t>May(</a:t>
          </a:r>
          <a:r>
            <a:rPr lang="en-IN" sz="1200" b="0" u="none" baseline="0">
              <a:solidFill>
                <a:srgbClr val="C00000"/>
              </a:solidFill>
            </a:rPr>
            <a:t>148) followed by October(136) and June(135).</a:t>
          </a:r>
        </a:p>
        <a:p>
          <a:pPr lvl="1" algn="l"/>
          <a:endParaRPr lang="en-IN" sz="800" b="0" u="none" baseline="0">
            <a:solidFill>
              <a:srgbClr val="C00000"/>
            </a:solidFill>
          </a:endParaRPr>
        </a:p>
        <a:p>
          <a:pPr marL="457200" marR="0" lvl="1" indent="0" algn="l" defTabSz="914400" eaLnBrk="1" fontAlgn="auto" latinLnBrk="0" hangingPunct="1">
            <a:lnSpc>
              <a:spcPct val="100000"/>
            </a:lnSpc>
            <a:spcBef>
              <a:spcPts val="0"/>
            </a:spcBef>
            <a:spcAft>
              <a:spcPts val="0"/>
            </a:spcAft>
            <a:buClrTx/>
            <a:buSzTx/>
            <a:buFontTx/>
            <a:buNone/>
            <a:tabLst/>
            <a:defRPr/>
          </a:pPr>
          <a:r>
            <a:rPr lang="en-IN" sz="1200" b="0" u="none" baseline="0">
              <a:solidFill>
                <a:srgbClr val="C00000"/>
              </a:solidFill>
              <a:effectLst/>
              <a:latin typeface="+mn-lt"/>
              <a:ea typeface="+mn-ea"/>
              <a:cs typeface="+mn-cs"/>
            </a:rPr>
            <a:t>3</a:t>
          </a:r>
          <a:r>
            <a:rPr lang="en-IN" sz="1200" b="0" baseline="0">
              <a:solidFill>
                <a:srgbClr val="C00000"/>
              </a:solidFill>
              <a:effectLst/>
              <a:latin typeface="+mn-lt"/>
              <a:ea typeface="+mn-ea"/>
              <a:cs typeface="+mn-cs"/>
            </a:rPr>
            <a:t>. Most no. of orders shipped in month of </a:t>
          </a:r>
          <a:r>
            <a:rPr lang="en-IN" sz="1200" b="1" baseline="0">
              <a:solidFill>
                <a:srgbClr val="C00000"/>
              </a:solidFill>
              <a:effectLst/>
              <a:latin typeface="+mn-lt"/>
              <a:ea typeface="+mn-ea"/>
              <a:cs typeface="+mn-cs"/>
            </a:rPr>
            <a:t>November</a:t>
          </a:r>
          <a:r>
            <a:rPr lang="en-IN" sz="1200" b="0" baseline="0">
              <a:solidFill>
                <a:srgbClr val="C00000"/>
              </a:solidFill>
              <a:effectLst/>
              <a:latin typeface="+mn-lt"/>
              <a:ea typeface="+mn-ea"/>
              <a:cs typeface="+mn-cs"/>
            </a:rPr>
            <a:t>(140) followed by June(138).</a:t>
          </a:r>
          <a:endParaRPr lang="en-IN" sz="1200">
            <a:solidFill>
              <a:srgbClr val="C00000"/>
            </a:solidFill>
            <a:effectLst/>
          </a:endParaRPr>
        </a:p>
        <a:p>
          <a:pPr lvl="1" algn="l"/>
          <a:endParaRPr lang="en-IN" sz="800" b="0" u="none" baseline="0">
            <a:solidFill>
              <a:srgbClr val="C00000"/>
            </a:solidFill>
          </a:endParaRPr>
        </a:p>
        <a:p>
          <a:pPr lvl="1" algn="l"/>
          <a:r>
            <a:rPr lang="en-IN" sz="1200" b="0" u="none" baseline="0">
              <a:solidFill>
                <a:srgbClr val="C00000"/>
              </a:solidFill>
            </a:rPr>
            <a:t>4. Most no. of Product quantity ordered in </a:t>
          </a:r>
          <a:r>
            <a:rPr lang="en-IN" sz="1200" b="1" u="none" baseline="0">
              <a:solidFill>
                <a:srgbClr val="C00000"/>
              </a:solidFill>
            </a:rPr>
            <a:t>Electronics catagory </a:t>
          </a:r>
          <a:r>
            <a:rPr lang="en-IN" sz="1200" b="0" u="none" baseline="0">
              <a:solidFill>
                <a:srgbClr val="C00000"/>
              </a:solidFill>
            </a:rPr>
            <a:t>(17406) followed by Furniture(15928) and Industrial(15345).</a:t>
          </a:r>
        </a:p>
        <a:p>
          <a:pPr lvl="1" algn="l"/>
          <a:endParaRPr lang="en-IN" sz="800" b="0" u="none" baseline="0">
            <a:solidFill>
              <a:srgbClr val="C00000"/>
            </a:solidFill>
          </a:endParaRPr>
        </a:p>
        <a:p>
          <a:pPr lvl="1" algn="l"/>
          <a:r>
            <a:rPr lang="en-IN" sz="1200" b="0" u="none" baseline="0">
              <a:solidFill>
                <a:srgbClr val="C00000"/>
              </a:solidFill>
            </a:rPr>
            <a:t>5. Average Base price of product is highest in </a:t>
          </a:r>
          <a:r>
            <a:rPr lang="en-IN" sz="1200" b="1" u="none" baseline="0">
              <a:solidFill>
                <a:srgbClr val="C00000"/>
              </a:solidFill>
            </a:rPr>
            <a:t>Industrial catagory </a:t>
          </a:r>
          <a:r>
            <a:rPr lang="en-IN" sz="1200" b="0" u="none" baseline="0">
              <a:solidFill>
                <a:srgbClr val="C00000"/>
              </a:solidFill>
            </a:rPr>
            <a:t>(577.57) followed by Automotive(501.11) and Furniture(489.70).</a:t>
          </a:r>
        </a:p>
        <a:p>
          <a:pPr lvl="1" algn="l"/>
          <a:endParaRPr lang="en-IN" sz="800" b="0" u="none" baseline="0">
            <a:solidFill>
              <a:srgbClr val="C00000"/>
            </a:solidFill>
          </a:endParaRPr>
        </a:p>
        <a:p>
          <a:pPr lvl="1" algn="l"/>
          <a:r>
            <a:rPr lang="en-IN" sz="1200" b="0" baseline="0">
              <a:solidFill>
                <a:srgbClr val="C00000"/>
              </a:solidFill>
              <a:effectLst/>
              <a:latin typeface="+mn-lt"/>
              <a:ea typeface="+mn-ea"/>
              <a:cs typeface="+mn-cs"/>
            </a:rPr>
            <a:t>6. Most no. of Cancelled orders are in </a:t>
          </a:r>
          <a:r>
            <a:rPr lang="en-IN" sz="1200" b="1" baseline="0">
              <a:solidFill>
                <a:srgbClr val="C00000"/>
              </a:solidFill>
              <a:effectLst/>
              <a:latin typeface="+mn-lt"/>
              <a:ea typeface="+mn-ea"/>
              <a:cs typeface="+mn-cs"/>
            </a:rPr>
            <a:t>Electronics catagory</a:t>
          </a:r>
          <a:r>
            <a:rPr lang="en-IN" sz="1200" b="0" baseline="0">
              <a:solidFill>
                <a:srgbClr val="C00000"/>
              </a:solidFill>
              <a:effectLst/>
              <a:latin typeface="+mn-lt"/>
              <a:ea typeface="+mn-ea"/>
              <a:cs typeface="+mn-cs"/>
            </a:rPr>
            <a:t>(84) followed by furniture (72) and Apparel(70).</a:t>
          </a:r>
        </a:p>
        <a:p>
          <a:pPr lvl="1" algn="l"/>
          <a:endParaRPr lang="en-IN" sz="800">
            <a:solidFill>
              <a:srgbClr val="C00000"/>
            </a:solidFill>
            <a:effectLst/>
          </a:endParaRPr>
        </a:p>
        <a:p>
          <a:pPr lvl="1" algn="l"/>
          <a:r>
            <a:rPr lang="en-IN" sz="1200" b="0" baseline="0">
              <a:solidFill>
                <a:srgbClr val="C00000"/>
              </a:solidFill>
              <a:effectLst/>
              <a:latin typeface="+mn-lt"/>
              <a:ea typeface="+mn-ea"/>
              <a:cs typeface="+mn-cs"/>
            </a:rPr>
            <a:t>7. Most no. of Returned Orders are in </a:t>
          </a:r>
          <a:r>
            <a:rPr lang="en-IN" sz="1200" b="1" baseline="0">
              <a:solidFill>
                <a:srgbClr val="C00000"/>
              </a:solidFill>
              <a:effectLst/>
              <a:latin typeface="+mn-lt"/>
              <a:ea typeface="+mn-ea"/>
              <a:cs typeface="+mn-cs"/>
            </a:rPr>
            <a:t>Industrial catagory</a:t>
          </a:r>
          <a:r>
            <a:rPr lang="en-IN" sz="1200" b="0" baseline="0">
              <a:solidFill>
                <a:srgbClr val="C00000"/>
              </a:solidFill>
              <a:effectLst/>
              <a:latin typeface="+mn-lt"/>
              <a:ea typeface="+mn-ea"/>
              <a:cs typeface="+mn-cs"/>
            </a:rPr>
            <a:t>(80) followed by Electronics(74) and Automotive(73).</a:t>
          </a:r>
          <a:endParaRPr lang="en-IN" sz="1200">
            <a:solidFill>
              <a:srgbClr val="C00000"/>
            </a:solidFill>
            <a:effectLst/>
          </a:endParaRPr>
        </a:p>
        <a:p>
          <a:pPr lvl="1" algn="l"/>
          <a:endParaRPr lang="en-IN" sz="800" b="0" u="none" baseline="0">
            <a:solidFill>
              <a:srgbClr val="C00000"/>
            </a:solidFill>
          </a:endParaRPr>
        </a:p>
        <a:p>
          <a:pPr lvl="1" algn="l"/>
          <a:r>
            <a:rPr lang="en-IN" sz="1200" b="0" u="none" baseline="0">
              <a:solidFill>
                <a:srgbClr val="C00000"/>
              </a:solidFill>
            </a:rPr>
            <a:t>8. Average Shipping Days are highest in case of </a:t>
          </a:r>
          <a:r>
            <a:rPr lang="en-IN" sz="1200" b="1" u="none" baseline="0">
              <a:solidFill>
                <a:srgbClr val="C00000"/>
              </a:solidFill>
            </a:rPr>
            <a:t>Electronics Catagory</a:t>
          </a:r>
          <a:r>
            <a:rPr lang="en-IN" sz="1200" b="0" u="none" baseline="0">
              <a:solidFill>
                <a:srgbClr val="C00000"/>
              </a:solidFill>
            </a:rPr>
            <a:t>(5.9 days) followed by furniture(5.6) and automotive(5.5 days).</a:t>
          </a:r>
        </a:p>
        <a:p>
          <a:pPr lvl="1" algn="l"/>
          <a:endParaRPr lang="en-IN" sz="800" b="0" u="none" baseline="0">
            <a:solidFill>
              <a:srgbClr val="C00000"/>
            </a:solidFill>
          </a:endParaRPr>
        </a:p>
        <a:p>
          <a:pPr lvl="1" algn="l"/>
          <a:r>
            <a:rPr lang="en-IN" sz="1200" b="0" u="none" baseline="0">
              <a:solidFill>
                <a:srgbClr val="C00000"/>
              </a:solidFill>
            </a:rPr>
            <a:t>9. Warehouse ID </a:t>
          </a:r>
          <a:r>
            <a:rPr lang="en-IN" sz="1200" b="1" u="none" baseline="0">
              <a:solidFill>
                <a:srgbClr val="C00000"/>
              </a:solidFill>
            </a:rPr>
            <a:t>306 in Hyderabad </a:t>
          </a:r>
          <a:r>
            <a:rPr lang="en-IN" sz="1200" b="0" u="none" baseline="0">
              <a:solidFill>
                <a:srgbClr val="C00000"/>
              </a:solidFill>
            </a:rPr>
            <a:t>handels most no of 92 orders.</a:t>
          </a:r>
        </a:p>
        <a:p>
          <a:pPr lvl="1" algn="l"/>
          <a:endParaRPr lang="en-IN" sz="800" b="0" u="none" baseline="0">
            <a:solidFill>
              <a:srgbClr val="C00000"/>
            </a:solidFill>
          </a:endParaRPr>
        </a:p>
        <a:p>
          <a:pPr lvl="1" algn="l"/>
          <a:r>
            <a:rPr lang="en-IN" sz="1200" b="0" u="none" baseline="0">
              <a:solidFill>
                <a:srgbClr val="C00000"/>
              </a:solidFill>
            </a:rPr>
            <a:t>10. </a:t>
          </a:r>
          <a:r>
            <a:rPr lang="en-IN" sz="1200" b="1" u="none" baseline="0">
              <a:solidFill>
                <a:srgbClr val="C00000"/>
              </a:solidFill>
            </a:rPr>
            <a:t>South Zone </a:t>
          </a:r>
          <a:r>
            <a:rPr lang="en-IN" sz="1200" b="0" u="none" baseline="0">
              <a:solidFill>
                <a:srgbClr val="C00000"/>
              </a:solidFill>
            </a:rPr>
            <a:t>have max Full warehousing capacity with 308 orders followed by Wesr zone 132 orders.</a:t>
          </a:r>
        </a:p>
        <a:p>
          <a:pPr lvl="1" algn="l"/>
          <a:endParaRPr lang="en-IN" sz="800" b="0" u="none" baseline="0">
            <a:solidFill>
              <a:srgbClr val="C00000"/>
            </a:solidFill>
          </a:endParaRPr>
        </a:p>
        <a:p>
          <a:pPr lvl="1" algn="l"/>
          <a:r>
            <a:rPr lang="en-IN" sz="1200" b="0" u="none" baseline="0">
              <a:solidFill>
                <a:srgbClr val="C00000"/>
              </a:solidFill>
            </a:rPr>
            <a:t>11. </a:t>
          </a:r>
          <a:r>
            <a:rPr lang="en-IN" sz="1200" b="1" u="none" baseline="0">
              <a:solidFill>
                <a:srgbClr val="C00000"/>
              </a:solidFill>
            </a:rPr>
            <a:t>Delhi </a:t>
          </a:r>
          <a:r>
            <a:rPr lang="en-IN" sz="1200" b="0" u="none" baseline="0">
              <a:solidFill>
                <a:srgbClr val="C00000"/>
              </a:solidFill>
            </a:rPr>
            <a:t>center have Max orders(330) followed by Lucknow(318).</a:t>
          </a:r>
          <a:endParaRPr lang="en-IN" sz="1200" b="0" u="none" baseline="0">
            <a:solidFill>
              <a:schemeClr val="tx1"/>
            </a:solidFill>
          </a:endParaRPr>
        </a:p>
        <a:p>
          <a:pPr algn="l"/>
          <a:endParaRPr lang="en-IN" sz="1200" b="0" u="none">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213360</xdr:colOff>
      <xdr:row>0</xdr:row>
      <xdr:rowOff>38100</xdr:rowOff>
    </xdr:from>
    <xdr:to>
      <xdr:col>22</xdr:col>
      <xdr:colOff>548640</xdr:colOff>
      <xdr:row>49</xdr:row>
      <xdr:rowOff>22860</xdr:rowOff>
    </xdr:to>
    <xdr:grpSp>
      <xdr:nvGrpSpPr>
        <xdr:cNvPr id="19" name="Group 18">
          <a:extLst>
            <a:ext uri="{FF2B5EF4-FFF2-40B4-BE49-F238E27FC236}">
              <a16:creationId xmlns:a16="http://schemas.microsoft.com/office/drawing/2014/main" id="{D255785E-7698-0521-A24B-73E591A34B23}"/>
            </a:ext>
          </a:extLst>
        </xdr:cNvPr>
        <xdr:cNvGrpSpPr/>
      </xdr:nvGrpSpPr>
      <xdr:grpSpPr>
        <a:xfrm>
          <a:off x="213360" y="38100"/>
          <a:ext cx="13746480" cy="8945880"/>
          <a:chOff x="251460" y="198120"/>
          <a:chExt cx="13746480" cy="8945880"/>
        </a:xfrm>
        <a:solidFill>
          <a:schemeClr val="accent4">
            <a:lumMod val="50000"/>
          </a:schemeClr>
        </a:solidFill>
      </xdr:grpSpPr>
      <xdr:sp macro="" textlink="">
        <xdr:nvSpPr>
          <xdr:cNvPr id="7" name="Rectangle: Top Corners Rounded 6">
            <a:extLst>
              <a:ext uri="{FF2B5EF4-FFF2-40B4-BE49-F238E27FC236}">
                <a16:creationId xmlns:a16="http://schemas.microsoft.com/office/drawing/2014/main" id="{94860C2F-8D5E-42AC-9CC7-64C86D821E4F}"/>
              </a:ext>
            </a:extLst>
          </xdr:cNvPr>
          <xdr:cNvSpPr/>
        </xdr:nvSpPr>
        <xdr:spPr>
          <a:xfrm>
            <a:off x="7063740" y="3718560"/>
            <a:ext cx="5143500" cy="268224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Top Corners Rounded 1">
            <a:extLst>
              <a:ext uri="{FF2B5EF4-FFF2-40B4-BE49-F238E27FC236}">
                <a16:creationId xmlns:a16="http://schemas.microsoft.com/office/drawing/2014/main" id="{C78FD30F-8D85-DD16-644D-A28D747DA330}"/>
              </a:ext>
            </a:extLst>
          </xdr:cNvPr>
          <xdr:cNvSpPr/>
        </xdr:nvSpPr>
        <xdr:spPr>
          <a:xfrm>
            <a:off x="281940" y="198120"/>
            <a:ext cx="13716000" cy="70866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TITAN</a:t>
            </a:r>
            <a:r>
              <a:rPr lang="en-IN" sz="2000" b="1" baseline="0"/>
              <a:t> LOGISTIC DATA ANALYSIS</a:t>
            </a:r>
            <a:endParaRPr lang="en-IN" sz="2000" b="1"/>
          </a:p>
        </xdr:txBody>
      </xdr:sp>
      <xdr:sp macro="" textlink="">
        <xdr:nvSpPr>
          <xdr:cNvPr id="3" name="Rectangle: Top Corners Rounded 2">
            <a:extLst>
              <a:ext uri="{FF2B5EF4-FFF2-40B4-BE49-F238E27FC236}">
                <a16:creationId xmlns:a16="http://schemas.microsoft.com/office/drawing/2014/main" id="{BFA0A0CF-46A9-D1A1-F106-111703EE37E6}"/>
              </a:ext>
            </a:extLst>
          </xdr:cNvPr>
          <xdr:cNvSpPr/>
        </xdr:nvSpPr>
        <xdr:spPr>
          <a:xfrm>
            <a:off x="289560" y="990600"/>
            <a:ext cx="1623060" cy="541782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Top Corners Rounded 3">
            <a:extLst>
              <a:ext uri="{FF2B5EF4-FFF2-40B4-BE49-F238E27FC236}">
                <a16:creationId xmlns:a16="http://schemas.microsoft.com/office/drawing/2014/main" id="{9790F1C9-D585-93B5-A982-CC8054B0EBDC}"/>
              </a:ext>
            </a:extLst>
          </xdr:cNvPr>
          <xdr:cNvSpPr/>
        </xdr:nvSpPr>
        <xdr:spPr>
          <a:xfrm>
            <a:off x="1988820" y="998220"/>
            <a:ext cx="4991100" cy="265938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Top Corners Rounded 4">
            <a:extLst>
              <a:ext uri="{FF2B5EF4-FFF2-40B4-BE49-F238E27FC236}">
                <a16:creationId xmlns:a16="http://schemas.microsoft.com/office/drawing/2014/main" id="{29D8B486-B6C9-4F9C-832A-BA371A831226}"/>
              </a:ext>
            </a:extLst>
          </xdr:cNvPr>
          <xdr:cNvSpPr/>
        </xdr:nvSpPr>
        <xdr:spPr>
          <a:xfrm>
            <a:off x="7071360" y="998220"/>
            <a:ext cx="5105400" cy="265938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E715A514-34E5-4428-A290-1AA73B65C8CE}"/>
              </a:ext>
            </a:extLst>
          </xdr:cNvPr>
          <xdr:cNvSpPr/>
        </xdr:nvSpPr>
        <xdr:spPr>
          <a:xfrm>
            <a:off x="1965960" y="3718560"/>
            <a:ext cx="5029200" cy="267462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Top Corners Rounded 7">
            <a:extLst>
              <a:ext uri="{FF2B5EF4-FFF2-40B4-BE49-F238E27FC236}">
                <a16:creationId xmlns:a16="http://schemas.microsoft.com/office/drawing/2014/main" id="{95EFF343-8CD1-458B-916E-FFEEE8C9CA4E}"/>
              </a:ext>
            </a:extLst>
          </xdr:cNvPr>
          <xdr:cNvSpPr/>
        </xdr:nvSpPr>
        <xdr:spPr>
          <a:xfrm>
            <a:off x="251460" y="6446520"/>
            <a:ext cx="6911340" cy="269748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Top Corners Rounded 8">
            <a:extLst>
              <a:ext uri="{FF2B5EF4-FFF2-40B4-BE49-F238E27FC236}">
                <a16:creationId xmlns:a16="http://schemas.microsoft.com/office/drawing/2014/main" id="{9EF1F39B-A4AB-4029-B2F2-EEAA89D14EB1}"/>
              </a:ext>
            </a:extLst>
          </xdr:cNvPr>
          <xdr:cNvSpPr/>
        </xdr:nvSpPr>
        <xdr:spPr>
          <a:xfrm>
            <a:off x="7231380" y="6454140"/>
            <a:ext cx="6766560" cy="268986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Top Corners Rounded 9">
            <a:extLst>
              <a:ext uri="{FF2B5EF4-FFF2-40B4-BE49-F238E27FC236}">
                <a16:creationId xmlns:a16="http://schemas.microsoft.com/office/drawing/2014/main" id="{58CE3FAE-A60D-B4F0-91AC-EF7F123EE3D4}"/>
              </a:ext>
            </a:extLst>
          </xdr:cNvPr>
          <xdr:cNvSpPr/>
        </xdr:nvSpPr>
        <xdr:spPr>
          <a:xfrm>
            <a:off x="12260580" y="982980"/>
            <a:ext cx="1737360" cy="5417820"/>
          </a:xfrm>
          <a:prstGeom prst="round2Same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FILTER</a:t>
            </a:r>
          </a:p>
        </xdr:txBody>
      </xdr:sp>
    </xdr:grpSp>
    <xdr:clientData/>
  </xdr:twoCellAnchor>
  <xdr:twoCellAnchor>
    <xdr:from>
      <xdr:col>3</xdr:col>
      <xdr:colOff>160020</xdr:colOff>
      <xdr:row>5</xdr:row>
      <xdr:rowOff>91440</xdr:rowOff>
    </xdr:from>
    <xdr:to>
      <xdr:col>11</xdr:col>
      <xdr:colOff>91440</xdr:colOff>
      <xdr:row>18</xdr:row>
      <xdr:rowOff>167640</xdr:rowOff>
    </xdr:to>
    <xdr:graphicFrame macro="">
      <xdr:nvGraphicFramePr>
        <xdr:cNvPr id="20" name="Chart 19">
          <a:extLst>
            <a:ext uri="{FF2B5EF4-FFF2-40B4-BE49-F238E27FC236}">
              <a16:creationId xmlns:a16="http://schemas.microsoft.com/office/drawing/2014/main" id="{2BEA3F0D-FFEE-4831-95BB-1914FF44E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5</xdr:row>
      <xdr:rowOff>76200</xdr:rowOff>
    </xdr:from>
    <xdr:to>
      <xdr:col>19</xdr:col>
      <xdr:colOff>502920</xdr:colOff>
      <xdr:row>18</xdr:row>
      <xdr:rowOff>167640</xdr:rowOff>
    </xdr:to>
    <xdr:graphicFrame macro="">
      <xdr:nvGraphicFramePr>
        <xdr:cNvPr id="21" name="Chart 20">
          <a:extLst>
            <a:ext uri="{FF2B5EF4-FFF2-40B4-BE49-F238E27FC236}">
              <a16:creationId xmlns:a16="http://schemas.microsoft.com/office/drawing/2014/main" id="{6328ACCF-BC55-4C54-831B-A3C022EE8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335280</xdr:colOff>
      <xdr:row>34</xdr:row>
      <xdr:rowOff>68580</xdr:rowOff>
    </xdr:from>
    <xdr:to>
      <xdr:col>11</xdr:col>
      <xdr:colOff>281940</xdr:colOff>
      <xdr:row>48</xdr:row>
      <xdr:rowOff>144780</xdr:rowOff>
    </xdr:to>
    <xdr:graphicFrame macro="">
      <xdr:nvGraphicFramePr>
        <xdr:cNvPr id="22" name="Chart 21">
          <a:extLst>
            <a:ext uri="{FF2B5EF4-FFF2-40B4-BE49-F238E27FC236}">
              <a16:creationId xmlns:a16="http://schemas.microsoft.com/office/drawing/2014/main" id="{A11620D2-9182-44DC-A832-57A2526BA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xdr:colOff>
      <xdr:row>34</xdr:row>
      <xdr:rowOff>114300</xdr:rowOff>
    </xdr:from>
    <xdr:to>
      <xdr:col>22</xdr:col>
      <xdr:colOff>403860</xdr:colOff>
      <xdr:row>48</xdr:row>
      <xdr:rowOff>175260</xdr:rowOff>
    </xdr:to>
    <xdr:graphicFrame macro="">
      <xdr:nvGraphicFramePr>
        <xdr:cNvPr id="23" name="Chart 22">
          <a:extLst>
            <a:ext uri="{FF2B5EF4-FFF2-40B4-BE49-F238E27FC236}">
              <a16:creationId xmlns:a16="http://schemas.microsoft.com/office/drawing/2014/main" id="{663CD9DD-6E9A-4408-977B-325D53486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182880</xdr:colOff>
      <xdr:row>20</xdr:row>
      <xdr:rowOff>68580</xdr:rowOff>
    </xdr:from>
    <xdr:to>
      <xdr:col>11</xdr:col>
      <xdr:colOff>99060</xdr:colOff>
      <xdr:row>33</xdr:row>
      <xdr:rowOff>167640</xdr:rowOff>
    </xdr:to>
    <xdr:graphicFrame macro="">
      <xdr:nvGraphicFramePr>
        <xdr:cNvPr id="24" name="Chart 23">
          <a:extLst>
            <a:ext uri="{FF2B5EF4-FFF2-40B4-BE49-F238E27FC236}">
              <a16:creationId xmlns:a16="http://schemas.microsoft.com/office/drawing/2014/main" id="{09EC84AF-E0E0-4FF4-A76F-68D4091D5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350520</xdr:colOff>
      <xdr:row>20</xdr:row>
      <xdr:rowOff>60960</xdr:rowOff>
    </xdr:from>
    <xdr:to>
      <xdr:col>19</xdr:col>
      <xdr:colOff>548640</xdr:colOff>
      <xdr:row>33</xdr:row>
      <xdr:rowOff>152400</xdr:rowOff>
    </xdr:to>
    <xdr:graphicFrame macro="">
      <xdr:nvGraphicFramePr>
        <xdr:cNvPr id="26" name="Chart 25">
          <a:extLst>
            <a:ext uri="{FF2B5EF4-FFF2-40B4-BE49-F238E27FC236}">
              <a16:creationId xmlns:a16="http://schemas.microsoft.com/office/drawing/2014/main" id="{F8C2183A-9B80-4E59-9B87-C13544BAE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213360</xdr:colOff>
      <xdr:row>27</xdr:row>
      <xdr:rowOff>60959</xdr:rowOff>
    </xdr:from>
    <xdr:to>
      <xdr:col>22</xdr:col>
      <xdr:colOff>411480</xdr:colOff>
      <xdr:row>34</xdr:row>
      <xdr:rowOff>0</xdr:rowOff>
    </xdr:to>
    <mc:AlternateContent xmlns:mc="http://schemas.openxmlformats.org/markup-compatibility/2006">
      <mc:Choice xmlns:a14="http://schemas.microsoft.com/office/drawing/2010/main" Requires="a14">
        <xdr:graphicFrame macro="">
          <xdr:nvGraphicFramePr>
            <xdr:cNvPr id="11" name="products.Category 1">
              <a:extLst>
                <a:ext uri="{FF2B5EF4-FFF2-40B4-BE49-F238E27FC236}">
                  <a16:creationId xmlns:a16="http://schemas.microsoft.com/office/drawing/2014/main" id="{14AF981D-1C63-45D6-9DFD-7FA0D54FF0B9}"/>
                </a:ext>
              </a:extLst>
            </xdr:cNvPr>
            <xdr:cNvGraphicFramePr/>
          </xdr:nvGraphicFramePr>
          <xdr:xfrm>
            <a:off x="0" y="0"/>
            <a:ext cx="0" cy="0"/>
          </xdr:xfrm>
          <a:graphic>
            <a:graphicData uri="http://schemas.microsoft.com/office/drawing/2010/slicer">
              <sle:slicer xmlns:sle="http://schemas.microsoft.com/office/drawing/2010/slicer" name="products.Category 1"/>
            </a:graphicData>
          </a:graphic>
        </xdr:graphicFrame>
      </mc:Choice>
      <mc:Fallback>
        <xdr:sp macro="" textlink="">
          <xdr:nvSpPr>
            <xdr:cNvPr id="0" name=""/>
            <xdr:cNvSpPr>
              <a:spLocks noTextEdit="1"/>
            </xdr:cNvSpPr>
          </xdr:nvSpPr>
          <xdr:spPr>
            <a:xfrm>
              <a:off x="12405360" y="4998719"/>
              <a:ext cx="1417320" cy="1219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213360</xdr:colOff>
      <xdr:row>20</xdr:row>
      <xdr:rowOff>15241</xdr:rowOff>
    </xdr:from>
    <xdr:to>
      <xdr:col>22</xdr:col>
      <xdr:colOff>411480</xdr:colOff>
      <xdr:row>27</xdr:row>
      <xdr:rowOff>53340</xdr:rowOff>
    </xdr:to>
    <mc:AlternateContent xmlns:mc="http://schemas.openxmlformats.org/markup-compatibility/2006">
      <mc:Choice xmlns:a14="http://schemas.microsoft.com/office/drawing/2010/main" Requires="a14">
        <xdr:graphicFrame macro="">
          <xdr:nvGraphicFramePr>
            <xdr:cNvPr id="12" name="centers.Zone 1">
              <a:extLst>
                <a:ext uri="{FF2B5EF4-FFF2-40B4-BE49-F238E27FC236}">
                  <a16:creationId xmlns:a16="http://schemas.microsoft.com/office/drawing/2014/main" id="{5737171B-FE6A-4467-B29C-B5E3BB45EF58}"/>
                </a:ext>
              </a:extLst>
            </xdr:cNvPr>
            <xdr:cNvGraphicFramePr/>
          </xdr:nvGraphicFramePr>
          <xdr:xfrm>
            <a:off x="0" y="0"/>
            <a:ext cx="0" cy="0"/>
          </xdr:xfrm>
          <a:graphic>
            <a:graphicData uri="http://schemas.microsoft.com/office/drawing/2010/slicer">
              <sle:slicer xmlns:sle="http://schemas.microsoft.com/office/drawing/2010/slicer" name="centers.Zone 1"/>
            </a:graphicData>
          </a:graphic>
        </xdr:graphicFrame>
      </mc:Choice>
      <mc:Fallback>
        <xdr:sp macro="" textlink="">
          <xdr:nvSpPr>
            <xdr:cNvPr id="0" name=""/>
            <xdr:cNvSpPr>
              <a:spLocks noTextEdit="1"/>
            </xdr:cNvSpPr>
          </xdr:nvSpPr>
          <xdr:spPr>
            <a:xfrm>
              <a:off x="12405360" y="3672841"/>
              <a:ext cx="141732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228600</xdr:colOff>
      <xdr:row>7</xdr:row>
      <xdr:rowOff>68580</xdr:rowOff>
    </xdr:from>
    <xdr:to>
      <xdr:col>22</xdr:col>
      <xdr:colOff>426720</xdr:colOff>
      <xdr:row>13</xdr:row>
      <xdr:rowOff>144780</xdr:rowOff>
    </xdr:to>
    <mc:AlternateContent xmlns:mc="http://schemas.openxmlformats.org/markup-compatibility/2006">
      <mc:Choice xmlns:a14="http://schemas.microsoft.com/office/drawing/2010/main" Requires="a14">
        <xdr:graphicFrame macro="">
          <xdr:nvGraphicFramePr>
            <xdr:cNvPr id="13" name="Months (Order_Date) 1">
              <a:extLst>
                <a:ext uri="{FF2B5EF4-FFF2-40B4-BE49-F238E27FC236}">
                  <a16:creationId xmlns:a16="http://schemas.microsoft.com/office/drawing/2014/main" id="{0CCA84C5-68AB-4D51-8699-80776B65FDA2}"/>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12420600" y="1348740"/>
              <a:ext cx="141732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220980</xdr:colOff>
      <xdr:row>14</xdr:row>
      <xdr:rowOff>22860</xdr:rowOff>
    </xdr:from>
    <xdr:to>
      <xdr:col>22</xdr:col>
      <xdr:colOff>419100</xdr:colOff>
      <xdr:row>20</xdr:row>
      <xdr:rowOff>7620</xdr:rowOff>
    </xdr:to>
    <mc:AlternateContent xmlns:mc="http://schemas.openxmlformats.org/markup-compatibility/2006">
      <mc:Choice xmlns:a14="http://schemas.microsoft.com/office/drawing/2010/main" Requires="a14">
        <xdr:graphicFrame macro="">
          <xdr:nvGraphicFramePr>
            <xdr:cNvPr id="14" name="Status 1">
              <a:extLst>
                <a:ext uri="{FF2B5EF4-FFF2-40B4-BE49-F238E27FC236}">
                  <a16:creationId xmlns:a16="http://schemas.microsoft.com/office/drawing/2014/main" id="{FD0A8E16-4293-4DF6-A847-8DA09B67F56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2412980" y="2583180"/>
              <a:ext cx="141732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289560</xdr:colOff>
      <xdr:row>11</xdr:row>
      <xdr:rowOff>76200</xdr:rowOff>
    </xdr:from>
    <xdr:to>
      <xdr:col>2</xdr:col>
      <xdr:colOff>510540</xdr:colOff>
      <xdr:row>16</xdr:row>
      <xdr:rowOff>167640</xdr:rowOff>
    </xdr:to>
    <xdr:sp macro="" textlink="">
      <xdr:nvSpPr>
        <xdr:cNvPr id="15" name="Rectangle: Top Corners Rounded 14">
          <a:extLst>
            <a:ext uri="{FF2B5EF4-FFF2-40B4-BE49-F238E27FC236}">
              <a16:creationId xmlns:a16="http://schemas.microsoft.com/office/drawing/2014/main" id="{AE0FB02F-5236-6083-9A62-F8DB5F926A69}"/>
            </a:ext>
          </a:extLst>
        </xdr:cNvPr>
        <xdr:cNvSpPr/>
      </xdr:nvSpPr>
      <xdr:spPr>
        <a:xfrm>
          <a:off x="289560" y="2087880"/>
          <a:ext cx="1440180" cy="100584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QUANTITY</a:t>
          </a:r>
        </a:p>
      </xdr:txBody>
    </xdr:sp>
    <xdr:clientData/>
  </xdr:twoCellAnchor>
  <xdr:twoCellAnchor>
    <xdr:from>
      <xdr:col>0</xdr:col>
      <xdr:colOff>297180</xdr:colOff>
      <xdr:row>17</xdr:row>
      <xdr:rowOff>22860</xdr:rowOff>
    </xdr:from>
    <xdr:to>
      <xdr:col>2</xdr:col>
      <xdr:colOff>518160</xdr:colOff>
      <xdr:row>22</xdr:row>
      <xdr:rowOff>114300</xdr:rowOff>
    </xdr:to>
    <xdr:sp macro="" textlink="">
      <xdr:nvSpPr>
        <xdr:cNvPr id="35" name="Rectangle: Top Corners Rounded 34">
          <a:extLst>
            <a:ext uri="{FF2B5EF4-FFF2-40B4-BE49-F238E27FC236}">
              <a16:creationId xmlns:a16="http://schemas.microsoft.com/office/drawing/2014/main" id="{1EEBB665-D8B3-4DFB-9BFD-2CE8CCEDC24A}"/>
            </a:ext>
          </a:extLst>
        </xdr:cNvPr>
        <xdr:cNvSpPr/>
      </xdr:nvSpPr>
      <xdr:spPr>
        <a:xfrm>
          <a:off x="297180" y="3131820"/>
          <a:ext cx="1440180" cy="100584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OREDER VALUE</a:t>
          </a:r>
        </a:p>
      </xdr:txBody>
    </xdr:sp>
    <xdr:clientData/>
  </xdr:twoCellAnchor>
  <xdr:twoCellAnchor>
    <xdr:from>
      <xdr:col>0</xdr:col>
      <xdr:colOff>312420</xdr:colOff>
      <xdr:row>22</xdr:row>
      <xdr:rowOff>152400</xdr:rowOff>
    </xdr:from>
    <xdr:to>
      <xdr:col>2</xdr:col>
      <xdr:colOff>533400</xdr:colOff>
      <xdr:row>28</xdr:row>
      <xdr:rowOff>60960</xdr:rowOff>
    </xdr:to>
    <xdr:sp macro="" textlink="">
      <xdr:nvSpPr>
        <xdr:cNvPr id="36" name="Rectangle: Top Corners Rounded 35">
          <a:extLst>
            <a:ext uri="{FF2B5EF4-FFF2-40B4-BE49-F238E27FC236}">
              <a16:creationId xmlns:a16="http://schemas.microsoft.com/office/drawing/2014/main" id="{F66F6397-8842-46D3-BD59-BF6D2006166A}"/>
            </a:ext>
          </a:extLst>
        </xdr:cNvPr>
        <xdr:cNvSpPr/>
      </xdr:nvSpPr>
      <xdr:spPr>
        <a:xfrm>
          <a:off x="312420" y="4175760"/>
          <a:ext cx="1440180" cy="100584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 SHIPPING DAYS</a:t>
          </a:r>
        </a:p>
      </xdr:txBody>
    </xdr:sp>
    <xdr:clientData/>
  </xdr:twoCellAnchor>
  <xdr:twoCellAnchor>
    <xdr:from>
      <xdr:col>0</xdr:col>
      <xdr:colOff>297180</xdr:colOff>
      <xdr:row>28</xdr:row>
      <xdr:rowOff>99060</xdr:rowOff>
    </xdr:from>
    <xdr:to>
      <xdr:col>2</xdr:col>
      <xdr:colOff>518160</xdr:colOff>
      <xdr:row>34</xdr:row>
      <xdr:rowOff>7620</xdr:rowOff>
    </xdr:to>
    <xdr:sp macro="" textlink="">
      <xdr:nvSpPr>
        <xdr:cNvPr id="37" name="Rectangle: Top Corners Rounded 36">
          <a:extLst>
            <a:ext uri="{FF2B5EF4-FFF2-40B4-BE49-F238E27FC236}">
              <a16:creationId xmlns:a16="http://schemas.microsoft.com/office/drawing/2014/main" id="{E506E255-850B-4457-BD6D-1944BC108B74}"/>
            </a:ext>
          </a:extLst>
        </xdr:cNvPr>
        <xdr:cNvSpPr/>
      </xdr:nvSpPr>
      <xdr:spPr>
        <a:xfrm>
          <a:off x="297180" y="5219700"/>
          <a:ext cx="1440180" cy="100584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WAREHOUSE</a:t>
          </a:r>
        </a:p>
      </xdr:txBody>
    </xdr:sp>
    <xdr:clientData/>
  </xdr:twoCellAnchor>
  <xdr:twoCellAnchor>
    <xdr:from>
      <xdr:col>0</xdr:col>
      <xdr:colOff>304800</xdr:colOff>
      <xdr:row>5</xdr:row>
      <xdr:rowOff>114300</xdr:rowOff>
    </xdr:from>
    <xdr:to>
      <xdr:col>2</xdr:col>
      <xdr:colOff>525780</xdr:colOff>
      <xdr:row>11</xdr:row>
      <xdr:rowOff>22860</xdr:rowOff>
    </xdr:to>
    <xdr:sp macro="" textlink="">
      <xdr:nvSpPr>
        <xdr:cNvPr id="38" name="Rectangle: Top Corners Rounded 37">
          <a:extLst>
            <a:ext uri="{FF2B5EF4-FFF2-40B4-BE49-F238E27FC236}">
              <a16:creationId xmlns:a16="http://schemas.microsoft.com/office/drawing/2014/main" id="{DC90A7BA-E1FD-44CD-AF34-953414F9927E}"/>
            </a:ext>
          </a:extLst>
        </xdr:cNvPr>
        <xdr:cNvSpPr/>
      </xdr:nvSpPr>
      <xdr:spPr>
        <a:xfrm>
          <a:off x="304800" y="1028700"/>
          <a:ext cx="1440180" cy="1005840"/>
        </a:xfrm>
        <a:prstGeom prst="round2Same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ORDERS</a:t>
          </a:r>
        </a:p>
      </xdr:txBody>
    </xdr:sp>
    <xdr:clientData/>
  </xdr:twoCellAnchor>
  <xdr:twoCellAnchor editAs="oneCell">
    <xdr:from>
      <xdr:col>0</xdr:col>
      <xdr:colOff>411480</xdr:colOff>
      <xdr:row>7</xdr:row>
      <xdr:rowOff>30480</xdr:rowOff>
    </xdr:from>
    <xdr:to>
      <xdr:col>2</xdr:col>
      <xdr:colOff>327660</xdr:colOff>
      <xdr:row>9</xdr:row>
      <xdr:rowOff>30480</xdr:rowOff>
    </xdr:to>
    <xdr:pic>
      <xdr:nvPicPr>
        <xdr:cNvPr id="40" name="Picture 39">
          <a:extLst>
            <a:ext uri="{FF2B5EF4-FFF2-40B4-BE49-F238E27FC236}">
              <a16:creationId xmlns:a16="http://schemas.microsoft.com/office/drawing/2014/main" id="{90B189D2-35AB-4CA7-0251-093D21B2A1D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11480" y="1310640"/>
          <a:ext cx="113538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441960</xdr:colOff>
      <xdr:row>12</xdr:row>
      <xdr:rowOff>167640</xdr:rowOff>
    </xdr:from>
    <xdr:to>
      <xdr:col>2</xdr:col>
      <xdr:colOff>251460</xdr:colOff>
      <xdr:row>14</xdr:row>
      <xdr:rowOff>152400</xdr:rowOff>
    </xdr:to>
    <xdr:pic>
      <xdr:nvPicPr>
        <xdr:cNvPr id="41" name="Picture 40">
          <a:extLst>
            <a:ext uri="{FF2B5EF4-FFF2-40B4-BE49-F238E27FC236}">
              <a16:creationId xmlns:a16="http://schemas.microsoft.com/office/drawing/2014/main" id="{DD8617EC-D357-7872-86AA-04D5821F0D2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41960" y="2362200"/>
          <a:ext cx="102870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449580</xdr:colOff>
      <xdr:row>31</xdr:row>
      <xdr:rowOff>15240</xdr:rowOff>
    </xdr:from>
    <xdr:to>
      <xdr:col>2</xdr:col>
      <xdr:colOff>365760</xdr:colOff>
      <xdr:row>32</xdr:row>
      <xdr:rowOff>121920</xdr:rowOff>
    </xdr:to>
    <xdr:pic>
      <xdr:nvPicPr>
        <xdr:cNvPr id="42" name="Picture 41">
          <a:extLst>
            <a:ext uri="{FF2B5EF4-FFF2-40B4-BE49-F238E27FC236}">
              <a16:creationId xmlns:a16="http://schemas.microsoft.com/office/drawing/2014/main" id="{3D579554-7A9B-DC4D-7348-8E153CC07CB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49580" y="5684520"/>
          <a:ext cx="113538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507187</xdr:colOff>
      <xdr:row>25</xdr:row>
      <xdr:rowOff>15240</xdr:rowOff>
    </xdr:from>
    <xdr:to>
      <xdr:col>2</xdr:col>
      <xdr:colOff>274320</xdr:colOff>
      <xdr:row>26</xdr:row>
      <xdr:rowOff>99060</xdr:rowOff>
    </xdr:to>
    <xdr:pic>
      <xdr:nvPicPr>
        <xdr:cNvPr id="43" name="Picture 42">
          <a:extLst>
            <a:ext uri="{FF2B5EF4-FFF2-40B4-BE49-F238E27FC236}">
              <a16:creationId xmlns:a16="http://schemas.microsoft.com/office/drawing/2014/main" id="{C5BB1447-CDB5-D1CE-6C17-F28585DC1B9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7187" y="4587240"/>
          <a:ext cx="986333"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431292</xdr:colOff>
      <xdr:row>19</xdr:row>
      <xdr:rowOff>106680</xdr:rowOff>
    </xdr:from>
    <xdr:to>
      <xdr:col>2</xdr:col>
      <xdr:colOff>426720</xdr:colOff>
      <xdr:row>21</xdr:row>
      <xdr:rowOff>16972</xdr:rowOff>
    </xdr:to>
    <xdr:pic>
      <xdr:nvPicPr>
        <xdr:cNvPr id="44" name="Picture 43">
          <a:extLst>
            <a:ext uri="{FF2B5EF4-FFF2-40B4-BE49-F238E27FC236}">
              <a16:creationId xmlns:a16="http://schemas.microsoft.com/office/drawing/2014/main" id="{F228EC4B-DB3A-28EF-0F91-7FE75EA130B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31292" y="3581400"/>
          <a:ext cx="1214628" cy="2760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98.415976504628" createdVersion="8" refreshedVersion="8" minRefreshableVersion="3" recordCount="1500" xr:uid="{5FE39B12-8231-42FA-A84C-DA7A33DD2647}">
  <cacheSource type="worksheet">
    <worksheetSource name="orders_1"/>
  </cacheSource>
  <cacheFields count="21">
    <cacheField name="Order_ID" numFmtId="0">
      <sharedItems containsSemiMixedTypes="0" containsString="0" containsNumber="1" containsInteger="1" minValue="10001" maxValue="11500"/>
    </cacheField>
    <cacheField name="Customer_ID" numFmtId="0">
      <sharedItems containsSemiMixedTypes="0" containsString="0" containsNumber="1" containsInteger="1" minValue="500" maxValue="900"/>
    </cacheField>
    <cacheField name="Product_ID" numFmtId="0">
      <sharedItems containsSemiMixedTypes="0" containsString="0" containsNumber="1" containsInteger="1" minValue="2001" maxValue="2100"/>
    </cacheField>
    <cacheField name="Warehouse_ID" numFmtId="0">
      <sharedItems containsSemiMixedTypes="0" containsString="0" containsNumber="1" containsInteger="1" minValue="301" maxValue="320" count="20">
        <n v="304"/>
        <n v="319"/>
        <n v="313"/>
        <n v="303"/>
        <n v="305"/>
        <n v="307"/>
        <n v="316"/>
        <n v="308"/>
        <n v="312"/>
        <n v="309"/>
        <n v="318"/>
        <n v="320"/>
        <n v="311"/>
        <n v="317"/>
        <n v="301"/>
        <n v="315"/>
        <n v="306"/>
        <n v="310"/>
        <n v="314"/>
        <n v="302"/>
      </sharedItems>
    </cacheField>
    <cacheField name="Order_Date" numFmtId="14">
      <sharedItems containsSemiMixedTypes="0" containsNonDate="0" containsDate="1" containsString="0" minDate="2024-01-01T00:00:00" maxDate="2025-01-01T00:00:00" count="361">
        <d v="2024-06-04T00:00:00"/>
        <d v="2024-09-09T00:00:00"/>
        <d v="2024-07-03T00:00:00"/>
        <d v="2024-02-12T00:00:00"/>
        <d v="2024-01-08T00:00:00"/>
        <d v="2024-12-02T00:00:00"/>
        <d v="2024-03-02T00:00:00"/>
        <d v="2024-03-28T00:00:00"/>
        <d v="2024-02-11T00:00:00"/>
        <d v="2024-11-17T00:00:00"/>
        <d v="2024-10-23T00:00:00"/>
        <d v="2024-06-17T00:00:00"/>
        <d v="2024-08-02T00:00:00"/>
        <d v="2024-03-14T00:00:00"/>
        <d v="2024-09-03T00:00:00"/>
        <d v="2024-05-22T00:00:00"/>
        <d v="2024-06-23T00:00:00"/>
        <d v="2024-12-20T00:00:00"/>
        <d v="2024-03-22T00:00:00"/>
        <d v="2024-12-06T00:00:00"/>
        <d v="2024-07-31T00:00:00"/>
        <d v="2024-06-27T00:00:00"/>
        <d v="2024-06-10T00:00:00"/>
        <d v="2024-07-02T00:00:00"/>
        <d v="2024-09-16T00:00:00"/>
        <d v="2024-12-05T00:00:00"/>
        <d v="2024-09-30T00:00:00"/>
        <d v="2024-09-22T00:00:00"/>
        <d v="2024-03-16T00:00:00"/>
        <d v="2024-06-02T00:00:00"/>
        <d v="2024-08-16T00:00:00"/>
        <d v="2024-07-25T00:00:00"/>
        <d v="2024-02-22T00:00:00"/>
        <d v="2024-01-28T00:00:00"/>
        <d v="2024-05-30T00:00:00"/>
        <d v="2024-02-29T00:00:00"/>
        <d v="2024-08-14T00:00:00"/>
        <d v="2024-07-29T00:00:00"/>
        <d v="2024-10-26T00:00:00"/>
        <d v="2024-05-25T00:00:00"/>
        <d v="2024-07-24T00:00:00"/>
        <d v="2024-08-09T00:00:00"/>
        <d v="2024-11-12T00:00:00"/>
        <d v="2024-11-05T00:00:00"/>
        <d v="2024-09-15T00:00:00"/>
        <d v="2024-04-06T00:00:00"/>
        <d v="2024-06-26T00:00:00"/>
        <d v="2024-08-26T00:00:00"/>
        <d v="2024-09-01T00:00:00"/>
        <d v="2024-07-16T00:00:00"/>
        <d v="2024-06-09T00:00:00"/>
        <d v="2024-03-15T00:00:00"/>
        <d v="2024-07-22T00:00:00"/>
        <d v="2024-10-04T00:00:00"/>
        <d v="2024-05-28T00:00:00"/>
        <d v="2024-09-19T00:00:00"/>
        <d v="2024-10-01T00:00:00"/>
        <d v="2024-05-18T00:00:00"/>
        <d v="2024-07-09T00:00:00"/>
        <d v="2024-10-02T00:00:00"/>
        <d v="2024-12-30T00:00:00"/>
        <d v="2024-02-24T00:00:00"/>
        <d v="2024-11-03T00:00:00"/>
        <d v="2024-05-13T00:00:00"/>
        <d v="2024-12-22T00:00:00"/>
        <d v="2024-04-12T00:00:00"/>
        <d v="2024-07-20T00:00:00"/>
        <d v="2024-10-14T00:00:00"/>
        <d v="2024-05-07T00:00:00"/>
        <d v="2024-03-12T00:00:00"/>
        <d v="2024-10-22T00:00:00"/>
        <d v="2024-08-20T00:00:00"/>
        <d v="2024-06-28T00:00:00"/>
        <d v="2024-05-21T00:00:00"/>
        <d v="2024-05-23T00:00:00"/>
        <d v="2024-07-17T00:00:00"/>
        <d v="2024-08-10T00:00:00"/>
        <d v="2024-07-13T00:00:00"/>
        <d v="2024-09-07T00:00:00"/>
        <d v="2024-10-16T00:00:00"/>
        <d v="2024-12-31T00:00:00"/>
        <d v="2024-04-07T00:00:00"/>
        <d v="2024-11-20T00:00:00"/>
        <d v="2024-06-19T00:00:00"/>
        <d v="2024-02-09T00:00:00"/>
        <d v="2024-05-08T00:00:00"/>
        <d v="2024-10-25T00:00:00"/>
        <d v="2024-01-30T00:00:00"/>
        <d v="2024-09-02T00:00:00"/>
        <d v="2024-02-18T00:00:00"/>
        <d v="2024-12-27T00:00:00"/>
        <d v="2024-09-13T00:00:00"/>
        <d v="2024-04-01T00:00:00"/>
        <d v="2024-09-05T00:00:00"/>
        <d v="2024-05-09T00:00:00"/>
        <d v="2024-10-10T00:00:00"/>
        <d v="2024-01-11T00:00:00"/>
        <d v="2024-09-11T00:00:00"/>
        <d v="2024-10-20T00:00:00"/>
        <d v="2024-04-08T00:00:00"/>
        <d v="2024-11-04T00:00:00"/>
        <d v="2024-10-06T00:00:00"/>
        <d v="2024-07-27T00:00:00"/>
        <d v="2024-10-30T00:00:00"/>
        <d v="2024-12-23T00:00:00"/>
        <d v="2024-10-31T00:00:00"/>
        <d v="2024-08-24T00:00:00"/>
        <d v="2024-05-06T00:00:00"/>
        <d v="2024-03-06T00:00:00"/>
        <d v="2024-01-07T00:00:00"/>
        <d v="2024-11-22T00:00:00"/>
        <d v="2024-06-08T00:00:00"/>
        <d v="2024-04-05T00:00:00"/>
        <d v="2024-07-18T00:00:00"/>
        <d v="2024-08-30T00:00:00"/>
        <d v="2024-08-17T00:00:00"/>
        <d v="2024-07-23T00:00:00"/>
        <d v="2024-02-27T00:00:00"/>
        <d v="2024-07-01T00:00:00"/>
        <d v="2024-07-21T00:00:00"/>
        <d v="2024-01-02T00:00:00"/>
        <d v="2024-01-17T00:00:00"/>
        <d v="2024-11-15T00:00:00"/>
        <d v="2024-04-10T00:00:00"/>
        <d v="2024-10-11T00:00:00"/>
        <d v="2024-11-01T00:00:00"/>
        <d v="2024-09-20T00:00:00"/>
        <d v="2024-12-13T00:00:00"/>
        <d v="2024-01-10T00:00:00"/>
        <d v="2024-05-17T00:00:00"/>
        <d v="2024-03-09T00:00:00"/>
        <d v="2024-11-19T00:00:00"/>
        <d v="2024-05-12T00:00:00"/>
        <d v="2024-04-22T00:00:00"/>
        <d v="2024-11-25T00:00:00"/>
        <d v="2024-12-09T00:00:00"/>
        <d v="2024-11-16T00:00:00"/>
        <d v="2024-01-04T00:00:00"/>
        <d v="2024-07-11T00:00:00"/>
        <d v="2024-06-13T00:00:00"/>
        <d v="2024-05-03T00:00:00"/>
        <d v="2024-01-06T00:00:00"/>
        <d v="2024-04-23T00:00:00"/>
        <d v="2024-10-18T00:00:00"/>
        <d v="2024-09-06T00:00:00"/>
        <d v="2024-03-11T00:00:00"/>
        <d v="2024-07-05T00:00:00"/>
        <d v="2024-04-14T00:00:00"/>
        <d v="2024-04-04T00:00:00"/>
        <d v="2024-07-28T00:00:00"/>
        <d v="2024-12-12T00:00:00"/>
        <d v="2024-08-15T00:00:00"/>
        <d v="2024-08-13T00:00:00"/>
        <d v="2024-03-13T00:00:00"/>
        <d v="2024-05-02T00:00:00"/>
        <d v="2024-04-02T00:00:00"/>
        <d v="2024-09-26T00:00:00"/>
        <d v="2024-07-04T00:00:00"/>
        <d v="2024-11-24T00:00:00"/>
        <d v="2024-03-07T00:00:00"/>
        <d v="2024-05-15T00:00:00"/>
        <d v="2024-08-12T00:00:00"/>
        <d v="2024-02-28T00:00:00"/>
        <d v="2024-09-27T00:00:00"/>
        <d v="2024-11-29T00:00:00"/>
        <d v="2024-09-14T00:00:00"/>
        <d v="2024-07-10T00:00:00"/>
        <d v="2024-11-26T00:00:00"/>
        <d v="2024-03-17T00:00:00"/>
        <d v="2024-01-14T00:00:00"/>
        <d v="2024-05-10T00:00:00"/>
        <d v="2024-01-22T00:00:00"/>
        <d v="2024-05-16T00:00:00"/>
        <d v="2024-04-18T00:00:00"/>
        <d v="2024-01-26T00:00:00"/>
        <d v="2024-03-30T00:00:00"/>
        <d v="2024-08-28T00:00:00"/>
        <d v="2024-12-26T00:00:00"/>
        <d v="2024-01-23T00:00:00"/>
        <d v="2024-07-15T00:00:00"/>
        <d v="2024-06-01T00:00:00"/>
        <d v="2024-10-29T00:00:00"/>
        <d v="2024-07-12T00:00:00"/>
        <d v="2024-09-28T00:00:00"/>
        <d v="2024-02-17T00:00:00"/>
        <d v="2024-04-25T00:00:00"/>
        <d v="2024-06-21T00:00:00"/>
        <d v="2024-04-16T00:00:00"/>
        <d v="2024-06-12T00:00:00"/>
        <d v="2024-01-13T00:00:00"/>
        <d v="2024-01-12T00:00:00"/>
        <d v="2024-06-14T00:00:00"/>
        <d v="2024-09-24T00:00:00"/>
        <d v="2024-06-22T00:00:00"/>
        <d v="2024-02-08T00:00:00"/>
        <d v="2024-02-10T00:00:00"/>
        <d v="2024-12-21T00:00:00"/>
        <d v="2024-05-29T00:00:00"/>
        <d v="2024-01-03T00:00:00"/>
        <d v="2024-11-08T00:00:00"/>
        <d v="2024-08-11T00:00:00"/>
        <d v="2024-12-29T00:00:00"/>
        <d v="2024-04-28T00:00:00"/>
        <d v="2024-12-18T00:00:00"/>
        <d v="2024-12-01T00:00:00"/>
        <d v="2024-11-10T00:00:00"/>
        <d v="2024-02-14T00:00:00"/>
        <d v="2024-12-19T00:00:00"/>
        <d v="2024-08-21T00:00:00"/>
        <d v="2024-03-05T00:00:00"/>
        <d v="2024-11-30T00:00:00"/>
        <d v="2024-05-24T00:00:00"/>
        <d v="2024-04-13T00:00:00"/>
        <d v="2024-06-15T00:00:00"/>
        <d v="2024-11-06T00:00:00"/>
        <d v="2024-11-02T00:00:00"/>
        <d v="2024-07-30T00:00:00"/>
        <d v="2024-08-08T00:00:00"/>
        <d v="2024-03-01T00:00:00"/>
        <d v="2024-05-04T00:00:00"/>
        <d v="2024-02-05T00:00:00"/>
        <d v="2024-08-31T00:00:00"/>
        <d v="2024-06-30T00:00:00"/>
        <d v="2024-06-24T00:00:00"/>
        <d v="2024-01-24T00:00:00"/>
        <d v="2024-12-15T00:00:00"/>
        <d v="2024-05-26T00:00:00"/>
        <d v="2024-03-24T00:00:00"/>
        <d v="2024-07-14T00:00:00"/>
        <d v="2024-05-20T00:00:00"/>
        <d v="2024-10-19T00:00:00"/>
        <d v="2024-07-07T00:00:00"/>
        <d v="2024-09-17T00:00:00"/>
        <d v="2024-10-09T00:00:00"/>
        <d v="2024-03-18T00:00:00"/>
        <d v="2024-09-18T00:00:00"/>
        <d v="2024-08-07T00:00:00"/>
        <d v="2024-04-19T00:00:00"/>
        <d v="2024-06-29T00:00:00"/>
        <d v="2024-10-07T00:00:00"/>
        <d v="2024-11-21T00:00:00"/>
        <d v="2024-02-20T00:00:00"/>
        <d v="2024-11-28T00:00:00"/>
        <d v="2024-03-29T00:00:00"/>
        <d v="2024-12-16T00:00:00"/>
        <d v="2024-06-05T00:00:00"/>
        <d v="2024-05-01T00:00:00"/>
        <d v="2024-10-28T00:00:00"/>
        <d v="2024-10-17T00:00:00"/>
        <d v="2024-10-08T00:00:00"/>
        <d v="2024-02-23T00:00:00"/>
        <d v="2024-01-19T00:00:00"/>
        <d v="2024-05-14T00:00:00"/>
        <d v="2024-02-16T00:00:00"/>
        <d v="2024-11-11T00:00:00"/>
        <d v="2024-06-16T00:00:00"/>
        <d v="2024-01-21T00:00:00"/>
        <d v="2024-08-01T00:00:00"/>
        <d v="2024-12-14T00:00:00"/>
        <d v="2024-02-04T00:00:00"/>
        <d v="2024-03-27T00:00:00"/>
        <d v="2024-01-05T00:00:00"/>
        <d v="2024-09-29T00:00:00"/>
        <d v="2024-02-26T00:00:00"/>
        <d v="2024-10-15T00:00:00"/>
        <d v="2024-07-08T00:00:00"/>
        <d v="2024-01-09T00:00:00"/>
        <d v="2024-03-19T00:00:00"/>
        <d v="2024-01-27T00:00:00"/>
        <d v="2024-12-11T00:00:00"/>
        <d v="2024-11-27T00:00:00"/>
        <d v="2024-10-13T00:00:00"/>
        <d v="2024-01-31T00:00:00"/>
        <d v="2024-08-27T00:00:00"/>
        <d v="2024-12-10T00:00:00"/>
        <d v="2024-12-24T00:00:00"/>
        <d v="2024-03-25T00:00:00"/>
        <d v="2024-04-21T00:00:00"/>
        <d v="2024-01-15T00:00:00"/>
        <d v="2024-08-18T00:00:00"/>
        <d v="2024-02-25T00:00:00"/>
        <d v="2024-08-06T00:00:00"/>
        <d v="2024-11-18T00:00:00"/>
        <d v="2024-09-23T00:00:00"/>
        <d v="2024-04-09T00:00:00"/>
        <d v="2024-01-29T00:00:00"/>
        <d v="2024-01-20T00:00:00"/>
        <d v="2024-08-19T00:00:00"/>
        <d v="2024-06-20T00:00:00"/>
        <d v="2024-09-10T00:00:00"/>
        <d v="2024-10-12T00:00:00"/>
        <d v="2024-08-04T00:00:00"/>
        <d v="2024-06-06T00:00:00"/>
        <d v="2024-01-25T00:00:00"/>
        <d v="2024-05-19T00:00:00"/>
        <d v="2024-02-02T00:00:00"/>
        <d v="2024-11-09T00:00:00"/>
        <d v="2024-07-06T00:00:00"/>
        <d v="2024-03-08T00:00:00"/>
        <d v="2024-10-03T00:00:00"/>
        <d v="2024-04-20T00:00:00"/>
        <d v="2024-12-04T00:00:00"/>
        <d v="2024-03-03T00:00:00"/>
        <d v="2024-11-07T00:00:00"/>
        <d v="2024-12-25T00:00:00"/>
        <d v="2024-10-24T00:00:00"/>
        <d v="2024-02-15T00:00:00"/>
        <d v="2024-07-26T00:00:00"/>
        <d v="2024-06-11T00:00:00"/>
        <d v="2024-06-07T00:00:00"/>
        <d v="2024-02-01T00:00:00"/>
        <d v="2024-02-13T00:00:00"/>
        <d v="2024-03-20T00:00:00"/>
        <d v="2024-04-27T00:00:00"/>
        <d v="2024-09-12T00:00:00"/>
        <d v="2024-11-13T00:00:00"/>
        <d v="2024-05-31T00:00:00"/>
        <d v="2024-08-22T00:00:00"/>
        <d v="2024-10-21T00:00:00"/>
        <d v="2024-12-08T00:00:00"/>
        <d v="2024-04-26T00:00:00"/>
        <d v="2024-03-04T00:00:00"/>
        <d v="2024-11-14T00:00:00"/>
        <d v="2024-04-17T00:00:00"/>
        <d v="2024-02-06T00:00:00"/>
        <d v="2024-09-25T00:00:00"/>
        <d v="2024-04-15T00:00:00"/>
        <d v="2024-02-07T00:00:00"/>
        <d v="2024-12-28T00:00:00"/>
        <d v="2024-04-24T00:00:00"/>
        <d v="2024-02-21T00:00:00"/>
        <d v="2024-01-16T00:00:00"/>
        <d v="2024-06-03T00:00:00"/>
        <d v="2024-09-08T00:00:00"/>
        <d v="2024-06-25T00:00:00"/>
        <d v="2024-10-05T00:00:00"/>
        <d v="2024-05-05T00:00:00"/>
        <d v="2024-04-11T00:00:00"/>
        <d v="2024-09-21T00:00:00"/>
        <d v="2024-08-03T00:00:00"/>
        <d v="2024-08-23T00:00:00"/>
        <d v="2024-04-29T00:00:00"/>
        <d v="2024-08-25T00:00:00"/>
        <d v="2024-12-17T00:00:00"/>
        <d v="2024-04-03T00:00:00"/>
        <d v="2024-03-26T00:00:00"/>
        <d v="2024-01-01T00:00:00"/>
        <d v="2024-06-18T00:00:00"/>
        <d v="2024-03-21T00:00:00"/>
        <d v="2024-03-31T00:00:00"/>
        <d v="2024-04-30T00:00:00"/>
        <d v="2024-01-18T00:00:00"/>
        <d v="2024-08-05T00:00:00"/>
        <d v="2024-07-19T00:00:00"/>
        <d v="2024-05-27T00:00:00"/>
        <d v="2024-11-23T00:00:00"/>
        <d v="2024-02-19T00:00:00"/>
        <d v="2024-10-27T00:00:00"/>
        <d v="2024-08-29T00:00:00"/>
        <d v="2024-03-10T00:00:00"/>
        <d v="2024-12-07T00:00:00"/>
      </sharedItems>
      <fieldGroup par="20"/>
    </cacheField>
    <cacheField name="Ship_Date" numFmtId="14">
      <sharedItems containsSemiMixedTypes="0" containsNonDate="0" containsDate="1" containsString="0" minDate="2024-01-03T00:00:00" maxDate="2025-01-09T00:00:00" count="362">
        <d v="2024-06-12T00:00:00"/>
        <d v="2024-09-19T00:00:00"/>
        <d v="2024-07-10T00:00:00"/>
        <d v="2024-02-18T00:00:00"/>
        <d v="2024-01-12T00:00:00"/>
        <d v="2024-12-08T00:00:00"/>
        <d v="2024-03-05T00:00:00"/>
        <d v="2024-04-03T00:00:00"/>
        <d v="2024-02-13T00:00:00"/>
        <d v="2024-11-24T00:00:00"/>
        <d v="2024-10-28T00:00:00"/>
        <d v="2024-06-22T00:00:00"/>
        <d v="2024-08-12T00:00:00"/>
        <d v="2024-03-16T00:00:00"/>
        <d v="2024-09-05T00:00:00"/>
        <d v="2024-06-01T00:00:00"/>
        <d v="2024-07-01T00:00:00"/>
        <d v="2024-12-29T00:00:00"/>
        <d v="2024-03-29T00:00:00"/>
        <d v="2024-12-12T00:00:00"/>
        <d v="2024-09-11T00:00:00"/>
        <d v="2024-08-07T00:00:00"/>
        <d v="2024-06-29T00:00:00"/>
        <d v="2024-06-16T00:00:00"/>
        <d v="2024-07-09T00:00:00"/>
        <d v="2024-09-21T00:00:00"/>
        <d v="2024-10-05T00:00:00"/>
        <d v="2024-09-25T00:00:00"/>
        <d v="2024-03-23T00:00:00"/>
        <d v="2024-06-11T00:00:00"/>
        <d v="2024-08-18T00:00:00"/>
        <d v="2024-07-26T00:00:00"/>
        <d v="2024-02-24T00:00:00"/>
        <d v="2024-01-29T00:00:00"/>
        <d v="2024-05-31T00:00:00"/>
        <d v="2024-03-07T00:00:00"/>
        <d v="2024-08-22T00:00:00"/>
        <d v="2024-08-05T00:00:00"/>
        <d v="2024-06-04T00:00:00"/>
        <d v="2024-08-03T00:00:00"/>
        <d v="2024-08-15T00:00:00"/>
        <d v="2024-11-22T00:00:00"/>
        <d v="2024-11-08T00:00:00"/>
        <d v="2024-09-16T00:00:00"/>
        <d v="2024-04-16T00:00:00"/>
        <d v="2024-09-02T00:00:00"/>
        <d v="2024-06-03T00:00:00"/>
        <d v="2024-04-11T00:00:00"/>
        <d v="2024-09-03T00:00:00"/>
        <d v="2024-09-07T00:00:00"/>
        <d v="2024-07-17T00:00:00"/>
        <d v="2024-06-13T00:00:00"/>
        <d v="2024-03-25T00:00:00"/>
        <d v="2024-07-23T00:00:00"/>
        <d v="2024-10-13T00:00:00"/>
        <d v="2024-09-24T00:00:00"/>
        <d v="2024-06-27T00:00:00"/>
        <d v="2024-10-07T00:00:00"/>
        <d v="2024-06-09T00:00:00"/>
        <d v="2024-02-20T00:00:00"/>
        <d v="2024-03-01T00:00:00"/>
        <d v="2024-05-23T00:00:00"/>
        <d v="2024-07-16T00:00:00"/>
        <d v="2024-10-08T00:00:00"/>
        <d v="2025-01-03T00:00:00"/>
        <d v="2024-02-26T00:00:00"/>
        <d v="2024-11-09T00:00:00"/>
        <d v="2024-05-16T00:00:00"/>
        <d v="2024-12-25T00:00:00"/>
        <d v="2024-07-08T00:00:00"/>
        <d v="2024-10-19T00:00:00"/>
        <d v="2024-05-09T00:00:00"/>
        <d v="2024-06-05T00:00:00"/>
        <d v="2024-03-18T00:00:00"/>
        <d v="2024-10-31T00:00:00"/>
        <d v="2024-12-10T00:00:00"/>
        <d v="2024-08-28T00:00:00"/>
        <d v="2024-07-07T00:00:00"/>
        <d v="2024-05-22T00:00:00"/>
        <d v="2024-05-24T00:00:00"/>
        <d v="2024-11-01T00:00:00"/>
        <d v="2024-08-14T00:00:00"/>
        <d v="2024-09-10T00:00:00"/>
        <d v="2024-10-24T00:00:00"/>
        <d v="2025-01-04T00:00:00"/>
        <d v="2024-04-17T00:00:00"/>
        <d v="2024-06-28T00:00:00"/>
        <d v="2024-02-10T00:00:00"/>
        <d v="2024-05-15T00:00:00"/>
        <d v="2024-11-03T00:00:00"/>
        <d v="2024-02-06T00:00:00"/>
        <d v="2024-09-08T00:00:00"/>
        <d v="2024-12-28T00:00:00"/>
        <d v="2024-07-22T00:00:00"/>
        <d v="2024-05-18T00:00:00"/>
        <d v="2024-10-15T00:00:00"/>
        <d v="2024-03-22T00:00:00"/>
        <d v="2024-01-13T00:00:00"/>
        <d v="2024-09-17T00:00:00"/>
        <d v="2024-10-22T00:00:00"/>
        <d v="2024-04-18T00:00:00"/>
        <d v="2024-11-11T00:00:00"/>
        <d v="2024-09-18T00:00:00"/>
        <d v="2024-07-28T00:00:00"/>
        <d v="2024-11-04T00:00:00"/>
        <d v="2024-07-06T00:00:00"/>
        <d v="2024-10-09T00:00:00"/>
        <d v="2025-01-01T00:00:00"/>
        <d v="2024-07-02T00:00:00"/>
        <d v="2024-05-12T00:00:00"/>
        <d v="2024-03-14T00:00:00"/>
        <d v="2024-01-14T00:00:00"/>
        <d v="2024-12-01T00:00:00"/>
        <d v="2024-07-03T00:00:00"/>
        <d v="2024-06-10T00:00:00"/>
        <d v="2024-03-02T00:00:00"/>
        <d v="2024-04-08T00:00:00"/>
        <d v="2024-07-24T00:00:00"/>
        <d v="2024-09-01T00:00:00"/>
        <d v="2024-08-23T00:00:00"/>
        <d v="2024-08-01T00:00:00"/>
        <d v="2024-06-30T00:00:00"/>
        <d v="2024-03-04T00:00:00"/>
        <d v="2024-07-21T00:00:00"/>
        <d v="2024-01-03T00:00:00"/>
        <d v="2024-01-16T00:00:00"/>
        <d v="2024-05-26T00:00:00"/>
        <d v="2024-01-20T00:00:00"/>
        <d v="2024-03-06T00:00:00"/>
        <d v="2024-11-19T00:00:00"/>
        <d v="2024-08-20T00:00:00"/>
        <d v="2024-04-14T00:00:00"/>
        <d v="2024-10-16T00:00:00"/>
        <d v="2024-11-07T00:00:00"/>
        <d v="2024-11-02T00:00:00"/>
        <d v="2024-09-23T00:00:00"/>
        <d v="2024-12-21T00:00:00"/>
        <d v="2024-02-03T00:00:00"/>
        <d v="2024-01-19T00:00:00"/>
        <d v="2024-11-20T00:00:00"/>
        <d v="2024-11-29T00:00:00"/>
        <d v="2024-05-20T00:00:00"/>
        <d v="2024-05-01T00:00:00"/>
        <d v="2024-11-30T00:00:00"/>
        <d v="2024-12-14T00:00:00"/>
        <d v="2024-11-17T00:00:00"/>
        <d v="2024-01-11T00:00:00"/>
        <d v="2024-07-13T00:00:00"/>
        <d v="2024-06-14T00:00:00"/>
        <d v="2024-01-07T00:00:00"/>
        <d v="2024-04-24T00:00:00"/>
        <d v="2024-10-23T00:00:00"/>
        <d v="2024-11-26T00:00:00"/>
        <d v="2024-09-15T00:00:00"/>
        <d v="2024-04-21T00:00:00"/>
        <d v="2024-04-10T00:00:00"/>
        <d v="2024-05-30T00:00:00"/>
        <d v="2024-12-19T00:00:00"/>
        <d v="2024-08-19T00:00:00"/>
        <d v="2024-08-16T00:00:00"/>
        <d v="2024-07-11T00:00:00"/>
        <d v="2024-03-21T00:00:00"/>
        <d v="2024-05-10T00:00:00"/>
        <d v="2024-07-05T00:00:00"/>
        <d v="2024-11-25T00:00:00"/>
        <d v="2024-01-30T00:00:00"/>
        <d v="2024-02-17T00:00:00"/>
        <d v="2024-03-17T00:00:00"/>
        <d v="2024-11-28T00:00:00"/>
        <d v="2024-04-13T00:00:00"/>
        <d v="2024-08-25T00:00:00"/>
        <d v="2024-03-08T00:00:00"/>
        <d v="2024-10-03T00:00:00"/>
        <d v="2024-12-03T00:00:00"/>
        <d v="2024-07-14T00:00:00"/>
        <d v="2024-12-05T00:00:00"/>
        <d v="2024-01-09T00:00:00"/>
        <d v="2024-05-14T00:00:00"/>
        <d v="2024-01-23T00:00:00"/>
        <d v="2024-09-20T00:00:00"/>
        <d v="2024-04-28T00:00:00"/>
        <d v="2024-01-27T00:00:00"/>
        <d v="2024-03-31T00:00:00"/>
        <d v="2024-01-24T00:00:00"/>
        <d v="2024-06-07T00:00:00"/>
        <d v="2024-05-27T00:00:00"/>
        <d v="2024-10-04T00:00:00"/>
        <d v="2024-05-02T00:00:00"/>
        <d v="2024-06-19T00:00:00"/>
        <d v="2024-07-15T00:00:00"/>
        <d v="2024-06-23T00:00:00"/>
        <d v="2024-09-27T00:00:00"/>
        <d v="2024-04-19T00:00:00"/>
        <d v="2024-02-14T00:00:00"/>
        <d v="2024-01-28T00:00:00"/>
        <d v="2024-01-17T00:00:00"/>
        <d v="2025-01-07T00:00:00"/>
        <d v="2024-02-25T00:00:00"/>
        <d v="2024-05-11T00:00:00"/>
        <d v="2024-06-17T00:00:00"/>
        <d v="2024-12-27T00:00:00"/>
        <d v="2024-06-25T00:00:00"/>
        <d v="2024-05-06T00:00:00"/>
        <d v="2024-12-02T00:00:00"/>
        <d v="2024-11-14T00:00:00"/>
        <d v="2024-02-29T00:00:00"/>
        <d v="2024-10-27T00:00:00"/>
        <d v="2024-11-15T00:00:00"/>
        <d v="2024-12-07T00:00:00"/>
        <d v="2024-06-02T00:00:00"/>
        <d v="2024-04-20T00:00:00"/>
        <d v="2024-06-18T00:00:00"/>
        <d v="2024-05-28T00:00:00"/>
        <d v="2024-03-12T00:00:00"/>
        <d v="2024-09-12T00:00:00"/>
        <d v="2024-08-13T00:00:00"/>
        <d v="2024-03-09T00:00:00"/>
        <d v="2024-02-15T00:00:00"/>
        <d v="2024-11-23T00:00:00"/>
        <d v="2024-05-17T00:00:00"/>
        <d v="2024-03-15T00:00:00"/>
        <d v="2024-01-25T00:00:00"/>
        <d v="2024-09-06T00:00:00"/>
        <d v="2024-10-20T00:00:00"/>
        <d v="2024-12-20T00:00:00"/>
        <d v="2024-10-18T00:00:00"/>
        <d v="2024-10-25T00:00:00"/>
        <d v="2024-02-27T00:00:00"/>
        <d v="2024-04-01T00:00:00"/>
        <d v="2024-07-19T00:00:00"/>
        <d v="2024-04-07T00:00:00"/>
        <d v="2024-02-08T00:00:00"/>
        <d v="2024-09-22T00:00:00"/>
        <d v="2024-08-09T00:00:00"/>
        <d v="2024-04-27T00:00:00"/>
        <d v="2024-01-18T00:00:00"/>
        <d v="2024-09-04T00:00:00"/>
        <d v="2024-08-02T00:00:00"/>
        <d v="2024-02-21T00:00:00"/>
        <d v="2024-07-18T00:00:00"/>
        <d v="2024-12-26T00:00:00"/>
        <d v="2024-11-05T00:00:00"/>
        <d v="2024-04-04T00:00:00"/>
        <d v="2024-12-23T00:00:00"/>
        <d v="2024-05-19T00:00:00"/>
        <d v="2024-01-31T00:00:00"/>
        <d v="2024-05-21T00:00:00"/>
        <d v="2024-11-27T00:00:00"/>
        <d v="2024-02-16T00:00:00"/>
        <d v="2024-11-21T00:00:00"/>
        <d v="2024-06-20T00:00:00"/>
        <d v="2024-08-10T00:00:00"/>
        <d v="2024-12-15T00:00:00"/>
        <d v="2024-11-13T00:00:00"/>
        <d v="2024-03-03T00:00:00"/>
        <d v="2024-05-25T00:00:00"/>
        <d v="2024-07-25T00:00:00"/>
        <d v="2024-08-17T00:00:00"/>
        <d v="2024-05-13T00:00:00"/>
        <d v="2024-07-27T00:00:00"/>
        <d v="2024-12-18T00:00:00"/>
        <d v="2024-05-08T00:00:00"/>
        <d v="2024-11-16T00:00:00"/>
        <d v="2024-10-10T00:00:00"/>
        <d v="2024-02-07T00:00:00"/>
        <d v="2024-08-29T00:00:00"/>
        <d v="2024-12-16T00:00:00"/>
        <d v="2024-03-19T00:00:00"/>
        <d v="2024-10-12T00:00:00"/>
        <d v="2024-09-29T00:00:00"/>
        <d v="2024-06-15T00:00:00"/>
        <d v="2024-03-30T00:00:00"/>
        <d v="2024-04-02T00:00:00"/>
        <d v="2024-08-27T00:00:00"/>
        <d v="2024-09-30T00:00:00"/>
        <d v="2024-03-26T00:00:00"/>
        <d v="2024-06-08T00:00:00"/>
        <d v="2024-08-11T00:00:00"/>
        <d v="2024-10-02T00:00:00"/>
        <d v="2024-02-01T00:00:00"/>
        <d v="2024-01-05T00:00:00"/>
        <d v="2024-08-21T00:00:00"/>
        <d v="2024-08-08T00:00:00"/>
        <d v="2024-11-10T00:00:00"/>
        <d v="2025-01-06T00:00:00"/>
        <d v="2024-02-11T00:00:00"/>
        <d v="2024-10-21T00:00:00"/>
        <d v="2024-09-28T00:00:00"/>
        <d v="2024-04-09T00:00:00"/>
        <d v="2025-01-05T00:00:00"/>
        <d v="2024-11-18T00:00:00"/>
        <d v="2024-12-13T00:00:00"/>
        <d v="2024-10-26T00:00:00"/>
        <d v="2024-01-15T00:00:00"/>
        <d v="2024-03-11T00:00:00"/>
        <d v="2024-04-29T00:00:00"/>
        <d v="2024-01-22T00:00:00"/>
        <d v="2024-09-26T00:00:00"/>
        <d v="2024-03-27T00:00:00"/>
        <d v="2024-07-20T00:00:00"/>
        <d v="2024-10-11T00:00:00"/>
        <d v="2024-08-04T00:00:00"/>
        <d v="2024-12-11T00:00:00"/>
        <d v="2024-10-06T00:00:00"/>
        <d v="2024-01-21T00:00:00"/>
        <d v="2024-10-30T00:00:00"/>
        <d v="2024-02-23T00:00:00"/>
        <d v="2024-09-14T00:00:00"/>
        <d v="2024-07-12T00:00:00"/>
        <d v="2024-04-23T00:00:00"/>
        <d v="2024-02-09T00:00:00"/>
        <d v="2024-11-12T00:00:00"/>
        <d v="2024-02-12T00:00:00"/>
        <d v="2024-12-09T00:00:00"/>
        <d v="2024-10-01T00:00:00"/>
        <d v="2024-12-30T00:00:00"/>
        <d v="2024-04-25T00:00:00"/>
        <d v="2024-01-26T00:00:00"/>
        <d v="2024-06-21T00:00:00"/>
        <d v="2024-05-03T00:00:00"/>
        <d v="2024-09-09T00:00:00"/>
        <d v="2024-07-04T00:00:00"/>
        <d v="2024-12-31T00:00:00"/>
        <d v="2024-05-05T00:00:00"/>
        <d v="2024-09-13T00:00:00"/>
        <d v="2025-01-02T00:00:00"/>
        <d v="2024-02-28T00:00:00"/>
        <d v="2024-05-04T00:00:00"/>
        <d v="2024-08-30T00:00:00"/>
        <d v="2024-05-07T00:00:00"/>
        <d v="2024-03-24T00:00:00"/>
        <d v="2024-04-30T00:00:00"/>
        <d v="2024-02-05T00:00:00"/>
        <d v="2024-04-22T00:00:00"/>
        <d v="2024-02-22T00:00:00"/>
        <d v="2024-06-26T00:00:00"/>
        <d v="2024-10-29T00:00:00"/>
        <d v="2024-03-10T00:00:00"/>
        <d v="2024-08-06T00:00:00"/>
        <d v="2024-01-08T00:00:00"/>
        <d v="2024-08-26T00:00:00"/>
        <d v="2024-06-24T00:00:00"/>
        <d v="2024-04-06T00:00:00"/>
        <d v="2024-12-17T00:00:00"/>
        <d v="2024-12-24T00:00:00"/>
        <d v="2024-02-04T00:00:00"/>
        <d v="2024-07-30T00:00:00"/>
        <d v="2024-04-26T00:00:00"/>
        <d v="2024-04-15T00:00:00"/>
        <d v="2024-10-17T00:00:00"/>
        <d v="2024-08-31T00:00:00"/>
        <d v="2024-12-22T00:00:00"/>
        <d v="2024-11-06T00:00:00"/>
        <d v="2024-02-19T00:00:00"/>
        <d v="2024-08-24T00:00:00"/>
        <d v="2024-06-06T00:00:00"/>
        <d v="2024-05-29T00:00:00"/>
        <d v="2024-03-28T00:00:00"/>
        <d v="2024-12-04T00:00:00"/>
        <d v="2024-04-05T00:00:00"/>
        <d v="2025-01-08T00:00:00"/>
        <d v="2024-01-10T00:00:00"/>
      </sharedItems>
      <fieldGroup par="18"/>
    </cacheField>
    <cacheField name="Shipping days" numFmtId="0">
      <sharedItems containsSemiMixedTypes="0" containsString="0" containsNumber="1" containsInteger="1" minValue="1" maxValue="10"/>
    </cacheField>
    <cacheField name="Quantity" numFmtId="0">
      <sharedItems containsSemiMixedTypes="0" containsString="0" containsNumber="1" containsInteger="1" minValue="1" maxValue="100"/>
    </cacheField>
    <cacheField name="Status" numFmtId="0">
      <sharedItems count="4">
        <s v="Pending"/>
        <s v="Returned"/>
        <s v="Shipped"/>
        <s v="Cancelled"/>
      </sharedItems>
    </cacheField>
    <cacheField name="products.Category" numFmtId="0">
      <sharedItems count="5">
        <s v="Industrial"/>
        <s v="Apparel"/>
        <s v="Furniture"/>
        <s v="Automotive"/>
        <s v="Electronics"/>
      </sharedItems>
    </cacheField>
    <cacheField name="products.Unit_Weight" numFmtId="0">
      <sharedItems containsSemiMixedTypes="0" containsString="0" containsNumber="1" minValue="2.2799999999999998" maxValue="49.85"/>
    </cacheField>
    <cacheField name="products.Base_Price" numFmtId="164">
      <sharedItems containsSemiMixedTypes="0" containsString="0" containsNumber="1" minValue="13.34" maxValue="987.99"/>
    </cacheField>
    <cacheField name="Total Order Value" numFmtId="164">
      <sharedItems containsSemiMixedTypes="0" containsString="0" containsNumber="1" minValue="40.43" maxValue="86457"/>
    </cacheField>
    <cacheField name="centers.City" numFmtId="0">
      <sharedItems count="8">
        <s v="Lucknow"/>
        <s v="Jaipur"/>
        <s v="Delhi"/>
        <s v="Bangalore"/>
        <s v="Pune"/>
        <s v="Mumbai"/>
        <s v="Hyderabad"/>
        <s v="Ahmedabad"/>
      </sharedItems>
    </cacheField>
    <cacheField name="centers.Zone" numFmtId="0">
      <sharedItems count="4">
        <s v="North"/>
        <s v="West"/>
        <s v="South"/>
        <s v="East"/>
      </sharedItems>
    </cacheField>
    <cacheField name="centers.Capacity_Status" numFmtId="0">
      <sharedItems count="3">
        <s v="Near Capacity"/>
        <s v="Full"/>
        <s v="Under Capacity"/>
      </sharedItems>
    </cacheField>
    <cacheField name="Months (Ship_Date)" numFmtId="0" databaseField="0">
      <fieldGroup base="5">
        <rangePr groupBy="months" startDate="2024-01-03T00:00:00" endDate="2025-01-09T00:00:00"/>
        <groupItems count="14">
          <s v="&lt;03-01-2024"/>
          <s v="Jan"/>
          <s v="Feb"/>
          <s v="Mar"/>
          <s v="Apr"/>
          <s v="May"/>
          <s v="Jun"/>
          <s v="Jul"/>
          <s v="Aug"/>
          <s v="Sep"/>
          <s v="Oct"/>
          <s v="Nov"/>
          <s v="Dec"/>
          <s v="&gt;09-01-2025"/>
        </groupItems>
      </fieldGroup>
    </cacheField>
    <cacheField name="Quarters (Ship_Date)" numFmtId="0" databaseField="0">
      <fieldGroup base="5">
        <rangePr groupBy="quarters" startDate="2024-01-03T00:00:00" endDate="2025-01-09T00:00:00"/>
        <groupItems count="6">
          <s v="&lt;03-01-2024"/>
          <s v="Qtr1"/>
          <s v="Qtr2"/>
          <s v="Qtr3"/>
          <s v="Qtr4"/>
          <s v="&gt;09-01-2025"/>
        </groupItems>
      </fieldGroup>
    </cacheField>
    <cacheField name="Years (Ship_Date)" numFmtId="0" databaseField="0">
      <fieldGroup base="5">
        <rangePr groupBy="years" startDate="2024-01-03T00:00:00" endDate="2025-01-09T00:00:00"/>
        <groupItems count="4">
          <s v="&lt;03-01-2024"/>
          <s v="2024"/>
          <s v="2025"/>
          <s v="&gt;09-01-2025"/>
        </groupItems>
      </fieldGroup>
    </cacheField>
    <cacheField name="Days (Order_Date)" numFmtId="0" databaseField="0">
      <fieldGroup base="4">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_Date)" numFmtId="0" databaseField="0">
      <fieldGroup base="4">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83060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n v="642"/>
    <n v="2013"/>
    <x v="0"/>
    <x v="0"/>
    <x v="0"/>
    <n v="8"/>
    <n v="5"/>
    <x v="0"/>
    <x v="0"/>
    <n v="19.53"/>
    <n v="563.69000000000005"/>
    <n v="2818.4500000000003"/>
    <x v="0"/>
    <x v="0"/>
    <x v="0"/>
  </r>
  <r>
    <n v="10028"/>
    <n v="861"/>
    <n v="2013"/>
    <x v="1"/>
    <x v="1"/>
    <x v="1"/>
    <n v="10"/>
    <n v="37"/>
    <x v="1"/>
    <x v="0"/>
    <n v="19.53"/>
    <n v="563.69000000000005"/>
    <n v="20856.530000000002"/>
    <x v="1"/>
    <x v="0"/>
    <x v="1"/>
  </r>
  <r>
    <n v="10024"/>
    <n v="525"/>
    <n v="2004"/>
    <x v="1"/>
    <x v="2"/>
    <x v="2"/>
    <n v="7"/>
    <n v="65"/>
    <x v="1"/>
    <x v="1"/>
    <n v="4.34"/>
    <n v="52.14"/>
    <n v="3389.1"/>
    <x v="1"/>
    <x v="0"/>
    <x v="1"/>
  </r>
  <r>
    <n v="10062"/>
    <n v="647"/>
    <n v="2001"/>
    <x v="2"/>
    <x v="3"/>
    <x v="3"/>
    <n v="6"/>
    <n v="6"/>
    <x v="0"/>
    <x v="1"/>
    <n v="49.85"/>
    <n v="471.41"/>
    <n v="2828.46"/>
    <x v="2"/>
    <x v="1"/>
    <x v="2"/>
  </r>
  <r>
    <n v="10019"/>
    <n v="562"/>
    <n v="2006"/>
    <x v="3"/>
    <x v="4"/>
    <x v="4"/>
    <n v="4"/>
    <n v="55"/>
    <x v="1"/>
    <x v="2"/>
    <n v="41.47"/>
    <n v="541.85"/>
    <n v="29801.75"/>
    <x v="2"/>
    <x v="2"/>
    <x v="2"/>
  </r>
  <r>
    <n v="10002"/>
    <n v="881"/>
    <n v="2004"/>
    <x v="4"/>
    <x v="5"/>
    <x v="5"/>
    <n v="6"/>
    <n v="5"/>
    <x v="2"/>
    <x v="1"/>
    <n v="4.34"/>
    <n v="52.14"/>
    <n v="260.7"/>
    <x v="1"/>
    <x v="2"/>
    <x v="0"/>
  </r>
  <r>
    <n v="10074"/>
    <n v="809"/>
    <n v="2057"/>
    <x v="4"/>
    <x v="6"/>
    <x v="6"/>
    <n v="3"/>
    <n v="93"/>
    <x v="0"/>
    <x v="2"/>
    <n v="34.299999999999997"/>
    <n v="40.43"/>
    <n v="3759.99"/>
    <x v="1"/>
    <x v="2"/>
    <x v="0"/>
  </r>
  <r>
    <n v="10006"/>
    <n v="502"/>
    <n v="2018"/>
    <x v="4"/>
    <x v="7"/>
    <x v="7"/>
    <n v="6"/>
    <n v="96"/>
    <x v="1"/>
    <x v="3"/>
    <n v="16.739999999999998"/>
    <n v="103.05"/>
    <n v="9892.7999999999993"/>
    <x v="1"/>
    <x v="2"/>
    <x v="0"/>
  </r>
  <r>
    <n v="10041"/>
    <n v="539"/>
    <n v="2004"/>
    <x v="5"/>
    <x v="8"/>
    <x v="8"/>
    <n v="2"/>
    <n v="89"/>
    <x v="0"/>
    <x v="1"/>
    <n v="4.34"/>
    <n v="52.14"/>
    <n v="4640.46"/>
    <x v="0"/>
    <x v="2"/>
    <x v="1"/>
  </r>
  <r>
    <n v="10058"/>
    <n v="711"/>
    <n v="2004"/>
    <x v="6"/>
    <x v="9"/>
    <x v="9"/>
    <n v="7"/>
    <n v="13"/>
    <x v="0"/>
    <x v="1"/>
    <n v="4.34"/>
    <n v="52.14"/>
    <n v="677.82"/>
    <x v="3"/>
    <x v="1"/>
    <x v="0"/>
  </r>
  <r>
    <n v="10003"/>
    <n v="639"/>
    <n v="2019"/>
    <x v="7"/>
    <x v="10"/>
    <x v="10"/>
    <n v="5"/>
    <n v="95"/>
    <x v="1"/>
    <x v="2"/>
    <n v="27.65"/>
    <n v="89.85"/>
    <n v="8535.75"/>
    <x v="4"/>
    <x v="3"/>
    <x v="0"/>
  </r>
  <r>
    <n v="10005"/>
    <n v="797"/>
    <n v="2057"/>
    <x v="7"/>
    <x v="11"/>
    <x v="11"/>
    <n v="5"/>
    <n v="20"/>
    <x v="2"/>
    <x v="2"/>
    <n v="34.299999999999997"/>
    <n v="40.43"/>
    <n v="808.6"/>
    <x v="4"/>
    <x v="3"/>
    <x v="0"/>
  </r>
  <r>
    <n v="10004"/>
    <n v="517"/>
    <n v="2007"/>
    <x v="8"/>
    <x v="12"/>
    <x v="12"/>
    <n v="10"/>
    <n v="52"/>
    <x v="2"/>
    <x v="3"/>
    <n v="48.07"/>
    <n v="759.78"/>
    <n v="39508.559999999998"/>
    <x v="2"/>
    <x v="2"/>
    <x v="1"/>
  </r>
  <r>
    <n v="10032"/>
    <n v="566"/>
    <n v="2057"/>
    <x v="9"/>
    <x v="13"/>
    <x v="13"/>
    <n v="2"/>
    <n v="33"/>
    <x v="0"/>
    <x v="2"/>
    <n v="34.299999999999997"/>
    <n v="40.43"/>
    <n v="1334.19"/>
    <x v="3"/>
    <x v="1"/>
    <x v="2"/>
  </r>
  <r>
    <n v="10081"/>
    <n v="896"/>
    <n v="2006"/>
    <x v="9"/>
    <x v="14"/>
    <x v="14"/>
    <n v="2"/>
    <n v="55"/>
    <x v="3"/>
    <x v="2"/>
    <n v="41.47"/>
    <n v="541.85"/>
    <n v="29801.75"/>
    <x v="3"/>
    <x v="1"/>
    <x v="2"/>
  </r>
  <r>
    <n v="10056"/>
    <n v="604"/>
    <n v="2007"/>
    <x v="10"/>
    <x v="15"/>
    <x v="15"/>
    <n v="10"/>
    <n v="94"/>
    <x v="3"/>
    <x v="3"/>
    <n v="48.07"/>
    <n v="759.78"/>
    <n v="71419.319999999992"/>
    <x v="0"/>
    <x v="2"/>
    <x v="0"/>
  </r>
  <r>
    <n v="10060"/>
    <n v="581"/>
    <n v="2018"/>
    <x v="10"/>
    <x v="16"/>
    <x v="16"/>
    <n v="8"/>
    <n v="85"/>
    <x v="0"/>
    <x v="3"/>
    <n v="16.739999999999998"/>
    <n v="103.05"/>
    <n v="8759.25"/>
    <x v="0"/>
    <x v="2"/>
    <x v="0"/>
  </r>
  <r>
    <n v="10007"/>
    <n v="614"/>
    <n v="2090"/>
    <x v="10"/>
    <x v="17"/>
    <x v="17"/>
    <n v="9"/>
    <n v="46"/>
    <x v="2"/>
    <x v="2"/>
    <n v="38.729999999999997"/>
    <n v="913.68"/>
    <n v="42029.279999999999"/>
    <x v="0"/>
    <x v="2"/>
    <x v="0"/>
  </r>
  <r>
    <n v="10075"/>
    <n v="576"/>
    <n v="2007"/>
    <x v="11"/>
    <x v="18"/>
    <x v="18"/>
    <n v="7"/>
    <n v="62"/>
    <x v="0"/>
    <x v="3"/>
    <n v="48.07"/>
    <n v="759.78"/>
    <n v="47106.36"/>
    <x v="2"/>
    <x v="1"/>
    <x v="1"/>
  </r>
  <r>
    <n v="10008"/>
    <n v="895"/>
    <n v="2084"/>
    <x v="12"/>
    <x v="19"/>
    <x v="19"/>
    <n v="6"/>
    <n v="5"/>
    <x v="0"/>
    <x v="3"/>
    <n v="14.27"/>
    <n v="223.58"/>
    <n v="1117.9000000000001"/>
    <x v="5"/>
    <x v="2"/>
    <x v="1"/>
  </r>
  <r>
    <n v="10063"/>
    <n v="653"/>
    <n v="2057"/>
    <x v="13"/>
    <x v="1"/>
    <x v="20"/>
    <n v="2"/>
    <n v="35"/>
    <x v="0"/>
    <x v="2"/>
    <n v="34.299999999999997"/>
    <n v="40.43"/>
    <n v="1415.05"/>
    <x v="1"/>
    <x v="1"/>
    <x v="0"/>
  </r>
  <r>
    <n v="10092"/>
    <n v="803"/>
    <n v="2084"/>
    <x v="12"/>
    <x v="20"/>
    <x v="21"/>
    <n v="7"/>
    <n v="41"/>
    <x v="1"/>
    <x v="3"/>
    <n v="14.27"/>
    <n v="223.58"/>
    <n v="9166.7800000000007"/>
    <x v="5"/>
    <x v="2"/>
    <x v="1"/>
  </r>
  <r>
    <n v="10086"/>
    <n v="856"/>
    <n v="2045"/>
    <x v="4"/>
    <x v="21"/>
    <x v="22"/>
    <n v="2"/>
    <n v="57"/>
    <x v="2"/>
    <x v="1"/>
    <n v="41.3"/>
    <n v="652.61"/>
    <n v="37198.770000000004"/>
    <x v="1"/>
    <x v="2"/>
    <x v="0"/>
  </r>
  <r>
    <n v="10009"/>
    <n v="843"/>
    <n v="2060"/>
    <x v="10"/>
    <x v="22"/>
    <x v="23"/>
    <n v="6"/>
    <n v="35"/>
    <x v="2"/>
    <x v="3"/>
    <n v="3.65"/>
    <n v="173.1"/>
    <n v="6058.5"/>
    <x v="0"/>
    <x v="2"/>
    <x v="0"/>
  </r>
  <r>
    <n v="10057"/>
    <n v="741"/>
    <n v="2060"/>
    <x v="14"/>
    <x v="23"/>
    <x v="24"/>
    <n v="7"/>
    <n v="4"/>
    <x v="0"/>
    <x v="3"/>
    <n v="3.65"/>
    <n v="173.1"/>
    <n v="692.4"/>
    <x v="6"/>
    <x v="2"/>
    <x v="1"/>
  </r>
  <r>
    <n v="10010"/>
    <n v="527"/>
    <n v="2088"/>
    <x v="0"/>
    <x v="24"/>
    <x v="25"/>
    <n v="5"/>
    <n v="70"/>
    <x v="1"/>
    <x v="0"/>
    <n v="27.71"/>
    <n v="820.21"/>
    <n v="57414.700000000004"/>
    <x v="0"/>
    <x v="0"/>
    <x v="0"/>
  </r>
  <r>
    <n v="10048"/>
    <n v="582"/>
    <n v="2010"/>
    <x v="0"/>
    <x v="25"/>
    <x v="19"/>
    <n v="7"/>
    <n v="61"/>
    <x v="0"/>
    <x v="0"/>
    <n v="9.58"/>
    <n v="440.93"/>
    <n v="26896.73"/>
    <x v="0"/>
    <x v="0"/>
    <x v="0"/>
  </r>
  <r>
    <n v="10011"/>
    <n v="779"/>
    <n v="2048"/>
    <x v="4"/>
    <x v="26"/>
    <x v="26"/>
    <n v="5"/>
    <n v="87"/>
    <x v="0"/>
    <x v="2"/>
    <n v="6.74"/>
    <n v="864.57"/>
    <n v="75217.590000000011"/>
    <x v="1"/>
    <x v="2"/>
    <x v="0"/>
  </r>
  <r>
    <n v="10101"/>
    <n v="789"/>
    <n v="2048"/>
    <x v="15"/>
    <x v="27"/>
    <x v="27"/>
    <n v="3"/>
    <n v="97"/>
    <x v="1"/>
    <x v="2"/>
    <n v="6.74"/>
    <n v="864.57"/>
    <n v="83863.290000000008"/>
    <x v="2"/>
    <x v="1"/>
    <x v="0"/>
  </r>
  <r>
    <n v="10012"/>
    <n v="767"/>
    <n v="2070"/>
    <x v="10"/>
    <x v="28"/>
    <x v="28"/>
    <n v="7"/>
    <n v="78"/>
    <x v="0"/>
    <x v="2"/>
    <n v="22.6"/>
    <n v="196.67"/>
    <n v="15340.259999999998"/>
    <x v="0"/>
    <x v="2"/>
    <x v="0"/>
  </r>
  <r>
    <n v="10045"/>
    <n v="878"/>
    <n v="2070"/>
    <x v="10"/>
    <x v="29"/>
    <x v="29"/>
    <n v="9"/>
    <n v="71"/>
    <x v="2"/>
    <x v="2"/>
    <n v="22.6"/>
    <n v="196.67"/>
    <n v="13963.57"/>
    <x v="0"/>
    <x v="2"/>
    <x v="0"/>
  </r>
  <r>
    <n v="10064"/>
    <n v="507"/>
    <n v="2070"/>
    <x v="4"/>
    <x v="30"/>
    <x v="30"/>
    <n v="2"/>
    <n v="76"/>
    <x v="0"/>
    <x v="2"/>
    <n v="22.6"/>
    <n v="196.67"/>
    <n v="14946.919999999998"/>
    <x v="1"/>
    <x v="2"/>
    <x v="0"/>
  </r>
  <r>
    <n v="10021"/>
    <n v="689"/>
    <n v="2012"/>
    <x v="9"/>
    <x v="31"/>
    <x v="31"/>
    <n v="1"/>
    <n v="19"/>
    <x v="3"/>
    <x v="3"/>
    <n v="34.93"/>
    <n v="327.92"/>
    <n v="6230.4800000000005"/>
    <x v="3"/>
    <x v="1"/>
    <x v="2"/>
  </r>
  <r>
    <n v="10091"/>
    <n v="773"/>
    <n v="2012"/>
    <x v="1"/>
    <x v="32"/>
    <x v="32"/>
    <n v="2"/>
    <n v="71"/>
    <x v="0"/>
    <x v="3"/>
    <n v="34.93"/>
    <n v="327.92"/>
    <n v="23282.32"/>
    <x v="1"/>
    <x v="0"/>
    <x v="1"/>
  </r>
  <r>
    <n v="10013"/>
    <n v="516"/>
    <n v="2023"/>
    <x v="15"/>
    <x v="33"/>
    <x v="33"/>
    <n v="1"/>
    <n v="15"/>
    <x v="0"/>
    <x v="0"/>
    <n v="39.520000000000003"/>
    <n v="618.29999999999995"/>
    <n v="9274.5"/>
    <x v="2"/>
    <x v="1"/>
    <x v="0"/>
  </r>
  <r>
    <n v="10014"/>
    <n v="815"/>
    <n v="2036"/>
    <x v="1"/>
    <x v="34"/>
    <x v="34"/>
    <n v="1"/>
    <n v="56"/>
    <x v="0"/>
    <x v="2"/>
    <n v="39.39"/>
    <n v="745.86"/>
    <n v="41768.160000000003"/>
    <x v="1"/>
    <x v="0"/>
    <x v="1"/>
  </r>
  <r>
    <n v="10015"/>
    <n v="568"/>
    <n v="2046"/>
    <x v="7"/>
    <x v="35"/>
    <x v="35"/>
    <n v="7"/>
    <n v="93"/>
    <x v="1"/>
    <x v="4"/>
    <n v="38.130000000000003"/>
    <n v="649.34"/>
    <n v="60388.62"/>
    <x v="4"/>
    <x v="3"/>
    <x v="0"/>
  </r>
  <r>
    <n v="10054"/>
    <n v="778"/>
    <n v="2046"/>
    <x v="14"/>
    <x v="36"/>
    <x v="36"/>
    <n v="8"/>
    <n v="17"/>
    <x v="3"/>
    <x v="4"/>
    <n v="38.130000000000003"/>
    <n v="649.34"/>
    <n v="11038.78"/>
    <x v="6"/>
    <x v="2"/>
    <x v="1"/>
  </r>
  <r>
    <n v="10088"/>
    <n v="731"/>
    <n v="2015"/>
    <x v="4"/>
    <x v="37"/>
    <x v="37"/>
    <n v="7"/>
    <n v="53"/>
    <x v="2"/>
    <x v="0"/>
    <n v="35.520000000000003"/>
    <n v="638.11"/>
    <n v="33819.83"/>
    <x v="1"/>
    <x v="2"/>
    <x v="0"/>
  </r>
  <r>
    <n v="10016"/>
    <n v="883"/>
    <n v="2005"/>
    <x v="0"/>
    <x v="38"/>
    <x v="10"/>
    <n v="2"/>
    <n v="47"/>
    <x v="2"/>
    <x v="1"/>
    <n v="13.6"/>
    <n v="606.04999999999995"/>
    <n v="28484.35"/>
    <x v="0"/>
    <x v="0"/>
    <x v="0"/>
  </r>
  <r>
    <n v="10051"/>
    <n v="601"/>
    <n v="2016"/>
    <x v="8"/>
    <x v="39"/>
    <x v="38"/>
    <n v="10"/>
    <n v="79"/>
    <x v="0"/>
    <x v="0"/>
    <n v="12.52"/>
    <n v="709.8"/>
    <n v="56074.2"/>
    <x v="2"/>
    <x v="2"/>
    <x v="1"/>
  </r>
  <r>
    <n v="10017"/>
    <n v="708"/>
    <n v="2009"/>
    <x v="13"/>
    <x v="40"/>
    <x v="39"/>
    <n v="10"/>
    <n v="25"/>
    <x v="2"/>
    <x v="3"/>
    <n v="16.82"/>
    <n v="376.01"/>
    <n v="9400.25"/>
    <x v="1"/>
    <x v="1"/>
    <x v="0"/>
  </r>
  <r>
    <n v="10029"/>
    <n v="869"/>
    <n v="2009"/>
    <x v="4"/>
    <x v="41"/>
    <x v="40"/>
    <n v="6"/>
    <n v="85"/>
    <x v="3"/>
    <x v="3"/>
    <n v="16.82"/>
    <n v="376.01"/>
    <n v="31960.85"/>
    <x v="1"/>
    <x v="2"/>
    <x v="0"/>
  </r>
  <r>
    <n v="10031"/>
    <n v="824"/>
    <n v="2017"/>
    <x v="12"/>
    <x v="42"/>
    <x v="41"/>
    <n v="10"/>
    <n v="77"/>
    <x v="0"/>
    <x v="2"/>
    <n v="38.24"/>
    <n v="788.08"/>
    <n v="60682.16"/>
    <x v="5"/>
    <x v="2"/>
    <x v="1"/>
  </r>
  <r>
    <n v="10018"/>
    <n v="672"/>
    <n v="2080"/>
    <x v="16"/>
    <x v="43"/>
    <x v="42"/>
    <n v="3"/>
    <n v="12"/>
    <x v="0"/>
    <x v="1"/>
    <n v="29.56"/>
    <n v="143.84"/>
    <n v="1726.08"/>
    <x v="6"/>
    <x v="2"/>
    <x v="2"/>
  </r>
  <r>
    <n v="10080"/>
    <n v="792"/>
    <n v="2080"/>
    <x v="14"/>
    <x v="44"/>
    <x v="43"/>
    <n v="1"/>
    <n v="86"/>
    <x v="0"/>
    <x v="1"/>
    <n v="29.56"/>
    <n v="143.84"/>
    <n v="12370.24"/>
    <x v="6"/>
    <x v="2"/>
    <x v="1"/>
  </r>
  <r>
    <n v="10020"/>
    <n v="737"/>
    <n v="2091"/>
    <x v="4"/>
    <x v="45"/>
    <x v="44"/>
    <n v="10"/>
    <n v="48"/>
    <x v="1"/>
    <x v="3"/>
    <n v="10.41"/>
    <n v="271.61"/>
    <n v="13037.28"/>
    <x v="1"/>
    <x v="2"/>
    <x v="0"/>
  </r>
  <r>
    <n v="10030"/>
    <n v="839"/>
    <n v="2091"/>
    <x v="0"/>
    <x v="46"/>
    <x v="22"/>
    <n v="3"/>
    <n v="81"/>
    <x v="1"/>
    <x v="3"/>
    <n v="10.41"/>
    <n v="271.61"/>
    <n v="22000.41"/>
    <x v="0"/>
    <x v="0"/>
    <x v="0"/>
  </r>
  <r>
    <n v="10072"/>
    <n v="816"/>
    <n v="2020"/>
    <x v="7"/>
    <x v="47"/>
    <x v="45"/>
    <n v="7"/>
    <n v="64"/>
    <x v="3"/>
    <x v="4"/>
    <n v="35.94"/>
    <n v="44.04"/>
    <n v="2818.56"/>
    <x v="4"/>
    <x v="3"/>
    <x v="0"/>
  </r>
  <r>
    <n v="10084"/>
    <n v="673"/>
    <n v="2020"/>
    <x v="5"/>
    <x v="29"/>
    <x v="46"/>
    <n v="1"/>
    <n v="22"/>
    <x v="1"/>
    <x v="4"/>
    <n v="35.94"/>
    <n v="44.04"/>
    <n v="968.88"/>
    <x v="0"/>
    <x v="2"/>
    <x v="1"/>
  </r>
  <r>
    <n v="10046"/>
    <n v="597"/>
    <n v="2021"/>
    <x v="13"/>
    <x v="45"/>
    <x v="47"/>
    <n v="5"/>
    <n v="23"/>
    <x v="3"/>
    <x v="1"/>
    <n v="18.77"/>
    <n v="259.72000000000003"/>
    <n v="5973.56"/>
    <x v="1"/>
    <x v="1"/>
    <x v="0"/>
  </r>
  <r>
    <n v="10022"/>
    <n v="865"/>
    <n v="2065"/>
    <x v="13"/>
    <x v="48"/>
    <x v="48"/>
    <n v="2"/>
    <n v="29"/>
    <x v="0"/>
    <x v="0"/>
    <n v="26.94"/>
    <n v="155.15"/>
    <n v="4499.3500000000004"/>
    <x v="1"/>
    <x v="1"/>
    <x v="0"/>
  </r>
  <r>
    <n v="10023"/>
    <n v="813"/>
    <n v="2095"/>
    <x v="17"/>
    <x v="14"/>
    <x v="49"/>
    <n v="4"/>
    <n v="9"/>
    <x v="1"/>
    <x v="0"/>
    <n v="38.81"/>
    <n v="761.63"/>
    <n v="6854.67"/>
    <x v="5"/>
    <x v="1"/>
    <x v="1"/>
  </r>
  <r>
    <n v="10036"/>
    <n v="735"/>
    <n v="2095"/>
    <x v="9"/>
    <x v="49"/>
    <x v="50"/>
    <n v="1"/>
    <n v="79"/>
    <x v="0"/>
    <x v="0"/>
    <n v="38.81"/>
    <n v="761.63"/>
    <n v="60168.77"/>
    <x v="3"/>
    <x v="1"/>
    <x v="2"/>
  </r>
  <r>
    <n v="10037"/>
    <n v="575"/>
    <n v="2095"/>
    <x v="12"/>
    <x v="50"/>
    <x v="51"/>
    <n v="4"/>
    <n v="23"/>
    <x v="1"/>
    <x v="0"/>
    <n v="38.81"/>
    <n v="761.63"/>
    <n v="17517.490000000002"/>
    <x v="5"/>
    <x v="2"/>
    <x v="1"/>
  </r>
  <r>
    <n v="10066"/>
    <n v="608"/>
    <n v="2044"/>
    <x v="11"/>
    <x v="51"/>
    <x v="52"/>
    <n v="10"/>
    <n v="48"/>
    <x v="2"/>
    <x v="3"/>
    <n v="11.44"/>
    <n v="939.99"/>
    <n v="45119.520000000004"/>
    <x v="2"/>
    <x v="1"/>
    <x v="1"/>
  </r>
  <r>
    <n v="10025"/>
    <n v="829"/>
    <n v="2055"/>
    <x v="0"/>
    <x v="4"/>
    <x v="4"/>
    <n v="4"/>
    <n v="67"/>
    <x v="3"/>
    <x v="4"/>
    <n v="26.24"/>
    <n v="312.67"/>
    <n v="20948.89"/>
    <x v="0"/>
    <x v="0"/>
    <x v="0"/>
  </r>
  <r>
    <n v="10049"/>
    <n v="680"/>
    <n v="2055"/>
    <x v="16"/>
    <x v="52"/>
    <x v="53"/>
    <n v="1"/>
    <n v="59"/>
    <x v="0"/>
    <x v="4"/>
    <n v="26.24"/>
    <n v="312.67"/>
    <n v="18447.530000000002"/>
    <x v="6"/>
    <x v="2"/>
    <x v="2"/>
  </r>
  <r>
    <n v="10026"/>
    <n v="661"/>
    <n v="2066"/>
    <x v="6"/>
    <x v="53"/>
    <x v="54"/>
    <n v="9"/>
    <n v="31"/>
    <x v="1"/>
    <x v="1"/>
    <n v="43.64"/>
    <n v="832.31"/>
    <n v="25801.609999999997"/>
    <x v="3"/>
    <x v="1"/>
    <x v="0"/>
  </r>
  <r>
    <n v="10043"/>
    <n v="798"/>
    <n v="2066"/>
    <x v="15"/>
    <x v="54"/>
    <x v="15"/>
    <n v="4"/>
    <n v="30"/>
    <x v="0"/>
    <x v="1"/>
    <n v="43.64"/>
    <n v="832.31"/>
    <n v="24969.3"/>
    <x v="2"/>
    <x v="1"/>
    <x v="0"/>
  </r>
  <r>
    <n v="10027"/>
    <n v="569"/>
    <n v="2098"/>
    <x v="5"/>
    <x v="55"/>
    <x v="55"/>
    <n v="5"/>
    <n v="50"/>
    <x v="3"/>
    <x v="0"/>
    <n v="25.35"/>
    <n v="571.58000000000004"/>
    <n v="28579.000000000004"/>
    <x v="0"/>
    <x v="2"/>
    <x v="1"/>
  </r>
  <r>
    <n v="10077"/>
    <n v="705"/>
    <n v="2098"/>
    <x v="12"/>
    <x v="16"/>
    <x v="56"/>
    <n v="4"/>
    <n v="45"/>
    <x v="2"/>
    <x v="0"/>
    <n v="25.35"/>
    <n v="571.58000000000004"/>
    <n v="25721.100000000002"/>
    <x v="5"/>
    <x v="2"/>
    <x v="1"/>
  </r>
  <r>
    <n v="10095"/>
    <n v="706"/>
    <n v="2027"/>
    <x v="6"/>
    <x v="56"/>
    <x v="57"/>
    <n v="6"/>
    <n v="42"/>
    <x v="3"/>
    <x v="0"/>
    <n v="45.95"/>
    <n v="454.58"/>
    <n v="19092.36"/>
    <x v="3"/>
    <x v="1"/>
    <x v="0"/>
  </r>
  <r>
    <n v="10078"/>
    <n v="820"/>
    <n v="2028"/>
    <x v="10"/>
    <x v="0"/>
    <x v="58"/>
    <n v="5"/>
    <n v="71"/>
    <x v="1"/>
    <x v="0"/>
    <n v="30.34"/>
    <n v="630.65"/>
    <n v="44776.15"/>
    <x v="0"/>
    <x v="2"/>
    <x v="0"/>
  </r>
  <r>
    <n v="10100"/>
    <n v="736"/>
    <n v="2028"/>
    <x v="14"/>
    <x v="8"/>
    <x v="59"/>
    <n v="9"/>
    <n v="25"/>
    <x v="3"/>
    <x v="0"/>
    <n v="30.34"/>
    <n v="630.65"/>
    <n v="15766.25"/>
    <x v="6"/>
    <x v="2"/>
    <x v="1"/>
  </r>
  <r>
    <n v="10053"/>
    <n v="824"/>
    <n v="2029"/>
    <x v="16"/>
    <x v="32"/>
    <x v="60"/>
    <n v="8"/>
    <n v="49"/>
    <x v="3"/>
    <x v="3"/>
    <n v="9.19"/>
    <n v="357.06"/>
    <n v="17495.939999999999"/>
    <x v="6"/>
    <x v="2"/>
    <x v="2"/>
  </r>
  <r>
    <n v="10034"/>
    <n v="509"/>
    <n v="2030"/>
    <x v="2"/>
    <x v="57"/>
    <x v="61"/>
    <n v="5"/>
    <n v="58"/>
    <x v="1"/>
    <x v="0"/>
    <n v="27.52"/>
    <n v="537.03"/>
    <n v="31147.739999999998"/>
    <x v="2"/>
    <x v="1"/>
    <x v="2"/>
  </r>
  <r>
    <n v="10098"/>
    <n v="590"/>
    <n v="2030"/>
    <x v="5"/>
    <x v="58"/>
    <x v="62"/>
    <n v="7"/>
    <n v="85"/>
    <x v="3"/>
    <x v="0"/>
    <n v="27.52"/>
    <n v="537.03"/>
    <n v="45647.549999999996"/>
    <x v="0"/>
    <x v="2"/>
    <x v="1"/>
  </r>
  <r>
    <n v="10044"/>
    <n v="612"/>
    <n v="2031"/>
    <x v="18"/>
    <x v="59"/>
    <x v="63"/>
    <n v="6"/>
    <n v="86"/>
    <x v="0"/>
    <x v="4"/>
    <n v="24.61"/>
    <n v="342.86"/>
    <n v="29485.960000000003"/>
    <x v="0"/>
    <x v="3"/>
    <x v="0"/>
  </r>
  <r>
    <n v="10082"/>
    <n v="881"/>
    <n v="2031"/>
    <x v="16"/>
    <x v="60"/>
    <x v="64"/>
    <n v="4"/>
    <n v="3"/>
    <x v="2"/>
    <x v="4"/>
    <n v="24.61"/>
    <n v="342.86"/>
    <n v="1028.58"/>
    <x v="6"/>
    <x v="2"/>
    <x v="2"/>
  </r>
  <r>
    <n v="10033"/>
    <n v="890"/>
    <n v="2056"/>
    <x v="1"/>
    <x v="61"/>
    <x v="65"/>
    <n v="2"/>
    <n v="92"/>
    <x v="3"/>
    <x v="1"/>
    <n v="18.559999999999999"/>
    <n v="564.01"/>
    <n v="51888.92"/>
    <x v="1"/>
    <x v="0"/>
    <x v="1"/>
  </r>
  <r>
    <n v="10090"/>
    <n v="626"/>
    <n v="2056"/>
    <x v="9"/>
    <x v="62"/>
    <x v="66"/>
    <n v="6"/>
    <n v="14"/>
    <x v="0"/>
    <x v="1"/>
    <n v="18.559999999999999"/>
    <n v="564.01"/>
    <n v="7896.1399999999994"/>
    <x v="3"/>
    <x v="1"/>
    <x v="2"/>
  </r>
  <r>
    <n v="10035"/>
    <n v="562"/>
    <n v="2096"/>
    <x v="6"/>
    <x v="63"/>
    <x v="67"/>
    <n v="3"/>
    <n v="45"/>
    <x v="2"/>
    <x v="2"/>
    <n v="20.04"/>
    <n v="70.19"/>
    <n v="3158.5499999999997"/>
    <x v="3"/>
    <x v="1"/>
    <x v="0"/>
  </r>
  <r>
    <n v="10061"/>
    <n v="610"/>
    <n v="2035"/>
    <x v="12"/>
    <x v="64"/>
    <x v="68"/>
    <n v="3"/>
    <n v="45"/>
    <x v="3"/>
    <x v="4"/>
    <n v="18.55"/>
    <n v="636.37"/>
    <n v="28636.65"/>
    <x v="5"/>
    <x v="2"/>
    <x v="1"/>
  </r>
  <r>
    <n v="10099"/>
    <n v="883"/>
    <n v="2035"/>
    <x v="2"/>
    <x v="8"/>
    <x v="8"/>
    <n v="2"/>
    <n v="90"/>
    <x v="1"/>
    <x v="4"/>
    <n v="18.55"/>
    <n v="636.37"/>
    <n v="57273.3"/>
    <x v="2"/>
    <x v="1"/>
    <x v="2"/>
  </r>
  <r>
    <n v="10055"/>
    <n v="569"/>
    <n v="2037"/>
    <x v="12"/>
    <x v="2"/>
    <x v="69"/>
    <n v="5"/>
    <n v="22"/>
    <x v="3"/>
    <x v="3"/>
    <n v="29.23"/>
    <n v="491.44"/>
    <n v="10811.68"/>
    <x v="5"/>
    <x v="2"/>
    <x v="1"/>
  </r>
  <r>
    <n v="10089"/>
    <n v="522"/>
    <n v="2037"/>
    <x v="16"/>
    <x v="19"/>
    <x v="19"/>
    <n v="6"/>
    <n v="96"/>
    <x v="2"/>
    <x v="3"/>
    <n v="29.23"/>
    <n v="491.44"/>
    <n v="47178.239999999998"/>
    <x v="6"/>
    <x v="2"/>
    <x v="2"/>
  </r>
  <r>
    <n v="10038"/>
    <n v="815"/>
    <n v="2062"/>
    <x v="14"/>
    <x v="13"/>
    <x v="13"/>
    <n v="2"/>
    <n v="64"/>
    <x v="3"/>
    <x v="1"/>
    <n v="32.479999999999997"/>
    <n v="409.49"/>
    <n v="26207.360000000001"/>
    <x v="6"/>
    <x v="2"/>
    <x v="1"/>
  </r>
  <r>
    <n v="10052"/>
    <n v="624"/>
    <n v="2062"/>
    <x v="15"/>
    <x v="65"/>
    <x v="44"/>
    <n v="4"/>
    <n v="56"/>
    <x v="3"/>
    <x v="1"/>
    <n v="32.479999999999997"/>
    <n v="409.49"/>
    <n v="22931.440000000002"/>
    <x v="2"/>
    <x v="1"/>
    <x v="0"/>
  </r>
  <r>
    <n v="10039"/>
    <n v="520"/>
    <n v="2075"/>
    <x v="9"/>
    <x v="66"/>
    <x v="53"/>
    <n v="3"/>
    <n v="90"/>
    <x v="3"/>
    <x v="4"/>
    <n v="16.57"/>
    <n v="429.9"/>
    <n v="38691"/>
    <x v="3"/>
    <x v="1"/>
    <x v="2"/>
  </r>
  <r>
    <n v="10040"/>
    <n v="871"/>
    <n v="2040"/>
    <x v="10"/>
    <x v="67"/>
    <x v="70"/>
    <n v="5"/>
    <n v="94"/>
    <x v="0"/>
    <x v="4"/>
    <n v="3.71"/>
    <n v="27.53"/>
    <n v="2587.8200000000002"/>
    <x v="0"/>
    <x v="2"/>
    <x v="0"/>
  </r>
  <r>
    <n v="10071"/>
    <n v="800"/>
    <n v="2041"/>
    <x v="8"/>
    <x v="68"/>
    <x v="71"/>
    <n v="2"/>
    <n v="1"/>
    <x v="3"/>
    <x v="2"/>
    <n v="48.2"/>
    <n v="792.77"/>
    <n v="792.77"/>
    <x v="2"/>
    <x v="2"/>
    <x v="1"/>
  </r>
  <r>
    <n v="10042"/>
    <n v="519"/>
    <n v="2097"/>
    <x v="9"/>
    <x v="34"/>
    <x v="72"/>
    <n v="6"/>
    <n v="13"/>
    <x v="3"/>
    <x v="4"/>
    <n v="30.63"/>
    <n v="828.74"/>
    <n v="10773.62"/>
    <x v="3"/>
    <x v="1"/>
    <x v="2"/>
  </r>
  <r>
    <n v="10069"/>
    <n v="556"/>
    <n v="2043"/>
    <x v="0"/>
    <x v="69"/>
    <x v="73"/>
    <n v="6"/>
    <n v="26"/>
    <x v="1"/>
    <x v="4"/>
    <n v="14.98"/>
    <n v="375.85"/>
    <n v="9772.1"/>
    <x v="0"/>
    <x v="0"/>
    <x v="0"/>
  </r>
  <r>
    <n v="10094"/>
    <n v="714"/>
    <n v="2043"/>
    <x v="4"/>
    <x v="70"/>
    <x v="74"/>
    <n v="9"/>
    <n v="61"/>
    <x v="0"/>
    <x v="4"/>
    <n v="14.98"/>
    <n v="375.85"/>
    <n v="22926.850000000002"/>
    <x v="1"/>
    <x v="2"/>
    <x v="0"/>
  </r>
  <r>
    <n v="10073"/>
    <n v="736"/>
    <n v="2076"/>
    <x v="19"/>
    <x v="19"/>
    <x v="75"/>
    <n v="4"/>
    <n v="89"/>
    <x v="2"/>
    <x v="0"/>
    <n v="14.63"/>
    <n v="638.11"/>
    <n v="56791.79"/>
    <x v="7"/>
    <x v="3"/>
    <x v="1"/>
  </r>
  <r>
    <n v="10047"/>
    <n v="813"/>
    <n v="2074"/>
    <x v="2"/>
    <x v="71"/>
    <x v="76"/>
    <n v="8"/>
    <n v="98"/>
    <x v="1"/>
    <x v="0"/>
    <n v="41.45"/>
    <n v="650.42999999999995"/>
    <n v="63742.139999999992"/>
    <x v="2"/>
    <x v="1"/>
    <x v="2"/>
  </r>
  <r>
    <n v="10076"/>
    <n v="638"/>
    <n v="2047"/>
    <x v="16"/>
    <x v="72"/>
    <x v="77"/>
    <n v="9"/>
    <n v="86"/>
    <x v="1"/>
    <x v="4"/>
    <n v="31.72"/>
    <n v="210.46"/>
    <n v="18099.560000000001"/>
    <x v="6"/>
    <x v="2"/>
    <x v="2"/>
  </r>
  <r>
    <n v="10050"/>
    <n v="569"/>
    <n v="2100"/>
    <x v="0"/>
    <x v="73"/>
    <x v="78"/>
    <n v="1"/>
    <n v="32"/>
    <x v="2"/>
    <x v="4"/>
    <n v="2.2799999999999998"/>
    <n v="813.8"/>
    <n v="26041.599999999999"/>
    <x v="0"/>
    <x v="0"/>
    <x v="0"/>
  </r>
  <r>
    <n v="10083"/>
    <n v="787"/>
    <n v="2050"/>
    <x v="13"/>
    <x v="74"/>
    <x v="79"/>
    <n v="1"/>
    <n v="2"/>
    <x v="3"/>
    <x v="3"/>
    <n v="36.43"/>
    <n v="507.16"/>
    <n v="1014.32"/>
    <x v="1"/>
    <x v="1"/>
    <x v="0"/>
  </r>
  <r>
    <n v="10087"/>
    <n v="868"/>
    <n v="2050"/>
    <x v="17"/>
    <x v="38"/>
    <x v="80"/>
    <n v="6"/>
    <n v="76"/>
    <x v="2"/>
    <x v="3"/>
    <n v="36.43"/>
    <n v="507.16"/>
    <n v="38544.160000000003"/>
    <x v="5"/>
    <x v="1"/>
    <x v="1"/>
  </r>
  <r>
    <n v="10079"/>
    <n v="601"/>
    <n v="2058"/>
    <x v="15"/>
    <x v="75"/>
    <x v="53"/>
    <n v="6"/>
    <n v="57"/>
    <x v="3"/>
    <x v="4"/>
    <n v="28.48"/>
    <n v="13.34"/>
    <n v="760.38"/>
    <x v="2"/>
    <x v="1"/>
    <x v="0"/>
  </r>
  <r>
    <n v="10059"/>
    <n v="514"/>
    <n v="2071"/>
    <x v="11"/>
    <x v="76"/>
    <x v="81"/>
    <n v="4"/>
    <n v="73"/>
    <x v="3"/>
    <x v="4"/>
    <n v="47.19"/>
    <n v="711.14"/>
    <n v="51913.22"/>
    <x v="2"/>
    <x v="1"/>
    <x v="1"/>
  </r>
  <r>
    <n v="10070"/>
    <n v="735"/>
    <n v="2071"/>
    <x v="8"/>
    <x v="77"/>
    <x v="50"/>
    <n v="4"/>
    <n v="46"/>
    <x v="0"/>
    <x v="4"/>
    <n v="47.19"/>
    <n v="711.14"/>
    <n v="32712.44"/>
    <x v="2"/>
    <x v="2"/>
    <x v="1"/>
  </r>
  <r>
    <n v="10097"/>
    <n v="760"/>
    <n v="2071"/>
    <x v="16"/>
    <x v="78"/>
    <x v="82"/>
    <n v="3"/>
    <n v="70"/>
    <x v="1"/>
    <x v="4"/>
    <n v="47.19"/>
    <n v="711.14"/>
    <n v="49779.799999999996"/>
    <x v="6"/>
    <x v="2"/>
    <x v="2"/>
  </r>
  <r>
    <n v="10068"/>
    <n v="544"/>
    <n v="2059"/>
    <x v="17"/>
    <x v="79"/>
    <x v="83"/>
    <n v="8"/>
    <n v="54"/>
    <x v="1"/>
    <x v="1"/>
    <n v="17.760000000000002"/>
    <n v="279.55"/>
    <n v="15095.7"/>
    <x v="5"/>
    <x v="1"/>
    <x v="1"/>
  </r>
  <r>
    <n v="10065"/>
    <n v="834"/>
    <n v="2033"/>
    <x v="12"/>
    <x v="80"/>
    <x v="84"/>
    <n v="4"/>
    <n v="78"/>
    <x v="2"/>
    <x v="2"/>
    <n v="8.33"/>
    <n v="629.69000000000005"/>
    <n v="49115.820000000007"/>
    <x v="5"/>
    <x v="2"/>
    <x v="1"/>
  </r>
  <r>
    <n v="10067"/>
    <n v="844"/>
    <n v="2092"/>
    <x v="8"/>
    <x v="81"/>
    <x v="85"/>
    <n v="10"/>
    <n v="61"/>
    <x v="0"/>
    <x v="2"/>
    <n v="30.97"/>
    <n v="521.23"/>
    <n v="31795.030000000002"/>
    <x v="2"/>
    <x v="2"/>
    <x v="1"/>
  </r>
  <r>
    <n v="10093"/>
    <n v="716"/>
    <n v="2072"/>
    <x v="16"/>
    <x v="82"/>
    <x v="41"/>
    <n v="2"/>
    <n v="49"/>
    <x v="1"/>
    <x v="1"/>
    <n v="26.22"/>
    <n v="576.57000000000005"/>
    <n v="28251.930000000004"/>
    <x v="6"/>
    <x v="2"/>
    <x v="2"/>
  </r>
  <r>
    <n v="10096"/>
    <n v="692"/>
    <n v="2083"/>
    <x v="10"/>
    <x v="83"/>
    <x v="86"/>
    <n v="9"/>
    <n v="8"/>
    <x v="0"/>
    <x v="2"/>
    <n v="13.79"/>
    <n v="843.82"/>
    <n v="6750.56"/>
    <x v="0"/>
    <x v="2"/>
    <x v="0"/>
  </r>
  <r>
    <n v="10085"/>
    <n v="860"/>
    <n v="2094"/>
    <x v="4"/>
    <x v="84"/>
    <x v="87"/>
    <n v="1"/>
    <n v="75"/>
    <x v="0"/>
    <x v="4"/>
    <n v="22.56"/>
    <n v="393.53"/>
    <n v="29514.749999999996"/>
    <x v="1"/>
    <x v="2"/>
    <x v="0"/>
  </r>
  <r>
    <n v="10102"/>
    <n v="751"/>
    <n v="2055"/>
    <x v="10"/>
    <x v="85"/>
    <x v="88"/>
    <n v="7"/>
    <n v="50"/>
    <x v="0"/>
    <x v="4"/>
    <n v="26.24"/>
    <n v="312.67"/>
    <n v="15633.5"/>
    <x v="0"/>
    <x v="2"/>
    <x v="0"/>
  </r>
  <r>
    <n v="10103"/>
    <n v="533"/>
    <n v="2041"/>
    <x v="5"/>
    <x v="16"/>
    <x v="86"/>
    <n v="5"/>
    <n v="67"/>
    <x v="3"/>
    <x v="2"/>
    <n v="48.2"/>
    <n v="792.77"/>
    <n v="53115.59"/>
    <x v="0"/>
    <x v="2"/>
    <x v="1"/>
  </r>
  <r>
    <n v="10104"/>
    <n v="596"/>
    <n v="2011"/>
    <x v="7"/>
    <x v="86"/>
    <x v="89"/>
    <n v="9"/>
    <n v="82"/>
    <x v="3"/>
    <x v="3"/>
    <n v="12.75"/>
    <n v="987.99"/>
    <n v="81015.180000000008"/>
    <x v="4"/>
    <x v="3"/>
    <x v="0"/>
  </r>
  <r>
    <n v="10105"/>
    <n v="715"/>
    <n v="2078"/>
    <x v="3"/>
    <x v="87"/>
    <x v="90"/>
    <n v="7"/>
    <n v="40"/>
    <x v="3"/>
    <x v="3"/>
    <n v="14.85"/>
    <n v="517.03"/>
    <n v="20681.199999999997"/>
    <x v="2"/>
    <x v="2"/>
    <x v="2"/>
  </r>
  <r>
    <n v="10106"/>
    <n v="676"/>
    <n v="2049"/>
    <x v="1"/>
    <x v="1"/>
    <x v="1"/>
    <n v="10"/>
    <n v="94"/>
    <x v="3"/>
    <x v="4"/>
    <n v="17.52"/>
    <n v="832.77"/>
    <n v="78280.38"/>
    <x v="1"/>
    <x v="0"/>
    <x v="1"/>
  </r>
  <r>
    <n v="10107"/>
    <n v="542"/>
    <n v="2023"/>
    <x v="12"/>
    <x v="88"/>
    <x v="91"/>
    <n v="6"/>
    <n v="3"/>
    <x v="1"/>
    <x v="0"/>
    <n v="39.520000000000003"/>
    <n v="618.29999999999995"/>
    <n v="1854.8999999999999"/>
    <x v="5"/>
    <x v="2"/>
    <x v="1"/>
  </r>
  <r>
    <n v="10108"/>
    <n v="500"/>
    <n v="2039"/>
    <x v="1"/>
    <x v="89"/>
    <x v="65"/>
    <n v="8"/>
    <n v="69"/>
    <x v="3"/>
    <x v="4"/>
    <n v="2.69"/>
    <n v="350.51"/>
    <n v="24185.19"/>
    <x v="1"/>
    <x v="0"/>
    <x v="1"/>
  </r>
  <r>
    <n v="10109"/>
    <n v="695"/>
    <n v="2072"/>
    <x v="5"/>
    <x v="90"/>
    <x v="92"/>
    <n v="1"/>
    <n v="10"/>
    <x v="2"/>
    <x v="1"/>
    <n v="26.22"/>
    <n v="576.57000000000005"/>
    <n v="5765.7000000000007"/>
    <x v="0"/>
    <x v="2"/>
    <x v="1"/>
  </r>
  <r>
    <n v="10110"/>
    <n v="799"/>
    <n v="2099"/>
    <x v="2"/>
    <x v="91"/>
    <x v="43"/>
    <n v="3"/>
    <n v="5"/>
    <x v="1"/>
    <x v="3"/>
    <n v="31.62"/>
    <n v="652.77"/>
    <n v="3263.85"/>
    <x v="2"/>
    <x v="1"/>
    <x v="2"/>
  </r>
  <r>
    <n v="10111"/>
    <n v="849"/>
    <n v="2085"/>
    <x v="17"/>
    <x v="92"/>
    <x v="7"/>
    <n v="2"/>
    <n v="49"/>
    <x v="2"/>
    <x v="2"/>
    <n v="47.56"/>
    <n v="131.63"/>
    <n v="6449.87"/>
    <x v="5"/>
    <x v="1"/>
    <x v="1"/>
  </r>
  <r>
    <n v="10112"/>
    <n v="875"/>
    <n v="2083"/>
    <x v="16"/>
    <x v="66"/>
    <x v="93"/>
    <n v="2"/>
    <n v="41"/>
    <x v="0"/>
    <x v="2"/>
    <n v="13.79"/>
    <n v="843.82"/>
    <n v="34596.620000000003"/>
    <x v="6"/>
    <x v="2"/>
    <x v="2"/>
  </r>
  <r>
    <n v="10113"/>
    <n v="763"/>
    <n v="2080"/>
    <x v="10"/>
    <x v="93"/>
    <x v="20"/>
    <n v="6"/>
    <n v="93"/>
    <x v="1"/>
    <x v="1"/>
    <n v="29.56"/>
    <n v="143.84"/>
    <n v="13377.12"/>
    <x v="0"/>
    <x v="2"/>
    <x v="0"/>
  </r>
  <r>
    <n v="10114"/>
    <n v="813"/>
    <n v="2025"/>
    <x v="5"/>
    <x v="94"/>
    <x v="94"/>
    <n v="9"/>
    <n v="34"/>
    <x v="0"/>
    <x v="0"/>
    <n v="3.39"/>
    <n v="303.87"/>
    <n v="10331.58"/>
    <x v="0"/>
    <x v="2"/>
    <x v="1"/>
  </r>
  <r>
    <n v="10115"/>
    <n v="679"/>
    <n v="2052"/>
    <x v="4"/>
    <x v="95"/>
    <x v="95"/>
    <n v="5"/>
    <n v="10"/>
    <x v="0"/>
    <x v="4"/>
    <n v="47.35"/>
    <n v="665.2"/>
    <n v="6652"/>
    <x v="1"/>
    <x v="2"/>
    <x v="0"/>
  </r>
  <r>
    <n v="10116"/>
    <n v="740"/>
    <n v="2081"/>
    <x v="1"/>
    <x v="51"/>
    <x v="96"/>
    <n v="7"/>
    <n v="65"/>
    <x v="3"/>
    <x v="3"/>
    <n v="20.72"/>
    <n v="668.31"/>
    <n v="43440.149999999994"/>
    <x v="1"/>
    <x v="0"/>
    <x v="1"/>
  </r>
  <r>
    <n v="10117"/>
    <n v="712"/>
    <n v="2050"/>
    <x v="1"/>
    <x v="96"/>
    <x v="97"/>
    <n v="2"/>
    <n v="80"/>
    <x v="1"/>
    <x v="3"/>
    <n v="36.43"/>
    <n v="507.16"/>
    <n v="40572.800000000003"/>
    <x v="1"/>
    <x v="0"/>
    <x v="1"/>
  </r>
  <r>
    <n v="10118"/>
    <n v="602"/>
    <n v="2056"/>
    <x v="17"/>
    <x v="97"/>
    <x v="98"/>
    <n v="6"/>
    <n v="36"/>
    <x v="2"/>
    <x v="1"/>
    <n v="18.559999999999999"/>
    <n v="564.01"/>
    <n v="20304.36"/>
    <x v="5"/>
    <x v="1"/>
    <x v="1"/>
  </r>
  <r>
    <n v="10119"/>
    <n v="894"/>
    <n v="2010"/>
    <x v="11"/>
    <x v="98"/>
    <x v="99"/>
    <n v="2"/>
    <n v="59"/>
    <x v="2"/>
    <x v="0"/>
    <n v="9.58"/>
    <n v="440.93"/>
    <n v="26014.87"/>
    <x v="2"/>
    <x v="1"/>
    <x v="1"/>
  </r>
  <r>
    <n v="10120"/>
    <n v="770"/>
    <n v="2089"/>
    <x v="13"/>
    <x v="99"/>
    <x v="100"/>
    <n v="10"/>
    <n v="82"/>
    <x v="2"/>
    <x v="2"/>
    <n v="19.170000000000002"/>
    <n v="513.33000000000004"/>
    <n v="42093.060000000005"/>
    <x v="1"/>
    <x v="1"/>
    <x v="0"/>
  </r>
  <r>
    <n v="10121"/>
    <n v="601"/>
    <n v="2007"/>
    <x v="14"/>
    <x v="100"/>
    <x v="101"/>
    <n v="7"/>
    <n v="60"/>
    <x v="3"/>
    <x v="3"/>
    <n v="48.07"/>
    <n v="759.78"/>
    <n v="45586.799999999996"/>
    <x v="6"/>
    <x v="2"/>
    <x v="1"/>
  </r>
  <r>
    <n v="10122"/>
    <n v="720"/>
    <n v="2052"/>
    <x v="12"/>
    <x v="101"/>
    <x v="95"/>
    <n v="9"/>
    <n v="74"/>
    <x v="0"/>
    <x v="4"/>
    <n v="47.35"/>
    <n v="665.2"/>
    <n v="49224.800000000003"/>
    <x v="5"/>
    <x v="2"/>
    <x v="1"/>
  </r>
  <r>
    <n v="10123"/>
    <n v="713"/>
    <n v="2010"/>
    <x v="18"/>
    <x v="24"/>
    <x v="102"/>
    <n v="2"/>
    <n v="7"/>
    <x v="2"/>
    <x v="0"/>
    <n v="9.58"/>
    <n v="440.93"/>
    <n v="3086.51"/>
    <x v="0"/>
    <x v="3"/>
    <x v="0"/>
  </r>
  <r>
    <n v="10124"/>
    <n v="853"/>
    <n v="2006"/>
    <x v="18"/>
    <x v="102"/>
    <x v="103"/>
    <n v="1"/>
    <n v="71"/>
    <x v="2"/>
    <x v="2"/>
    <n v="41.47"/>
    <n v="541.85"/>
    <n v="38471.35"/>
    <x v="0"/>
    <x v="3"/>
    <x v="0"/>
  </r>
  <r>
    <n v="10125"/>
    <n v="686"/>
    <n v="2033"/>
    <x v="13"/>
    <x v="103"/>
    <x v="104"/>
    <n v="5"/>
    <n v="93"/>
    <x v="3"/>
    <x v="2"/>
    <n v="8.33"/>
    <n v="629.69000000000005"/>
    <n v="58561.170000000006"/>
    <x v="1"/>
    <x v="1"/>
    <x v="0"/>
  </r>
  <r>
    <n v="10126"/>
    <n v="506"/>
    <n v="2079"/>
    <x v="14"/>
    <x v="46"/>
    <x v="105"/>
    <n v="10"/>
    <n v="1"/>
    <x v="2"/>
    <x v="2"/>
    <n v="12.3"/>
    <n v="99.7"/>
    <n v="99.7"/>
    <x v="6"/>
    <x v="2"/>
    <x v="1"/>
  </r>
  <r>
    <n v="10127"/>
    <n v="506"/>
    <n v="2043"/>
    <x v="5"/>
    <x v="26"/>
    <x v="106"/>
    <n v="9"/>
    <n v="92"/>
    <x v="0"/>
    <x v="4"/>
    <n v="14.98"/>
    <n v="375.85"/>
    <n v="34578.200000000004"/>
    <x v="0"/>
    <x v="2"/>
    <x v="1"/>
  </r>
  <r>
    <n v="10128"/>
    <n v="703"/>
    <n v="2100"/>
    <x v="18"/>
    <x v="104"/>
    <x v="107"/>
    <n v="9"/>
    <n v="62"/>
    <x v="2"/>
    <x v="4"/>
    <n v="2.2799999999999998"/>
    <n v="813.8"/>
    <n v="50455.6"/>
    <x v="0"/>
    <x v="3"/>
    <x v="0"/>
  </r>
  <r>
    <n v="10129"/>
    <n v="603"/>
    <n v="2071"/>
    <x v="9"/>
    <x v="105"/>
    <x v="80"/>
    <n v="1"/>
    <n v="32"/>
    <x v="1"/>
    <x v="4"/>
    <n v="47.19"/>
    <n v="711.14"/>
    <n v="22756.48"/>
    <x v="3"/>
    <x v="1"/>
    <x v="2"/>
  </r>
  <r>
    <n v="10130"/>
    <n v="596"/>
    <n v="2080"/>
    <x v="8"/>
    <x v="56"/>
    <x v="57"/>
    <n v="6"/>
    <n v="8"/>
    <x v="1"/>
    <x v="1"/>
    <n v="29.56"/>
    <n v="143.84"/>
    <n v="1150.72"/>
    <x v="2"/>
    <x v="2"/>
    <x v="1"/>
  </r>
  <r>
    <n v="10131"/>
    <n v="659"/>
    <n v="2012"/>
    <x v="0"/>
    <x v="58"/>
    <x v="62"/>
    <n v="7"/>
    <n v="21"/>
    <x v="2"/>
    <x v="3"/>
    <n v="34.93"/>
    <n v="327.92"/>
    <n v="6886.3200000000006"/>
    <x v="0"/>
    <x v="0"/>
    <x v="0"/>
  </r>
  <r>
    <n v="10132"/>
    <n v="582"/>
    <n v="2054"/>
    <x v="15"/>
    <x v="46"/>
    <x v="108"/>
    <n v="6"/>
    <n v="66"/>
    <x v="2"/>
    <x v="1"/>
    <n v="5.63"/>
    <n v="304.22000000000003"/>
    <n v="20078.52"/>
    <x v="2"/>
    <x v="1"/>
    <x v="0"/>
  </r>
  <r>
    <n v="10133"/>
    <n v="835"/>
    <n v="2059"/>
    <x v="16"/>
    <x v="106"/>
    <x v="48"/>
    <n v="10"/>
    <n v="24"/>
    <x v="2"/>
    <x v="1"/>
    <n v="17.760000000000002"/>
    <n v="279.55"/>
    <n v="6709.2000000000007"/>
    <x v="6"/>
    <x v="2"/>
    <x v="2"/>
  </r>
  <r>
    <n v="10134"/>
    <n v="776"/>
    <n v="2072"/>
    <x v="18"/>
    <x v="107"/>
    <x v="88"/>
    <n v="9"/>
    <n v="64"/>
    <x v="2"/>
    <x v="1"/>
    <n v="26.22"/>
    <n v="576.57000000000005"/>
    <n v="36900.480000000003"/>
    <x v="0"/>
    <x v="3"/>
    <x v="0"/>
  </r>
  <r>
    <n v="10135"/>
    <n v="803"/>
    <n v="2013"/>
    <x v="18"/>
    <x v="68"/>
    <x v="109"/>
    <n v="5"/>
    <n v="52"/>
    <x v="1"/>
    <x v="0"/>
    <n v="19.53"/>
    <n v="563.69000000000005"/>
    <n v="29311.880000000005"/>
    <x v="0"/>
    <x v="3"/>
    <x v="0"/>
  </r>
  <r>
    <n v="10136"/>
    <n v="834"/>
    <n v="2052"/>
    <x v="3"/>
    <x v="108"/>
    <x v="110"/>
    <n v="8"/>
    <n v="49"/>
    <x v="0"/>
    <x v="4"/>
    <n v="47.35"/>
    <n v="665.2"/>
    <n v="32594.800000000003"/>
    <x v="2"/>
    <x v="2"/>
    <x v="2"/>
  </r>
  <r>
    <n v="10137"/>
    <n v="582"/>
    <n v="2047"/>
    <x v="6"/>
    <x v="109"/>
    <x v="111"/>
    <n v="7"/>
    <n v="26"/>
    <x v="2"/>
    <x v="4"/>
    <n v="31.72"/>
    <n v="210.46"/>
    <n v="5471.96"/>
    <x v="3"/>
    <x v="1"/>
    <x v="0"/>
  </r>
  <r>
    <n v="10138"/>
    <n v="696"/>
    <n v="2027"/>
    <x v="6"/>
    <x v="110"/>
    <x v="112"/>
    <n v="9"/>
    <n v="56"/>
    <x v="2"/>
    <x v="0"/>
    <n v="45.95"/>
    <n v="454.58"/>
    <n v="25456.48"/>
    <x v="3"/>
    <x v="1"/>
    <x v="0"/>
  </r>
  <r>
    <n v="10139"/>
    <n v="771"/>
    <n v="2055"/>
    <x v="15"/>
    <x v="16"/>
    <x v="113"/>
    <n v="10"/>
    <n v="71"/>
    <x v="3"/>
    <x v="4"/>
    <n v="26.24"/>
    <n v="312.67"/>
    <n v="22199.57"/>
    <x v="2"/>
    <x v="1"/>
    <x v="0"/>
  </r>
  <r>
    <n v="10140"/>
    <n v="559"/>
    <n v="2084"/>
    <x v="6"/>
    <x v="111"/>
    <x v="114"/>
    <n v="2"/>
    <n v="88"/>
    <x v="3"/>
    <x v="3"/>
    <n v="14.27"/>
    <n v="223.58"/>
    <n v="19675.04"/>
    <x v="3"/>
    <x v="1"/>
    <x v="0"/>
  </r>
  <r>
    <n v="10141"/>
    <n v="716"/>
    <n v="2093"/>
    <x v="10"/>
    <x v="98"/>
    <x v="10"/>
    <n v="8"/>
    <n v="13"/>
    <x v="1"/>
    <x v="1"/>
    <n v="25.73"/>
    <n v="537.69000000000005"/>
    <n v="6989.9700000000012"/>
    <x v="0"/>
    <x v="2"/>
    <x v="0"/>
  </r>
  <r>
    <n v="10142"/>
    <n v="532"/>
    <n v="2085"/>
    <x v="4"/>
    <x v="61"/>
    <x v="115"/>
    <n v="7"/>
    <n v="99"/>
    <x v="0"/>
    <x v="2"/>
    <n v="47.56"/>
    <n v="131.63"/>
    <n v="13031.369999999999"/>
    <x v="1"/>
    <x v="2"/>
    <x v="0"/>
  </r>
  <r>
    <n v="10143"/>
    <n v="730"/>
    <n v="2016"/>
    <x v="19"/>
    <x v="86"/>
    <x v="10"/>
    <n v="3"/>
    <n v="53"/>
    <x v="3"/>
    <x v="0"/>
    <n v="12.52"/>
    <n v="709.8"/>
    <n v="37619.399999999994"/>
    <x v="7"/>
    <x v="3"/>
    <x v="1"/>
  </r>
  <r>
    <n v="10144"/>
    <n v="573"/>
    <n v="2076"/>
    <x v="1"/>
    <x v="112"/>
    <x v="116"/>
    <n v="3"/>
    <n v="31"/>
    <x v="0"/>
    <x v="0"/>
    <n v="14.63"/>
    <n v="638.11"/>
    <n v="19781.41"/>
    <x v="1"/>
    <x v="0"/>
    <x v="1"/>
  </r>
  <r>
    <n v="10145"/>
    <n v="604"/>
    <n v="2066"/>
    <x v="3"/>
    <x v="113"/>
    <x v="117"/>
    <n v="6"/>
    <n v="3"/>
    <x v="3"/>
    <x v="1"/>
    <n v="43.64"/>
    <n v="832.31"/>
    <n v="2496.9299999999998"/>
    <x v="2"/>
    <x v="2"/>
    <x v="2"/>
  </r>
  <r>
    <n v="10146"/>
    <n v="597"/>
    <n v="2080"/>
    <x v="15"/>
    <x v="114"/>
    <x v="118"/>
    <n v="2"/>
    <n v="37"/>
    <x v="2"/>
    <x v="1"/>
    <n v="29.56"/>
    <n v="143.84"/>
    <n v="5322.08"/>
    <x v="2"/>
    <x v="1"/>
    <x v="0"/>
  </r>
  <r>
    <n v="10147"/>
    <n v="812"/>
    <n v="2040"/>
    <x v="0"/>
    <x v="115"/>
    <x v="119"/>
    <n v="6"/>
    <n v="4"/>
    <x v="2"/>
    <x v="4"/>
    <n v="3.71"/>
    <n v="27.53"/>
    <n v="110.12"/>
    <x v="0"/>
    <x v="0"/>
    <x v="0"/>
  </r>
  <r>
    <n v="10148"/>
    <n v="807"/>
    <n v="2050"/>
    <x v="18"/>
    <x v="62"/>
    <x v="101"/>
    <n v="8"/>
    <n v="72"/>
    <x v="2"/>
    <x v="3"/>
    <n v="36.43"/>
    <n v="507.16"/>
    <n v="36515.520000000004"/>
    <x v="0"/>
    <x v="3"/>
    <x v="0"/>
  </r>
  <r>
    <n v="10149"/>
    <n v="536"/>
    <n v="2030"/>
    <x v="11"/>
    <x v="116"/>
    <x v="120"/>
    <n v="9"/>
    <n v="27"/>
    <x v="3"/>
    <x v="0"/>
    <n v="27.52"/>
    <n v="537.03"/>
    <n v="14499.81"/>
    <x v="2"/>
    <x v="1"/>
    <x v="1"/>
  </r>
  <r>
    <n v="10150"/>
    <n v="674"/>
    <n v="2067"/>
    <x v="10"/>
    <x v="46"/>
    <x v="121"/>
    <n v="4"/>
    <n v="71"/>
    <x v="0"/>
    <x v="1"/>
    <n v="24.79"/>
    <n v="48.68"/>
    <n v="3456.28"/>
    <x v="0"/>
    <x v="2"/>
    <x v="0"/>
  </r>
  <r>
    <n v="10151"/>
    <n v="880"/>
    <n v="2099"/>
    <x v="5"/>
    <x v="117"/>
    <x v="122"/>
    <n v="6"/>
    <n v="20"/>
    <x v="3"/>
    <x v="3"/>
    <n v="31.62"/>
    <n v="652.77"/>
    <n v="13055.4"/>
    <x v="0"/>
    <x v="2"/>
    <x v="1"/>
  </r>
  <r>
    <n v="10152"/>
    <n v="590"/>
    <n v="2054"/>
    <x v="2"/>
    <x v="118"/>
    <x v="105"/>
    <n v="5"/>
    <n v="78"/>
    <x v="1"/>
    <x v="1"/>
    <n v="5.63"/>
    <n v="304.22000000000003"/>
    <n v="23729.160000000003"/>
    <x v="2"/>
    <x v="1"/>
    <x v="2"/>
  </r>
  <r>
    <n v="10153"/>
    <n v="573"/>
    <n v="2098"/>
    <x v="19"/>
    <x v="113"/>
    <x v="123"/>
    <n v="3"/>
    <n v="98"/>
    <x v="3"/>
    <x v="0"/>
    <n v="25.35"/>
    <n v="571.58000000000004"/>
    <n v="56014.840000000004"/>
    <x v="7"/>
    <x v="3"/>
    <x v="1"/>
  </r>
  <r>
    <n v="10154"/>
    <n v="780"/>
    <n v="2043"/>
    <x v="6"/>
    <x v="119"/>
    <x v="117"/>
    <n v="3"/>
    <n v="75"/>
    <x v="1"/>
    <x v="4"/>
    <n v="14.98"/>
    <n v="375.85"/>
    <n v="28188.75"/>
    <x v="3"/>
    <x v="1"/>
    <x v="0"/>
  </r>
  <r>
    <n v="10155"/>
    <n v="615"/>
    <n v="2029"/>
    <x v="1"/>
    <x v="120"/>
    <x v="124"/>
    <n v="1"/>
    <n v="32"/>
    <x v="1"/>
    <x v="3"/>
    <n v="9.19"/>
    <n v="357.06"/>
    <n v="11425.92"/>
    <x v="1"/>
    <x v="0"/>
    <x v="1"/>
  </r>
  <r>
    <n v="10156"/>
    <n v="735"/>
    <n v="2049"/>
    <x v="3"/>
    <x v="108"/>
    <x v="13"/>
    <n v="10"/>
    <n v="51"/>
    <x v="2"/>
    <x v="4"/>
    <n v="17.52"/>
    <n v="832.77"/>
    <n v="42471.27"/>
    <x v="2"/>
    <x v="2"/>
    <x v="2"/>
  </r>
  <r>
    <n v="10157"/>
    <n v="769"/>
    <n v="2018"/>
    <x v="9"/>
    <x v="96"/>
    <x v="125"/>
    <n v="5"/>
    <n v="52"/>
    <x v="1"/>
    <x v="3"/>
    <n v="16.739999999999998"/>
    <n v="103.05"/>
    <n v="5358.5999999999995"/>
    <x v="3"/>
    <x v="1"/>
    <x v="2"/>
  </r>
  <r>
    <n v="10158"/>
    <n v="624"/>
    <n v="2069"/>
    <x v="9"/>
    <x v="39"/>
    <x v="126"/>
    <n v="1"/>
    <n v="38"/>
    <x v="2"/>
    <x v="2"/>
    <n v="2.94"/>
    <n v="494.92"/>
    <n v="18806.96"/>
    <x v="3"/>
    <x v="1"/>
    <x v="2"/>
  </r>
  <r>
    <n v="10159"/>
    <n v="573"/>
    <n v="2013"/>
    <x v="8"/>
    <x v="121"/>
    <x v="127"/>
    <n v="3"/>
    <n v="6"/>
    <x v="3"/>
    <x v="0"/>
    <n v="19.53"/>
    <n v="563.69000000000005"/>
    <n v="3382.1400000000003"/>
    <x v="2"/>
    <x v="2"/>
    <x v="1"/>
  </r>
  <r>
    <n v="10160"/>
    <n v="841"/>
    <n v="2014"/>
    <x v="1"/>
    <x v="6"/>
    <x v="128"/>
    <n v="4"/>
    <n v="7"/>
    <x v="0"/>
    <x v="4"/>
    <n v="12.2"/>
    <n v="652.53"/>
    <n v="4567.71"/>
    <x v="1"/>
    <x v="0"/>
    <x v="1"/>
  </r>
  <r>
    <n v="10161"/>
    <n v="583"/>
    <n v="2061"/>
    <x v="2"/>
    <x v="122"/>
    <x v="129"/>
    <n v="4"/>
    <n v="56"/>
    <x v="0"/>
    <x v="0"/>
    <n v="46.64"/>
    <n v="620.16999999999996"/>
    <n v="34729.519999999997"/>
    <x v="2"/>
    <x v="1"/>
    <x v="2"/>
  </r>
  <r>
    <n v="10162"/>
    <n v="860"/>
    <n v="2034"/>
    <x v="15"/>
    <x v="39"/>
    <x v="15"/>
    <n v="7"/>
    <n v="5"/>
    <x v="0"/>
    <x v="4"/>
    <n v="26.17"/>
    <n v="540.23"/>
    <n v="2701.15"/>
    <x v="2"/>
    <x v="1"/>
    <x v="0"/>
  </r>
  <r>
    <n v="10163"/>
    <n v="519"/>
    <n v="2090"/>
    <x v="14"/>
    <x v="36"/>
    <x v="130"/>
    <n v="6"/>
    <n v="10"/>
    <x v="0"/>
    <x v="2"/>
    <n v="38.729999999999997"/>
    <n v="913.68"/>
    <n v="9136.7999999999993"/>
    <x v="6"/>
    <x v="2"/>
    <x v="1"/>
  </r>
  <r>
    <n v="10164"/>
    <n v="536"/>
    <n v="2096"/>
    <x v="5"/>
    <x v="123"/>
    <x v="131"/>
    <n v="4"/>
    <n v="63"/>
    <x v="1"/>
    <x v="2"/>
    <n v="20.04"/>
    <n v="70.19"/>
    <n v="4421.97"/>
    <x v="0"/>
    <x v="2"/>
    <x v="1"/>
  </r>
  <r>
    <n v="10165"/>
    <n v="883"/>
    <n v="2007"/>
    <x v="13"/>
    <x v="124"/>
    <x v="132"/>
    <n v="5"/>
    <n v="78"/>
    <x v="3"/>
    <x v="3"/>
    <n v="48.07"/>
    <n v="759.78"/>
    <n v="59262.84"/>
    <x v="1"/>
    <x v="1"/>
    <x v="0"/>
  </r>
  <r>
    <n v="10166"/>
    <n v="562"/>
    <n v="2035"/>
    <x v="2"/>
    <x v="30"/>
    <x v="130"/>
    <n v="4"/>
    <n v="54"/>
    <x v="3"/>
    <x v="4"/>
    <n v="18.55"/>
    <n v="636.37"/>
    <n v="34363.980000000003"/>
    <x v="2"/>
    <x v="1"/>
    <x v="2"/>
  </r>
  <r>
    <n v="10167"/>
    <n v="510"/>
    <n v="2082"/>
    <x v="0"/>
    <x v="125"/>
    <x v="133"/>
    <n v="6"/>
    <n v="78"/>
    <x v="0"/>
    <x v="2"/>
    <n v="41.79"/>
    <n v="352.17"/>
    <n v="27469.260000000002"/>
    <x v="0"/>
    <x v="0"/>
    <x v="0"/>
  </r>
  <r>
    <n v="10168"/>
    <n v="755"/>
    <n v="2070"/>
    <x v="1"/>
    <x v="125"/>
    <x v="66"/>
    <n v="8"/>
    <n v="38"/>
    <x v="2"/>
    <x v="2"/>
    <n v="22.6"/>
    <n v="196.67"/>
    <n v="7473.4599999999991"/>
    <x v="1"/>
    <x v="0"/>
    <x v="1"/>
  </r>
  <r>
    <n v="10169"/>
    <n v="786"/>
    <n v="2020"/>
    <x v="9"/>
    <x v="97"/>
    <x v="43"/>
    <n v="5"/>
    <n v="41"/>
    <x v="0"/>
    <x v="4"/>
    <n v="35.94"/>
    <n v="44.04"/>
    <n v="1805.6399999999999"/>
    <x v="3"/>
    <x v="1"/>
    <x v="2"/>
  </r>
  <r>
    <n v="10170"/>
    <n v="890"/>
    <n v="2031"/>
    <x v="6"/>
    <x v="86"/>
    <x v="134"/>
    <n v="8"/>
    <n v="34"/>
    <x v="3"/>
    <x v="4"/>
    <n v="24.61"/>
    <n v="342.86"/>
    <n v="11657.24"/>
    <x v="3"/>
    <x v="1"/>
    <x v="0"/>
  </r>
  <r>
    <n v="10171"/>
    <n v="714"/>
    <n v="2033"/>
    <x v="14"/>
    <x v="126"/>
    <x v="135"/>
    <n v="3"/>
    <n v="88"/>
    <x v="3"/>
    <x v="2"/>
    <n v="8.33"/>
    <n v="629.69000000000005"/>
    <n v="55412.72"/>
    <x v="6"/>
    <x v="2"/>
    <x v="1"/>
  </r>
  <r>
    <n v="10172"/>
    <n v="846"/>
    <n v="2089"/>
    <x v="12"/>
    <x v="127"/>
    <x v="136"/>
    <n v="8"/>
    <n v="48"/>
    <x v="0"/>
    <x v="2"/>
    <n v="19.170000000000002"/>
    <n v="513.33000000000004"/>
    <n v="24639.840000000004"/>
    <x v="5"/>
    <x v="2"/>
    <x v="1"/>
  </r>
  <r>
    <n v="10173"/>
    <n v="732"/>
    <n v="2087"/>
    <x v="14"/>
    <x v="33"/>
    <x v="137"/>
    <n v="6"/>
    <n v="91"/>
    <x v="2"/>
    <x v="1"/>
    <n v="35.82"/>
    <n v="47.38"/>
    <n v="4311.58"/>
    <x v="6"/>
    <x v="2"/>
    <x v="1"/>
  </r>
  <r>
    <n v="10174"/>
    <n v="898"/>
    <n v="2013"/>
    <x v="6"/>
    <x v="128"/>
    <x v="138"/>
    <n v="9"/>
    <n v="66"/>
    <x v="2"/>
    <x v="0"/>
    <n v="19.53"/>
    <n v="563.69000000000005"/>
    <n v="37203.54"/>
    <x v="3"/>
    <x v="1"/>
    <x v="0"/>
  </r>
  <r>
    <n v="10175"/>
    <n v="657"/>
    <n v="2014"/>
    <x v="1"/>
    <x v="42"/>
    <x v="139"/>
    <n v="8"/>
    <n v="59"/>
    <x v="2"/>
    <x v="4"/>
    <n v="12.2"/>
    <n v="652.53"/>
    <n v="38499.269999999997"/>
    <x v="1"/>
    <x v="0"/>
    <x v="1"/>
  </r>
  <r>
    <n v="10176"/>
    <n v="825"/>
    <n v="2019"/>
    <x v="7"/>
    <x v="129"/>
    <x v="79"/>
    <n v="7"/>
    <n v="71"/>
    <x v="1"/>
    <x v="2"/>
    <n v="27.65"/>
    <n v="89.85"/>
    <n v="6379.3499999999995"/>
    <x v="4"/>
    <x v="3"/>
    <x v="0"/>
  </r>
  <r>
    <n v="10177"/>
    <n v="740"/>
    <n v="2028"/>
    <x v="5"/>
    <x v="130"/>
    <x v="110"/>
    <n v="5"/>
    <n v="41"/>
    <x v="2"/>
    <x v="0"/>
    <n v="30.34"/>
    <n v="630.65"/>
    <n v="25856.649999999998"/>
    <x v="0"/>
    <x v="2"/>
    <x v="1"/>
  </r>
  <r>
    <n v="10178"/>
    <n v="668"/>
    <n v="2089"/>
    <x v="13"/>
    <x v="131"/>
    <x v="140"/>
    <n v="10"/>
    <n v="43"/>
    <x v="0"/>
    <x v="2"/>
    <n v="19.170000000000002"/>
    <n v="513.33000000000004"/>
    <n v="22073.190000000002"/>
    <x v="1"/>
    <x v="1"/>
    <x v="0"/>
  </r>
  <r>
    <n v="10179"/>
    <n v="630"/>
    <n v="2032"/>
    <x v="4"/>
    <x v="132"/>
    <x v="141"/>
    <n v="8"/>
    <n v="61"/>
    <x v="1"/>
    <x v="1"/>
    <n v="3.81"/>
    <n v="682.41"/>
    <n v="41627.009999999995"/>
    <x v="1"/>
    <x v="2"/>
    <x v="0"/>
  </r>
  <r>
    <n v="10180"/>
    <n v="506"/>
    <n v="2022"/>
    <x v="18"/>
    <x v="133"/>
    <x v="142"/>
    <n v="9"/>
    <n v="24"/>
    <x v="1"/>
    <x v="0"/>
    <n v="47.91"/>
    <n v="756.92"/>
    <n v="18166.079999999998"/>
    <x v="0"/>
    <x v="3"/>
    <x v="0"/>
  </r>
  <r>
    <n v="10181"/>
    <n v="900"/>
    <n v="2048"/>
    <x v="8"/>
    <x v="134"/>
    <x v="143"/>
    <n v="5"/>
    <n v="70"/>
    <x v="3"/>
    <x v="2"/>
    <n v="6.74"/>
    <n v="864.57"/>
    <n v="60519.9"/>
    <x v="2"/>
    <x v="2"/>
    <x v="1"/>
  </r>
  <r>
    <n v="10182"/>
    <n v="668"/>
    <n v="2065"/>
    <x v="1"/>
    <x v="135"/>
    <x v="144"/>
    <n v="5"/>
    <n v="91"/>
    <x v="0"/>
    <x v="0"/>
    <n v="26.94"/>
    <n v="155.15"/>
    <n v="14118.65"/>
    <x v="1"/>
    <x v="0"/>
    <x v="1"/>
  </r>
  <r>
    <n v="10183"/>
    <n v="834"/>
    <n v="2052"/>
    <x v="0"/>
    <x v="136"/>
    <x v="145"/>
    <n v="1"/>
    <n v="72"/>
    <x v="2"/>
    <x v="4"/>
    <n v="47.35"/>
    <n v="665.2"/>
    <n v="47894.400000000001"/>
    <x v="0"/>
    <x v="0"/>
    <x v="0"/>
  </r>
  <r>
    <n v="10184"/>
    <n v="850"/>
    <n v="2010"/>
    <x v="0"/>
    <x v="137"/>
    <x v="146"/>
    <n v="7"/>
    <n v="5"/>
    <x v="0"/>
    <x v="0"/>
    <n v="9.58"/>
    <n v="440.93"/>
    <n v="2204.65"/>
    <x v="0"/>
    <x v="0"/>
    <x v="0"/>
  </r>
  <r>
    <n v="10185"/>
    <n v="788"/>
    <n v="2011"/>
    <x v="13"/>
    <x v="138"/>
    <x v="147"/>
    <n v="2"/>
    <n v="36"/>
    <x v="3"/>
    <x v="3"/>
    <n v="12.75"/>
    <n v="987.99"/>
    <n v="35567.64"/>
    <x v="1"/>
    <x v="1"/>
    <x v="0"/>
  </r>
  <r>
    <n v="10186"/>
    <n v="844"/>
    <n v="2093"/>
    <x v="14"/>
    <x v="139"/>
    <x v="148"/>
    <n v="1"/>
    <n v="83"/>
    <x v="3"/>
    <x v="1"/>
    <n v="25.73"/>
    <n v="537.69000000000005"/>
    <n v="44628.270000000004"/>
    <x v="6"/>
    <x v="2"/>
    <x v="1"/>
  </r>
  <r>
    <n v="10187"/>
    <n v="776"/>
    <n v="2098"/>
    <x v="18"/>
    <x v="140"/>
    <x v="71"/>
    <n v="6"/>
    <n v="43"/>
    <x v="0"/>
    <x v="0"/>
    <n v="25.35"/>
    <n v="571.58000000000004"/>
    <n v="24577.940000000002"/>
    <x v="0"/>
    <x v="3"/>
    <x v="0"/>
  </r>
  <r>
    <n v="10188"/>
    <n v="635"/>
    <n v="2093"/>
    <x v="16"/>
    <x v="141"/>
    <x v="149"/>
    <n v="1"/>
    <n v="11"/>
    <x v="3"/>
    <x v="1"/>
    <n v="25.73"/>
    <n v="537.69000000000005"/>
    <n v="5914.59"/>
    <x v="6"/>
    <x v="2"/>
    <x v="2"/>
  </r>
  <r>
    <n v="10189"/>
    <n v="779"/>
    <n v="2097"/>
    <x v="9"/>
    <x v="142"/>
    <x v="150"/>
    <n v="1"/>
    <n v="69"/>
    <x v="1"/>
    <x v="4"/>
    <n v="30.63"/>
    <n v="828.74"/>
    <n v="57183.06"/>
    <x v="3"/>
    <x v="1"/>
    <x v="2"/>
  </r>
  <r>
    <n v="10190"/>
    <n v="744"/>
    <n v="2084"/>
    <x v="2"/>
    <x v="18"/>
    <x v="52"/>
    <n v="3"/>
    <n v="35"/>
    <x v="1"/>
    <x v="3"/>
    <n v="14.27"/>
    <n v="223.58"/>
    <n v="7825.3"/>
    <x v="2"/>
    <x v="1"/>
    <x v="2"/>
  </r>
  <r>
    <n v="10191"/>
    <n v="657"/>
    <n v="2038"/>
    <x v="14"/>
    <x v="143"/>
    <x v="151"/>
    <n v="5"/>
    <n v="7"/>
    <x v="0"/>
    <x v="4"/>
    <n v="26.62"/>
    <n v="680"/>
    <n v="4760"/>
    <x v="6"/>
    <x v="2"/>
    <x v="1"/>
  </r>
  <r>
    <n v="10192"/>
    <n v="522"/>
    <n v="2020"/>
    <x v="16"/>
    <x v="9"/>
    <x v="152"/>
    <n v="9"/>
    <n v="92"/>
    <x v="1"/>
    <x v="4"/>
    <n v="35.94"/>
    <n v="44.04"/>
    <n v="4051.68"/>
    <x v="6"/>
    <x v="2"/>
    <x v="2"/>
  </r>
  <r>
    <n v="10193"/>
    <n v="808"/>
    <n v="2096"/>
    <x v="14"/>
    <x v="144"/>
    <x v="153"/>
    <n v="9"/>
    <n v="73"/>
    <x v="0"/>
    <x v="2"/>
    <n v="20.04"/>
    <n v="70.19"/>
    <n v="5123.87"/>
    <x v="6"/>
    <x v="2"/>
    <x v="1"/>
  </r>
  <r>
    <n v="10194"/>
    <n v="603"/>
    <n v="2093"/>
    <x v="5"/>
    <x v="145"/>
    <x v="13"/>
    <n v="5"/>
    <n v="43"/>
    <x v="1"/>
    <x v="1"/>
    <n v="25.73"/>
    <n v="537.69000000000005"/>
    <n v="23120.670000000002"/>
    <x v="0"/>
    <x v="2"/>
    <x v="1"/>
  </r>
  <r>
    <n v="10195"/>
    <n v="531"/>
    <n v="2033"/>
    <x v="19"/>
    <x v="146"/>
    <x v="24"/>
    <n v="4"/>
    <n v="34"/>
    <x v="0"/>
    <x v="2"/>
    <n v="8.33"/>
    <n v="629.69000000000005"/>
    <n v="21409.460000000003"/>
    <x v="7"/>
    <x v="3"/>
    <x v="1"/>
  </r>
  <r>
    <n v="10196"/>
    <n v="639"/>
    <n v="2030"/>
    <x v="13"/>
    <x v="147"/>
    <x v="154"/>
    <n v="7"/>
    <n v="61"/>
    <x v="0"/>
    <x v="0"/>
    <n v="27.52"/>
    <n v="537.03"/>
    <n v="32758.829999999998"/>
    <x v="1"/>
    <x v="1"/>
    <x v="0"/>
  </r>
  <r>
    <n v="10197"/>
    <n v="808"/>
    <n v="2055"/>
    <x v="19"/>
    <x v="148"/>
    <x v="155"/>
    <n v="6"/>
    <n v="45"/>
    <x v="1"/>
    <x v="4"/>
    <n v="26.24"/>
    <n v="312.67"/>
    <n v="14070.150000000001"/>
    <x v="7"/>
    <x v="3"/>
    <x v="1"/>
  </r>
  <r>
    <n v="10198"/>
    <n v="830"/>
    <n v="2013"/>
    <x v="2"/>
    <x v="54"/>
    <x v="156"/>
    <n v="2"/>
    <n v="31"/>
    <x v="0"/>
    <x v="0"/>
    <n v="19.53"/>
    <n v="563.69000000000005"/>
    <n v="17474.390000000003"/>
    <x v="2"/>
    <x v="1"/>
    <x v="2"/>
  </r>
  <r>
    <n v="10199"/>
    <n v="530"/>
    <n v="2027"/>
    <x v="5"/>
    <x v="149"/>
    <x v="120"/>
    <n v="4"/>
    <n v="61"/>
    <x v="2"/>
    <x v="0"/>
    <n v="45.95"/>
    <n v="454.58"/>
    <n v="27729.379999999997"/>
    <x v="0"/>
    <x v="2"/>
    <x v="1"/>
  </r>
  <r>
    <n v="10200"/>
    <n v="538"/>
    <n v="2018"/>
    <x v="6"/>
    <x v="150"/>
    <x v="157"/>
    <n v="7"/>
    <n v="27"/>
    <x v="1"/>
    <x v="3"/>
    <n v="16.739999999999998"/>
    <n v="103.05"/>
    <n v="2782.35"/>
    <x v="3"/>
    <x v="1"/>
    <x v="0"/>
  </r>
  <r>
    <n v="10201"/>
    <n v="843"/>
    <n v="2032"/>
    <x v="7"/>
    <x v="106"/>
    <x v="45"/>
    <n v="9"/>
    <n v="60"/>
    <x v="0"/>
    <x v="1"/>
    <n v="3.81"/>
    <n v="682.41"/>
    <n v="40944.6"/>
    <x v="4"/>
    <x v="3"/>
    <x v="0"/>
  </r>
  <r>
    <n v="10202"/>
    <n v="642"/>
    <n v="2001"/>
    <x v="18"/>
    <x v="151"/>
    <x v="158"/>
    <n v="4"/>
    <n v="93"/>
    <x v="2"/>
    <x v="1"/>
    <n v="49.85"/>
    <n v="471.41"/>
    <n v="43841.130000000005"/>
    <x v="0"/>
    <x v="3"/>
    <x v="0"/>
  </r>
  <r>
    <n v="10203"/>
    <n v="729"/>
    <n v="2024"/>
    <x v="6"/>
    <x v="5"/>
    <x v="5"/>
    <n v="6"/>
    <n v="41"/>
    <x v="2"/>
    <x v="0"/>
    <n v="21.16"/>
    <n v="291.08"/>
    <n v="11934.279999999999"/>
    <x v="3"/>
    <x v="1"/>
    <x v="0"/>
  </r>
  <r>
    <n v="10204"/>
    <n v="728"/>
    <n v="2028"/>
    <x v="10"/>
    <x v="152"/>
    <x v="159"/>
    <n v="3"/>
    <n v="70"/>
    <x v="2"/>
    <x v="0"/>
    <n v="30.34"/>
    <n v="630.65"/>
    <n v="44145.5"/>
    <x v="0"/>
    <x v="2"/>
    <x v="0"/>
  </r>
  <r>
    <n v="10205"/>
    <n v="719"/>
    <n v="2077"/>
    <x v="1"/>
    <x v="146"/>
    <x v="160"/>
    <n v="6"/>
    <n v="44"/>
    <x v="0"/>
    <x v="1"/>
    <n v="28.18"/>
    <n v="857.59"/>
    <n v="37733.96"/>
    <x v="1"/>
    <x v="0"/>
    <x v="1"/>
  </r>
  <r>
    <n v="10206"/>
    <n v="754"/>
    <n v="2013"/>
    <x v="1"/>
    <x v="153"/>
    <x v="161"/>
    <n v="8"/>
    <n v="55"/>
    <x v="2"/>
    <x v="0"/>
    <n v="19.53"/>
    <n v="563.69000000000005"/>
    <n v="31002.950000000004"/>
    <x v="1"/>
    <x v="0"/>
    <x v="1"/>
  </r>
  <r>
    <n v="10207"/>
    <n v="759"/>
    <n v="2079"/>
    <x v="6"/>
    <x v="154"/>
    <x v="162"/>
    <n v="8"/>
    <n v="14"/>
    <x v="3"/>
    <x v="2"/>
    <n v="12.3"/>
    <n v="99.7"/>
    <n v="1395.8"/>
    <x v="3"/>
    <x v="1"/>
    <x v="0"/>
  </r>
  <r>
    <n v="10208"/>
    <n v="670"/>
    <n v="2054"/>
    <x v="19"/>
    <x v="155"/>
    <x v="155"/>
    <n v="8"/>
    <n v="81"/>
    <x v="1"/>
    <x v="1"/>
    <n v="5.63"/>
    <n v="304.22000000000003"/>
    <n v="24641.820000000003"/>
    <x v="7"/>
    <x v="3"/>
    <x v="1"/>
  </r>
  <r>
    <n v="10209"/>
    <n v="890"/>
    <n v="2013"/>
    <x v="10"/>
    <x v="102"/>
    <x v="120"/>
    <n v="5"/>
    <n v="27"/>
    <x v="0"/>
    <x v="0"/>
    <n v="19.53"/>
    <n v="563.69000000000005"/>
    <n v="15219.630000000001"/>
    <x v="0"/>
    <x v="2"/>
    <x v="0"/>
  </r>
  <r>
    <n v="10210"/>
    <n v="537"/>
    <n v="2013"/>
    <x v="18"/>
    <x v="2"/>
    <x v="69"/>
    <n v="5"/>
    <n v="57"/>
    <x v="3"/>
    <x v="0"/>
    <n v="19.53"/>
    <n v="563.69000000000005"/>
    <n v="32130.33"/>
    <x v="0"/>
    <x v="3"/>
    <x v="0"/>
  </r>
  <r>
    <n v="10211"/>
    <n v="886"/>
    <n v="2056"/>
    <x v="4"/>
    <x v="156"/>
    <x v="26"/>
    <n v="9"/>
    <n v="5"/>
    <x v="1"/>
    <x v="1"/>
    <n v="18.559999999999999"/>
    <n v="564.01"/>
    <n v="2820.05"/>
    <x v="1"/>
    <x v="2"/>
    <x v="0"/>
  </r>
  <r>
    <n v="10212"/>
    <n v="563"/>
    <n v="2066"/>
    <x v="5"/>
    <x v="157"/>
    <x v="163"/>
    <n v="1"/>
    <n v="49"/>
    <x v="2"/>
    <x v="1"/>
    <n v="43.64"/>
    <n v="832.31"/>
    <n v="40783.189999999995"/>
    <x v="0"/>
    <x v="2"/>
    <x v="1"/>
  </r>
  <r>
    <n v="10213"/>
    <n v="521"/>
    <n v="2076"/>
    <x v="5"/>
    <x v="158"/>
    <x v="164"/>
    <n v="1"/>
    <n v="67"/>
    <x v="1"/>
    <x v="0"/>
    <n v="14.63"/>
    <n v="638.11"/>
    <n v="42753.37"/>
    <x v="0"/>
    <x v="2"/>
    <x v="1"/>
  </r>
  <r>
    <n v="10214"/>
    <n v="700"/>
    <n v="2062"/>
    <x v="4"/>
    <x v="33"/>
    <x v="165"/>
    <n v="2"/>
    <n v="11"/>
    <x v="1"/>
    <x v="1"/>
    <n v="32.479999999999997"/>
    <n v="409.49"/>
    <n v="4504.3900000000003"/>
    <x v="1"/>
    <x v="2"/>
    <x v="0"/>
  </r>
  <r>
    <n v="10215"/>
    <n v="895"/>
    <n v="2100"/>
    <x v="12"/>
    <x v="159"/>
    <x v="13"/>
    <n v="9"/>
    <n v="64"/>
    <x v="3"/>
    <x v="4"/>
    <n v="2.2799999999999998"/>
    <n v="813.8"/>
    <n v="52083.199999999997"/>
    <x v="5"/>
    <x v="2"/>
    <x v="1"/>
  </r>
  <r>
    <n v="10216"/>
    <n v="616"/>
    <n v="2092"/>
    <x v="15"/>
    <x v="84"/>
    <x v="166"/>
    <n v="8"/>
    <n v="10"/>
    <x v="2"/>
    <x v="2"/>
    <n v="30.97"/>
    <n v="521.23"/>
    <n v="5212.3"/>
    <x v="2"/>
    <x v="1"/>
    <x v="0"/>
  </r>
  <r>
    <n v="10217"/>
    <n v="818"/>
    <n v="2067"/>
    <x v="18"/>
    <x v="13"/>
    <x v="167"/>
    <n v="3"/>
    <n v="85"/>
    <x v="1"/>
    <x v="1"/>
    <n v="24.79"/>
    <n v="48.68"/>
    <n v="4137.8"/>
    <x v="0"/>
    <x v="3"/>
    <x v="0"/>
  </r>
  <r>
    <n v="10218"/>
    <n v="646"/>
    <n v="2062"/>
    <x v="2"/>
    <x v="85"/>
    <x v="67"/>
    <n v="8"/>
    <n v="48"/>
    <x v="3"/>
    <x v="1"/>
    <n v="32.479999999999997"/>
    <n v="409.49"/>
    <n v="19655.52"/>
    <x v="2"/>
    <x v="1"/>
    <x v="2"/>
  </r>
  <r>
    <n v="10219"/>
    <n v="782"/>
    <n v="2046"/>
    <x v="2"/>
    <x v="160"/>
    <x v="78"/>
    <n v="7"/>
    <n v="63"/>
    <x v="3"/>
    <x v="4"/>
    <n v="38.130000000000003"/>
    <n v="649.34"/>
    <n v="40908.420000000006"/>
    <x v="2"/>
    <x v="1"/>
    <x v="2"/>
  </r>
  <r>
    <n v="10220"/>
    <n v="841"/>
    <n v="2003"/>
    <x v="3"/>
    <x v="161"/>
    <x v="158"/>
    <n v="7"/>
    <n v="83"/>
    <x v="1"/>
    <x v="0"/>
    <n v="39.74"/>
    <n v="864.17"/>
    <n v="71726.11"/>
    <x v="2"/>
    <x v="2"/>
    <x v="2"/>
  </r>
  <r>
    <n v="10221"/>
    <n v="569"/>
    <n v="2069"/>
    <x v="14"/>
    <x v="123"/>
    <x v="100"/>
    <n v="8"/>
    <n v="44"/>
    <x v="0"/>
    <x v="2"/>
    <n v="2.94"/>
    <n v="494.92"/>
    <n v="21776.48"/>
    <x v="6"/>
    <x v="2"/>
    <x v="1"/>
  </r>
  <r>
    <n v="10222"/>
    <n v="848"/>
    <n v="2020"/>
    <x v="7"/>
    <x v="110"/>
    <x v="168"/>
    <n v="6"/>
    <n v="6"/>
    <x v="0"/>
    <x v="4"/>
    <n v="35.94"/>
    <n v="44.04"/>
    <n v="264.24"/>
    <x v="4"/>
    <x v="3"/>
    <x v="0"/>
  </r>
  <r>
    <n v="10223"/>
    <n v="774"/>
    <n v="2068"/>
    <x v="15"/>
    <x v="45"/>
    <x v="169"/>
    <n v="7"/>
    <n v="3"/>
    <x v="2"/>
    <x v="4"/>
    <n v="47.08"/>
    <n v="501.03"/>
    <n v="1503.09"/>
    <x v="2"/>
    <x v="1"/>
    <x v="0"/>
  </r>
  <r>
    <n v="10224"/>
    <n v="727"/>
    <n v="2096"/>
    <x v="14"/>
    <x v="110"/>
    <x v="143"/>
    <n v="8"/>
    <n v="40"/>
    <x v="1"/>
    <x v="2"/>
    <n v="20.04"/>
    <n v="70.19"/>
    <n v="2807.6"/>
    <x v="6"/>
    <x v="2"/>
    <x v="1"/>
  </r>
  <r>
    <n v="10225"/>
    <n v="643"/>
    <n v="2026"/>
    <x v="16"/>
    <x v="30"/>
    <x v="170"/>
    <n v="9"/>
    <n v="29"/>
    <x v="3"/>
    <x v="2"/>
    <n v="23.02"/>
    <n v="858.57"/>
    <n v="24898.530000000002"/>
    <x v="6"/>
    <x v="2"/>
    <x v="2"/>
  </r>
  <r>
    <n v="10226"/>
    <n v="632"/>
    <n v="2020"/>
    <x v="17"/>
    <x v="57"/>
    <x v="126"/>
    <n v="8"/>
    <n v="91"/>
    <x v="2"/>
    <x v="4"/>
    <n v="35.94"/>
    <n v="44.04"/>
    <n v="4007.64"/>
    <x v="5"/>
    <x v="1"/>
    <x v="1"/>
  </r>
  <r>
    <n v="10227"/>
    <n v="860"/>
    <n v="2078"/>
    <x v="5"/>
    <x v="162"/>
    <x v="171"/>
    <n v="9"/>
    <n v="43"/>
    <x v="0"/>
    <x v="3"/>
    <n v="14.85"/>
    <n v="517.03"/>
    <n v="22232.289999999997"/>
    <x v="0"/>
    <x v="2"/>
    <x v="1"/>
  </r>
  <r>
    <n v="10228"/>
    <n v="718"/>
    <n v="2002"/>
    <x v="13"/>
    <x v="163"/>
    <x v="172"/>
    <n v="6"/>
    <n v="90"/>
    <x v="0"/>
    <x v="0"/>
    <n v="30.78"/>
    <n v="646.99"/>
    <n v="58229.1"/>
    <x v="1"/>
    <x v="1"/>
    <x v="0"/>
  </r>
  <r>
    <n v="10229"/>
    <n v="541"/>
    <n v="2033"/>
    <x v="17"/>
    <x v="164"/>
    <x v="173"/>
    <n v="4"/>
    <n v="99"/>
    <x v="2"/>
    <x v="2"/>
    <n v="8.33"/>
    <n v="629.69000000000005"/>
    <n v="62339.310000000005"/>
    <x v="5"/>
    <x v="1"/>
    <x v="1"/>
  </r>
  <r>
    <n v="10230"/>
    <n v="531"/>
    <n v="2002"/>
    <x v="10"/>
    <x v="165"/>
    <x v="135"/>
    <n v="9"/>
    <n v="82"/>
    <x v="2"/>
    <x v="0"/>
    <n v="30.78"/>
    <n v="646.99"/>
    <n v="53053.18"/>
    <x v="0"/>
    <x v="2"/>
    <x v="0"/>
  </r>
  <r>
    <n v="10231"/>
    <n v="845"/>
    <n v="2062"/>
    <x v="17"/>
    <x v="166"/>
    <x v="174"/>
    <n v="4"/>
    <n v="38"/>
    <x v="1"/>
    <x v="1"/>
    <n v="32.479999999999997"/>
    <n v="409.49"/>
    <n v="15560.62"/>
    <x v="5"/>
    <x v="1"/>
    <x v="1"/>
  </r>
  <r>
    <n v="10232"/>
    <n v="815"/>
    <n v="2033"/>
    <x v="3"/>
    <x v="85"/>
    <x v="94"/>
    <n v="10"/>
    <n v="74"/>
    <x v="1"/>
    <x v="2"/>
    <n v="8.33"/>
    <n v="629.69000000000005"/>
    <n v="46597.060000000005"/>
    <x v="2"/>
    <x v="2"/>
    <x v="2"/>
  </r>
  <r>
    <n v="10233"/>
    <n v="865"/>
    <n v="2056"/>
    <x v="2"/>
    <x v="77"/>
    <x v="53"/>
    <n v="10"/>
    <n v="84"/>
    <x v="1"/>
    <x v="1"/>
    <n v="18.559999999999999"/>
    <n v="564.01"/>
    <n v="47376.84"/>
    <x v="2"/>
    <x v="1"/>
    <x v="2"/>
  </r>
  <r>
    <n v="10234"/>
    <n v="581"/>
    <n v="2011"/>
    <x v="11"/>
    <x v="39"/>
    <x v="156"/>
    <n v="5"/>
    <n v="30"/>
    <x v="0"/>
    <x v="3"/>
    <n v="12.75"/>
    <n v="987.99"/>
    <n v="29639.7"/>
    <x v="2"/>
    <x v="1"/>
    <x v="1"/>
  </r>
  <r>
    <n v="10235"/>
    <n v="793"/>
    <n v="2041"/>
    <x v="8"/>
    <x v="43"/>
    <x v="42"/>
    <n v="3"/>
    <n v="10"/>
    <x v="0"/>
    <x v="2"/>
    <n v="48.2"/>
    <n v="792.77"/>
    <n v="7927.7"/>
    <x v="2"/>
    <x v="2"/>
    <x v="1"/>
  </r>
  <r>
    <n v="10236"/>
    <n v="743"/>
    <n v="2069"/>
    <x v="6"/>
    <x v="167"/>
    <x v="175"/>
    <n v="9"/>
    <n v="68"/>
    <x v="1"/>
    <x v="2"/>
    <n v="2.94"/>
    <n v="494.92"/>
    <n v="33654.559999999998"/>
    <x v="3"/>
    <x v="1"/>
    <x v="0"/>
  </r>
  <r>
    <n v="10237"/>
    <n v="865"/>
    <n v="2065"/>
    <x v="7"/>
    <x v="120"/>
    <x v="176"/>
    <n v="7"/>
    <n v="68"/>
    <x v="3"/>
    <x v="0"/>
    <n v="26.94"/>
    <n v="155.15"/>
    <n v="10550.2"/>
    <x v="4"/>
    <x v="3"/>
    <x v="0"/>
  </r>
  <r>
    <n v="10238"/>
    <n v="639"/>
    <n v="2029"/>
    <x v="18"/>
    <x v="29"/>
    <x v="58"/>
    <n v="7"/>
    <n v="100"/>
    <x v="2"/>
    <x v="3"/>
    <n v="9.19"/>
    <n v="357.06"/>
    <n v="35706"/>
    <x v="0"/>
    <x v="3"/>
    <x v="0"/>
  </r>
  <r>
    <n v="10239"/>
    <n v="503"/>
    <n v="2034"/>
    <x v="13"/>
    <x v="43"/>
    <x v="101"/>
    <n v="6"/>
    <n v="62"/>
    <x v="1"/>
    <x v="4"/>
    <n v="26.17"/>
    <n v="540.23"/>
    <n v="33494.26"/>
    <x v="1"/>
    <x v="1"/>
    <x v="0"/>
  </r>
  <r>
    <n v="10240"/>
    <n v="803"/>
    <n v="2058"/>
    <x v="19"/>
    <x v="168"/>
    <x v="96"/>
    <n v="5"/>
    <n v="17"/>
    <x v="0"/>
    <x v="4"/>
    <n v="28.48"/>
    <n v="13.34"/>
    <n v="226.78"/>
    <x v="7"/>
    <x v="3"/>
    <x v="1"/>
  </r>
  <r>
    <n v="10241"/>
    <n v="842"/>
    <n v="2058"/>
    <x v="18"/>
    <x v="169"/>
    <x v="125"/>
    <n v="2"/>
    <n v="53"/>
    <x v="2"/>
    <x v="4"/>
    <n v="28.48"/>
    <n v="13.34"/>
    <n v="707.02"/>
    <x v="0"/>
    <x v="3"/>
    <x v="0"/>
  </r>
  <r>
    <n v="10242"/>
    <n v="542"/>
    <n v="2061"/>
    <x v="2"/>
    <x v="152"/>
    <x v="130"/>
    <n v="7"/>
    <n v="91"/>
    <x v="1"/>
    <x v="0"/>
    <n v="46.64"/>
    <n v="620.16999999999996"/>
    <n v="56435.469999999994"/>
    <x v="2"/>
    <x v="1"/>
    <x v="2"/>
  </r>
  <r>
    <n v="10243"/>
    <n v="536"/>
    <n v="2076"/>
    <x v="9"/>
    <x v="170"/>
    <x v="177"/>
    <n v="4"/>
    <n v="5"/>
    <x v="1"/>
    <x v="0"/>
    <n v="14.63"/>
    <n v="638.11"/>
    <n v="3190.55"/>
    <x v="3"/>
    <x v="1"/>
    <x v="2"/>
  </r>
  <r>
    <n v="10244"/>
    <n v="634"/>
    <n v="2052"/>
    <x v="1"/>
    <x v="171"/>
    <x v="178"/>
    <n v="1"/>
    <n v="46"/>
    <x v="3"/>
    <x v="4"/>
    <n v="47.35"/>
    <n v="665.2"/>
    <n v="30599.200000000001"/>
    <x v="1"/>
    <x v="0"/>
    <x v="1"/>
  </r>
  <r>
    <n v="10245"/>
    <n v="729"/>
    <n v="2047"/>
    <x v="7"/>
    <x v="62"/>
    <x v="66"/>
    <n v="6"/>
    <n v="92"/>
    <x v="2"/>
    <x v="4"/>
    <n v="31.72"/>
    <n v="210.46"/>
    <n v="19362.32"/>
    <x v="4"/>
    <x v="3"/>
    <x v="0"/>
  </r>
  <r>
    <n v="10246"/>
    <n v="828"/>
    <n v="2100"/>
    <x v="6"/>
    <x v="172"/>
    <x v="78"/>
    <n v="6"/>
    <n v="95"/>
    <x v="1"/>
    <x v="4"/>
    <n v="2.2799999999999998"/>
    <n v="813.8"/>
    <n v="77311"/>
    <x v="3"/>
    <x v="1"/>
    <x v="0"/>
  </r>
  <r>
    <n v="10247"/>
    <n v="896"/>
    <n v="2009"/>
    <x v="14"/>
    <x v="91"/>
    <x v="179"/>
    <n v="7"/>
    <n v="66"/>
    <x v="2"/>
    <x v="3"/>
    <n v="16.82"/>
    <n v="376.01"/>
    <n v="24816.66"/>
    <x v="6"/>
    <x v="2"/>
    <x v="1"/>
  </r>
  <r>
    <n v="10248"/>
    <n v="845"/>
    <n v="2005"/>
    <x v="15"/>
    <x v="173"/>
    <x v="180"/>
    <n v="10"/>
    <n v="88"/>
    <x v="1"/>
    <x v="1"/>
    <n v="13.6"/>
    <n v="606.04999999999995"/>
    <n v="53332.399999999994"/>
    <x v="2"/>
    <x v="1"/>
    <x v="0"/>
  </r>
  <r>
    <n v="10249"/>
    <n v="716"/>
    <n v="2032"/>
    <x v="13"/>
    <x v="174"/>
    <x v="181"/>
    <n v="1"/>
    <n v="24"/>
    <x v="3"/>
    <x v="1"/>
    <n v="3.81"/>
    <n v="682.41"/>
    <n v="16377.84"/>
    <x v="1"/>
    <x v="1"/>
    <x v="0"/>
  </r>
  <r>
    <n v="10250"/>
    <n v="701"/>
    <n v="2001"/>
    <x v="5"/>
    <x v="175"/>
    <x v="182"/>
    <n v="1"/>
    <n v="13"/>
    <x v="1"/>
    <x v="1"/>
    <n v="49.85"/>
    <n v="471.41"/>
    <n v="6128.33"/>
    <x v="0"/>
    <x v="2"/>
    <x v="1"/>
  </r>
  <r>
    <n v="10251"/>
    <n v="500"/>
    <n v="2090"/>
    <x v="3"/>
    <x v="176"/>
    <x v="49"/>
    <n v="10"/>
    <n v="44"/>
    <x v="2"/>
    <x v="2"/>
    <n v="38.729999999999997"/>
    <n v="913.68"/>
    <n v="40201.919999999998"/>
    <x v="2"/>
    <x v="2"/>
    <x v="2"/>
  </r>
  <r>
    <n v="10252"/>
    <n v="735"/>
    <n v="2089"/>
    <x v="1"/>
    <x v="177"/>
    <x v="84"/>
    <n v="9"/>
    <n v="86"/>
    <x v="1"/>
    <x v="2"/>
    <n v="19.170000000000002"/>
    <n v="513.33000000000004"/>
    <n v="44146.380000000005"/>
    <x v="1"/>
    <x v="0"/>
    <x v="1"/>
  </r>
  <r>
    <n v="10253"/>
    <n v="804"/>
    <n v="2004"/>
    <x v="16"/>
    <x v="178"/>
    <x v="183"/>
    <n v="1"/>
    <n v="55"/>
    <x v="3"/>
    <x v="1"/>
    <n v="4.34"/>
    <n v="52.14"/>
    <n v="2867.7"/>
    <x v="6"/>
    <x v="2"/>
    <x v="2"/>
  </r>
  <r>
    <n v="10254"/>
    <n v="622"/>
    <n v="2058"/>
    <x v="4"/>
    <x v="179"/>
    <x v="117"/>
    <n v="9"/>
    <n v="74"/>
    <x v="3"/>
    <x v="4"/>
    <n v="28.48"/>
    <n v="13.34"/>
    <n v="987.16"/>
    <x v="1"/>
    <x v="2"/>
    <x v="0"/>
  </r>
  <r>
    <n v="10255"/>
    <n v="773"/>
    <n v="2085"/>
    <x v="6"/>
    <x v="180"/>
    <x v="184"/>
    <n v="6"/>
    <n v="53"/>
    <x v="0"/>
    <x v="2"/>
    <n v="47.56"/>
    <n v="131.63"/>
    <n v="6976.3899999999994"/>
    <x v="3"/>
    <x v="1"/>
    <x v="0"/>
  </r>
  <r>
    <n v="10256"/>
    <n v="828"/>
    <n v="2042"/>
    <x v="8"/>
    <x v="54"/>
    <x v="46"/>
    <n v="6"/>
    <n v="19"/>
    <x v="1"/>
    <x v="4"/>
    <n v="46.87"/>
    <n v="313.88"/>
    <n v="5963.72"/>
    <x v="2"/>
    <x v="2"/>
    <x v="1"/>
  </r>
  <r>
    <n v="10257"/>
    <n v="747"/>
    <n v="2081"/>
    <x v="19"/>
    <x v="181"/>
    <x v="104"/>
    <n v="6"/>
    <n v="22"/>
    <x v="2"/>
    <x v="3"/>
    <n v="20.72"/>
    <n v="668.31"/>
    <n v="14702.82"/>
    <x v="7"/>
    <x v="3"/>
    <x v="1"/>
  </r>
  <r>
    <n v="10258"/>
    <n v="707"/>
    <n v="2074"/>
    <x v="3"/>
    <x v="182"/>
    <x v="174"/>
    <n v="2"/>
    <n v="31"/>
    <x v="1"/>
    <x v="0"/>
    <n v="41.45"/>
    <n v="650.42999999999995"/>
    <n v="20163.329999999998"/>
    <x v="2"/>
    <x v="2"/>
    <x v="2"/>
  </r>
  <r>
    <n v="10259"/>
    <n v="815"/>
    <n v="2024"/>
    <x v="10"/>
    <x v="129"/>
    <x v="185"/>
    <n v="10"/>
    <n v="64"/>
    <x v="2"/>
    <x v="0"/>
    <n v="21.16"/>
    <n v="291.08"/>
    <n v="18629.12"/>
    <x v="0"/>
    <x v="2"/>
    <x v="0"/>
  </r>
  <r>
    <n v="10260"/>
    <n v="656"/>
    <n v="2035"/>
    <x v="18"/>
    <x v="183"/>
    <x v="186"/>
    <n v="6"/>
    <n v="72"/>
    <x v="0"/>
    <x v="4"/>
    <n v="18.55"/>
    <n v="636.37"/>
    <n v="45818.64"/>
    <x v="0"/>
    <x v="3"/>
    <x v="0"/>
  </r>
  <r>
    <n v="10261"/>
    <n v="698"/>
    <n v="2091"/>
    <x v="18"/>
    <x v="184"/>
    <x v="65"/>
    <n v="9"/>
    <n v="78"/>
    <x v="2"/>
    <x v="3"/>
    <n v="10.41"/>
    <n v="271.61"/>
    <n v="21185.58"/>
    <x v="0"/>
    <x v="3"/>
    <x v="0"/>
  </r>
  <r>
    <n v="10262"/>
    <n v="531"/>
    <n v="2014"/>
    <x v="19"/>
    <x v="185"/>
    <x v="187"/>
    <n v="7"/>
    <n v="44"/>
    <x v="1"/>
    <x v="4"/>
    <n v="12.2"/>
    <n v="652.53"/>
    <n v="28711.32"/>
    <x v="7"/>
    <x v="3"/>
    <x v="1"/>
  </r>
  <r>
    <n v="10263"/>
    <n v="707"/>
    <n v="2082"/>
    <x v="19"/>
    <x v="57"/>
    <x v="126"/>
    <n v="8"/>
    <n v="85"/>
    <x v="0"/>
    <x v="2"/>
    <n v="41.79"/>
    <n v="352.17"/>
    <n v="29934.45"/>
    <x v="7"/>
    <x v="3"/>
    <x v="1"/>
  </r>
  <r>
    <n v="10264"/>
    <n v="712"/>
    <n v="2011"/>
    <x v="7"/>
    <x v="186"/>
    <x v="56"/>
    <n v="6"/>
    <n v="81"/>
    <x v="0"/>
    <x v="3"/>
    <n v="12.75"/>
    <n v="987.99"/>
    <n v="80027.19"/>
    <x v="4"/>
    <x v="3"/>
    <x v="0"/>
  </r>
  <r>
    <n v="10265"/>
    <n v="818"/>
    <n v="2068"/>
    <x v="1"/>
    <x v="187"/>
    <x v="150"/>
    <n v="8"/>
    <n v="80"/>
    <x v="0"/>
    <x v="4"/>
    <n v="47.08"/>
    <n v="501.03"/>
    <n v="40082.399999999994"/>
    <x v="1"/>
    <x v="0"/>
    <x v="1"/>
  </r>
  <r>
    <n v="10266"/>
    <n v="871"/>
    <n v="2042"/>
    <x v="10"/>
    <x v="188"/>
    <x v="188"/>
    <n v="7"/>
    <n v="51"/>
    <x v="2"/>
    <x v="4"/>
    <n v="46.87"/>
    <n v="313.88"/>
    <n v="16007.88"/>
    <x v="0"/>
    <x v="2"/>
    <x v="0"/>
  </r>
  <r>
    <n v="10267"/>
    <n v="508"/>
    <n v="2020"/>
    <x v="14"/>
    <x v="169"/>
    <x v="178"/>
    <n v="9"/>
    <n v="6"/>
    <x v="1"/>
    <x v="4"/>
    <n v="35.94"/>
    <n v="44.04"/>
    <n v="264.24"/>
    <x v="6"/>
    <x v="2"/>
    <x v="1"/>
  </r>
  <r>
    <n v="10268"/>
    <n v="888"/>
    <n v="2075"/>
    <x v="4"/>
    <x v="189"/>
    <x v="178"/>
    <n v="10"/>
    <n v="30"/>
    <x v="3"/>
    <x v="4"/>
    <n v="16.57"/>
    <n v="429.9"/>
    <n v="12897"/>
    <x v="1"/>
    <x v="2"/>
    <x v="0"/>
  </r>
  <r>
    <n v="10269"/>
    <n v="526"/>
    <n v="2041"/>
    <x v="8"/>
    <x v="77"/>
    <x v="189"/>
    <n v="2"/>
    <n v="1"/>
    <x v="1"/>
    <x v="2"/>
    <n v="48.2"/>
    <n v="792.77"/>
    <n v="792.77"/>
    <x v="2"/>
    <x v="2"/>
    <x v="1"/>
  </r>
  <r>
    <n v="10270"/>
    <n v="682"/>
    <n v="2037"/>
    <x v="6"/>
    <x v="190"/>
    <x v="127"/>
    <n v="8"/>
    <n v="59"/>
    <x v="0"/>
    <x v="3"/>
    <n v="29.23"/>
    <n v="491.44"/>
    <n v="28994.959999999999"/>
    <x v="3"/>
    <x v="1"/>
    <x v="0"/>
  </r>
  <r>
    <n v="10271"/>
    <n v="677"/>
    <n v="2016"/>
    <x v="4"/>
    <x v="191"/>
    <x v="190"/>
    <n v="9"/>
    <n v="69"/>
    <x v="0"/>
    <x v="0"/>
    <n v="12.52"/>
    <n v="709.8"/>
    <n v="48976.2"/>
    <x v="1"/>
    <x v="2"/>
    <x v="0"/>
  </r>
  <r>
    <n v="10272"/>
    <n v="552"/>
    <n v="2074"/>
    <x v="15"/>
    <x v="192"/>
    <x v="191"/>
    <n v="3"/>
    <n v="97"/>
    <x v="1"/>
    <x v="0"/>
    <n v="41.45"/>
    <n v="650.42999999999995"/>
    <n v="63091.709999999992"/>
    <x v="2"/>
    <x v="1"/>
    <x v="0"/>
  </r>
  <r>
    <n v="10273"/>
    <n v="510"/>
    <n v="2001"/>
    <x v="19"/>
    <x v="190"/>
    <x v="111"/>
    <n v="2"/>
    <n v="77"/>
    <x v="3"/>
    <x v="1"/>
    <n v="49.85"/>
    <n v="471.41"/>
    <n v="36298.57"/>
    <x v="7"/>
    <x v="3"/>
    <x v="1"/>
  </r>
  <r>
    <n v="10274"/>
    <n v="644"/>
    <n v="2080"/>
    <x v="1"/>
    <x v="30"/>
    <x v="30"/>
    <n v="2"/>
    <n v="54"/>
    <x v="0"/>
    <x v="1"/>
    <n v="29.56"/>
    <n v="143.84"/>
    <n v="7767.3600000000006"/>
    <x v="1"/>
    <x v="0"/>
    <x v="1"/>
  </r>
  <r>
    <n v="10275"/>
    <n v="695"/>
    <n v="2041"/>
    <x v="17"/>
    <x v="193"/>
    <x v="86"/>
    <n v="6"/>
    <n v="15"/>
    <x v="2"/>
    <x v="2"/>
    <n v="48.2"/>
    <n v="792.77"/>
    <n v="11891.55"/>
    <x v="5"/>
    <x v="1"/>
    <x v="1"/>
  </r>
  <r>
    <n v="10276"/>
    <n v="591"/>
    <n v="2056"/>
    <x v="5"/>
    <x v="164"/>
    <x v="175"/>
    <n v="6"/>
    <n v="89"/>
    <x v="3"/>
    <x v="1"/>
    <n v="18.559999999999999"/>
    <n v="564.01"/>
    <n v="50196.89"/>
    <x v="0"/>
    <x v="2"/>
    <x v="1"/>
  </r>
  <r>
    <n v="10277"/>
    <n v="648"/>
    <n v="2022"/>
    <x v="18"/>
    <x v="173"/>
    <x v="192"/>
    <n v="1"/>
    <n v="53"/>
    <x v="3"/>
    <x v="0"/>
    <n v="47.91"/>
    <n v="756.92"/>
    <n v="40116.759999999995"/>
    <x v="0"/>
    <x v="3"/>
    <x v="0"/>
  </r>
  <r>
    <n v="10278"/>
    <n v="633"/>
    <n v="2055"/>
    <x v="7"/>
    <x v="128"/>
    <x v="97"/>
    <n v="3"/>
    <n v="61"/>
    <x v="3"/>
    <x v="4"/>
    <n v="26.24"/>
    <n v="312.67"/>
    <n v="19072.870000000003"/>
    <x v="4"/>
    <x v="3"/>
    <x v="0"/>
  </r>
  <r>
    <n v="10279"/>
    <n v="747"/>
    <n v="2096"/>
    <x v="4"/>
    <x v="194"/>
    <x v="87"/>
    <n v="2"/>
    <n v="45"/>
    <x v="0"/>
    <x v="2"/>
    <n v="20.04"/>
    <n v="70.19"/>
    <n v="3158.5499999999997"/>
    <x v="1"/>
    <x v="2"/>
    <x v="0"/>
  </r>
  <r>
    <n v="10280"/>
    <n v="617"/>
    <n v="2072"/>
    <x v="7"/>
    <x v="115"/>
    <x v="158"/>
    <n v="2"/>
    <n v="73"/>
    <x v="2"/>
    <x v="1"/>
    <n v="26.22"/>
    <n v="576.57000000000005"/>
    <n v="42089.61"/>
    <x v="4"/>
    <x v="3"/>
    <x v="0"/>
  </r>
  <r>
    <n v="10281"/>
    <n v="513"/>
    <n v="2049"/>
    <x v="13"/>
    <x v="59"/>
    <x v="172"/>
    <n v="1"/>
    <n v="8"/>
    <x v="2"/>
    <x v="4"/>
    <n v="17.52"/>
    <n v="832.77"/>
    <n v="6662.16"/>
    <x v="1"/>
    <x v="1"/>
    <x v="0"/>
  </r>
  <r>
    <n v="10282"/>
    <n v="837"/>
    <n v="2020"/>
    <x v="0"/>
    <x v="74"/>
    <x v="79"/>
    <n v="1"/>
    <n v="87"/>
    <x v="3"/>
    <x v="4"/>
    <n v="35.94"/>
    <n v="44.04"/>
    <n v="3831.48"/>
    <x v="0"/>
    <x v="0"/>
    <x v="0"/>
  </r>
  <r>
    <n v="10283"/>
    <n v="849"/>
    <n v="2065"/>
    <x v="14"/>
    <x v="195"/>
    <x v="193"/>
    <n v="4"/>
    <n v="30"/>
    <x v="2"/>
    <x v="0"/>
    <n v="26.94"/>
    <n v="155.15"/>
    <n v="4654.5"/>
    <x v="6"/>
    <x v="2"/>
    <x v="1"/>
  </r>
  <r>
    <n v="10284"/>
    <n v="865"/>
    <n v="2043"/>
    <x v="11"/>
    <x v="171"/>
    <x v="194"/>
    <n v="6"/>
    <n v="46"/>
    <x v="0"/>
    <x v="4"/>
    <n v="14.98"/>
    <n v="375.85"/>
    <n v="17289.100000000002"/>
    <x v="2"/>
    <x v="1"/>
    <x v="1"/>
  </r>
  <r>
    <n v="10285"/>
    <n v="601"/>
    <n v="2009"/>
    <x v="6"/>
    <x v="196"/>
    <x v="68"/>
    <n v="4"/>
    <n v="4"/>
    <x v="0"/>
    <x v="3"/>
    <n v="16.82"/>
    <n v="376.01"/>
    <n v="1504.04"/>
    <x v="3"/>
    <x v="1"/>
    <x v="0"/>
  </r>
  <r>
    <n v="10286"/>
    <n v="654"/>
    <n v="2064"/>
    <x v="5"/>
    <x v="197"/>
    <x v="38"/>
    <n v="6"/>
    <n v="55"/>
    <x v="2"/>
    <x v="3"/>
    <n v="15.41"/>
    <n v="203.79"/>
    <n v="11208.449999999999"/>
    <x v="0"/>
    <x v="2"/>
    <x v="1"/>
  </r>
  <r>
    <n v="10287"/>
    <n v="837"/>
    <n v="2059"/>
    <x v="11"/>
    <x v="198"/>
    <x v="149"/>
    <n v="4"/>
    <n v="17"/>
    <x v="0"/>
    <x v="1"/>
    <n v="17.760000000000002"/>
    <n v="279.55"/>
    <n v="4752.3500000000004"/>
    <x v="2"/>
    <x v="1"/>
    <x v="1"/>
  </r>
  <r>
    <n v="10288"/>
    <n v="767"/>
    <n v="2090"/>
    <x v="0"/>
    <x v="199"/>
    <x v="145"/>
    <n v="9"/>
    <n v="88"/>
    <x v="2"/>
    <x v="2"/>
    <n v="38.729999999999997"/>
    <n v="913.68"/>
    <n v="80403.839999999997"/>
    <x v="0"/>
    <x v="0"/>
    <x v="0"/>
  </r>
  <r>
    <n v="10289"/>
    <n v="788"/>
    <n v="2023"/>
    <x v="0"/>
    <x v="200"/>
    <x v="81"/>
    <n v="3"/>
    <n v="59"/>
    <x v="1"/>
    <x v="0"/>
    <n v="39.520000000000003"/>
    <n v="618.29999999999995"/>
    <n v="36479.699999999997"/>
    <x v="0"/>
    <x v="0"/>
    <x v="0"/>
  </r>
  <r>
    <n v="10290"/>
    <n v="774"/>
    <n v="2048"/>
    <x v="6"/>
    <x v="195"/>
    <x v="59"/>
    <n v="10"/>
    <n v="58"/>
    <x v="1"/>
    <x v="2"/>
    <n v="6.74"/>
    <n v="864.57"/>
    <n v="50145.060000000005"/>
    <x v="3"/>
    <x v="1"/>
    <x v="0"/>
  </r>
  <r>
    <n v="10291"/>
    <n v="685"/>
    <n v="2062"/>
    <x v="8"/>
    <x v="189"/>
    <x v="195"/>
    <n v="4"/>
    <n v="39"/>
    <x v="2"/>
    <x v="1"/>
    <n v="32.479999999999997"/>
    <n v="409.49"/>
    <n v="15970.11"/>
    <x v="2"/>
    <x v="2"/>
    <x v="1"/>
  </r>
  <r>
    <n v="10292"/>
    <n v="636"/>
    <n v="2040"/>
    <x v="7"/>
    <x v="201"/>
    <x v="196"/>
    <n v="9"/>
    <n v="74"/>
    <x v="0"/>
    <x v="4"/>
    <n v="3.71"/>
    <n v="27.53"/>
    <n v="2037.22"/>
    <x v="4"/>
    <x v="3"/>
    <x v="0"/>
  </r>
  <r>
    <n v="10293"/>
    <n v="662"/>
    <n v="2081"/>
    <x v="17"/>
    <x v="112"/>
    <x v="169"/>
    <n v="8"/>
    <n v="70"/>
    <x v="2"/>
    <x v="3"/>
    <n v="20.72"/>
    <n v="668.31"/>
    <n v="46781.7"/>
    <x v="5"/>
    <x v="1"/>
    <x v="1"/>
  </r>
  <r>
    <n v="10294"/>
    <n v="577"/>
    <n v="2069"/>
    <x v="16"/>
    <x v="184"/>
    <x v="197"/>
    <n v="8"/>
    <n v="16"/>
    <x v="1"/>
    <x v="2"/>
    <n v="2.94"/>
    <n v="494.92"/>
    <n v="7918.72"/>
    <x v="6"/>
    <x v="2"/>
    <x v="2"/>
  </r>
  <r>
    <n v="10295"/>
    <n v="704"/>
    <n v="2091"/>
    <x v="4"/>
    <x v="202"/>
    <x v="142"/>
    <n v="3"/>
    <n v="70"/>
    <x v="2"/>
    <x v="3"/>
    <n v="10.41"/>
    <n v="271.61"/>
    <n v="19012.7"/>
    <x v="1"/>
    <x v="2"/>
    <x v="0"/>
  </r>
  <r>
    <n v="10296"/>
    <n v="673"/>
    <n v="2043"/>
    <x v="9"/>
    <x v="85"/>
    <x v="198"/>
    <n v="3"/>
    <n v="63"/>
    <x v="0"/>
    <x v="4"/>
    <n v="14.98"/>
    <n v="375.85"/>
    <n v="23678.550000000003"/>
    <x v="3"/>
    <x v="1"/>
    <x v="2"/>
  </r>
  <r>
    <n v="10297"/>
    <n v="701"/>
    <n v="2037"/>
    <x v="13"/>
    <x v="88"/>
    <x v="48"/>
    <n v="1"/>
    <n v="1"/>
    <x v="3"/>
    <x v="3"/>
    <n v="29.23"/>
    <n v="491.44"/>
    <n v="491.44"/>
    <x v="1"/>
    <x v="1"/>
    <x v="0"/>
  </r>
  <r>
    <n v="10298"/>
    <n v="646"/>
    <n v="2096"/>
    <x v="7"/>
    <x v="170"/>
    <x v="67"/>
    <n v="6"/>
    <n v="87"/>
    <x v="1"/>
    <x v="2"/>
    <n v="20.04"/>
    <n v="70.19"/>
    <n v="6106.53"/>
    <x v="4"/>
    <x v="3"/>
    <x v="0"/>
  </r>
  <r>
    <n v="10299"/>
    <n v="607"/>
    <n v="2059"/>
    <x v="15"/>
    <x v="22"/>
    <x v="199"/>
    <n v="7"/>
    <n v="44"/>
    <x v="0"/>
    <x v="1"/>
    <n v="17.760000000000002"/>
    <n v="279.55"/>
    <n v="12300.2"/>
    <x v="2"/>
    <x v="1"/>
    <x v="0"/>
  </r>
  <r>
    <n v="10300"/>
    <n v="821"/>
    <n v="2058"/>
    <x v="1"/>
    <x v="203"/>
    <x v="200"/>
    <n v="9"/>
    <n v="53"/>
    <x v="2"/>
    <x v="4"/>
    <n v="28.48"/>
    <n v="13.34"/>
    <n v="707.02"/>
    <x v="1"/>
    <x v="0"/>
    <x v="1"/>
  </r>
  <r>
    <n v="10301"/>
    <n v="791"/>
    <n v="2045"/>
    <x v="13"/>
    <x v="30"/>
    <x v="158"/>
    <n v="3"/>
    <n v="55"/>
    <x v="3"/>
    <x v="1"/>
    <n v="41.3"/>
    <n v="652.61"/>
    <n v="35893.550000000003"/>
    <x v="1"/>
    <x v="1"/>
    <x v="0"/>
  </r>
  <r>
    <n v="10302"/>
    <n v="624"/>
    <n v="2078"/>
    <x v="0"/>
    <x v="11"/>
    <x v="201"/>
    <n v="8"/>
    <n v="43"/>
    <x v="1"/>
    <x v="3"/>
    <n v="14.85"/>
    <n v="517.03"/>
    <n v="22232.289999999997"/>
    <x v="0"/>
    <x v="0"/>
    <x v="0"/>
  </r>
  <r>
    <n v="10303"/>
    <n v="825"/>
    <n v="2085"/>
    <x v="9"/>
    <x v="154"/>
    <x v="202"/>
    <n v="4"/>
    <n v="87"/>
    <x v="3"/>
    <x v="2"/>
    <n v="47.56"/>
    <n v="131.63"/>
    <n v="11451.81"/>
    <x v="3"/>
    <x v="1"/>
    <x v="2"/>
  </r>
  <r>
    <n v="10304"/>
    <n v="741"/>
    <n v="2064"/>
    <x v="7"/>
    <x v="204"/>
    <x v="203"/>
    <n v="1"/>
    <n v="14"/>
    <x v="2"/>
    <x v="3"/>
    <n v="15.41"/>
    <n v="203.79"/>
    <n v="2853.06"/>
    <x v="4"/>
    <x v="3"/>
    <x v="0"/>
  </r>
  <r>
    <n v="10305"/>
    <n v="558"/>
    <n v="2049"/>
    <x v="2"/>
    <x v="205"/>
    <x v="204"/>
    <n v="4"/>
    <n v="39"/>
    <x v="0"/>
    <x v="4"/>
    <n v="17.52"/>
    <n v="832.77"/>
    <n v="32478.03"/>
    <x v="2"/>
    <x v="1"/>
    <x v="2"/>
  </r>
  <r>
    <n v="10306"/>
    <n v="890"/>
    <n v="2013"/>
    <x v="3"/>
    <x v="206"/>
    <x v="59"/>
    <n v="6"/>
    <n v="36"/>
    <x v="2"/>
    <x v="0"/>
    <n v="19.53"/>
    <n v="563.69000000000005"/>
    <n v="20292.840000000004"/>
    <x v="2"/>
    <x v="2"/>
    <x v="2"/>
  </r>
  <r>
    <n v="10307"/>
    <n v="585"/>
    <n v="2023"/>
    <x v="16"/>
    <x v="130"/>
    <x v="13"/>
    <n v="7"/>
    <n v="59"/>
    <x v="3"/>
    <x v="0"/>
    <n v="39.520000000000003"/>
    <n v="618.29999999999995"/>
    <n v="36479.699999999997"/>
    <x v="6"/>
    <x v="2"/>
    <x v="2"/>
  </r>
  <r>
    <n v="10308"/>
    <n v="595"/>
    <n v="2012"/>
    <x v="19"/>
    <x v="162"/>
    <x v="205"/>
    <n v="1"/>
    <n v="71"/>
    <x v="2"/>
    <x v="3"/>
    <n v="34.93"/>
    <n v="327.92"/>
    <n v="23282.32"/>
    <x v="7"/>
    <x v="3"/>
    <x v="1"/>
  </r>
  <r>
    <n v="10309"/>
    <n v="701"/>
    <n v="2043"/>
    <x v="7"/>
    <x v="98"/>
    <x v="206"/>
    <n v="7"/>
    <n v="52"/>
    <x v="0"/>
    <x v="4"/>
    <n v="14.98"/>
    <n v="375.85"/>
    <n v="19544.2"/>
    <x v="4"/>
    <x v="3"/>
    <x v="0"/>
  </r>
  <r>
    <n v="10310"/>
    <n v="618"/>
    <n v="2045"/>
    <x v="6"/>
    <x v="207"/>
    <x v="68"/>
    <n v="6"/>
    <n v="45"/>
    <x v="3"/>
    <x v="1"/>
    <n v="41.3"/>
    <n v="652.61"/>
    <n v="29367.45"/>
    <x v="3"/>
    <x v="1"/>
    <x v="0"/>
  </r>
  <r>
    <n v="10311"/>
    <n v="677"/>
    <n v="2047"/>
    <x v="0"/>
    <x v="111"/>
    <x v="0"/>
    <n v="4"/>
    <n v="71"/>
    <x v="2"/>
    <x v="4"/>
    <n v="31.72"/>
    <n v="210.46"/>
    <n v="14942.66"/>
    <x v="0"/>
    <x v="0"/>
    <x v="0"/>
  </r>
  <r>
    <n v="10312"/>
    <n v="578"/>
    <n v="2028"/>
    <x v="7"/>
    <x v="208"/>
    <x v="76"/>
    <n v="7"/>
    <n v="86"/>
    <x v="0"/>
    <x v="0"/>
    <n v="30.34"/>
    <n v="630.65"/>
    <n v="54235.9"/>
    <x v="4"/>
    <x v="3"/>
    <x v="0"/>
  </r>
  <r>
    <n v="10313"/>
    <n v="801"/>
    <n v="2097"/>
    <x v="11"/>
    <x v="99"/>
    <x v="100"/>
    <n v="10"/>
    <n v="23"/>
    <x v="2"/>
    <x v="4"/>
    <n v="30.63"/>
    <n v="828.74"/>
    <n v="19061.02"/>
    <x v="2"/>
    <x v="1"/>
    <x v="1"/>
  </r>
  <r>
    <n v="10314"/>
    <n v="571"/>
    <n v="2039"/>
    <x v="16"/>
    <x v="209"/>
    <x v="35"/>
    <n v="2"/>
    <n v="83"/>
    <x v="0"/>
    <x v="4"/>
    <n v="2.69"/>
    <n v="350.51"/>
    <n v="29092.329999999998"/>
    <x v="6"/>
    <x v="2"/>
    <x v="2"/>
  </r>
  <r>
    <n v="10315"/>
    <n v="609"/>
    <n v="2010"/>
    <x v="2"/>
    <x v="43"/>
    <x v="207"/>
    <n v="10"/>
    <n v="80"/>
    <x v="1"/>
    <x v="0"/>
    <n v="9.58"/>
    <n v="440.93"/>
    <n v="35274.400000000001"/>
    <x v="2"/>
    <x v="1"/>
    <x v="2"/>
  </r>
  <r>
    <n v="10316"/>
    <n v="781"/>
    <n v="2092"/>
    <x v="14"/>
    <x v="210"/>
    <x v="208"/>
    <n v="7"/>
    <n v="96"/>
    <x v="0"/>
    <x v="2"/>
    <n v="30.97"/>
    <n v="521.23"/>
    <n v="50038.080000000002"/>
    <x v="6"/>
    <x v="2"/>
    <x v="1"/>
  </r>
  <r>
    <n v="10317"/>
    <n v="654"/>
    <n v="2088"/>
    <x v="7"/>
    <x v="54"/>
    <x v="46"/>
    <n v="6"/>
    <n v="46"/>
    <x v="0"/>
    <x v="0"/>
    <n v="27.71"/>
    <n v="820.21"/>
    <n v="37729.660000000003"/>
    <x v="4"/>
    <x v="3"/>
    <x v="0"/>
  </r>
  <r>
    <n v="10318"/>
    <n v="851"/>
    <n v="2090"/>
    <x v="12"/>
    <x v="211"/>
    <x v="209"/>
    <n v="9"/>
    <n v="31"/>
    <x v="0"/>
    <x v="2"/>
    <n v="38.729999999999997"/>
    <n v="913.68"/>
    <n v="28324.079999999998"/>
    <x v="5"/>
    <x v="2"/>
    <x v="1"/>
  </r>
  <r>
    <n v="10319"/>
    <n v="746"/>
    <n v="2042"/>
    <x v="15"/>
    <x v="212"/>
    <x v="210"/>
    <n v="7"/>
    <n v="35"/>
    <x v="2"/>
    <x v="4"/>
    <n v="46.87"/>
    <n v="313.88"/>
    <n v="10985.8"/>
    <x v="2"/>
    <x v="1"/>
    <x v="0"/>
  </r>
  <r>
    <n v="10320"/>
    <n v="832"/>
    <n v="2016"/>
    <x v="0"/>
    <x v="26"/>
    <x v="57"/>
    <n v="7"/>
    <n v="3"/>
    <x v="2"/>
    <x v="0"/>
    <n v="12.52"/>
    <n v="709.8"/>
    <n v="2129.3999999999996"/>
    <x v="0"/>
    <x v="0"/>
    <x v="0"/>
  </r>
  <r>
    <n v="10321"/>
    <n v="882"/>
    <n v="2056"/>
    <x v="1"/>
    <x v="213"/>
    <x v="211"/>
    <n v="3"/>
    <n v="74"/>
    <x v="0"/>
    <x v="1"/>
    <n v="18.559999999999999"/>
    <n v="564.01"/>
    <n v="41736.74"/>
    <x v="1"/>
    <x v="0"/>
    <x v="1"/>
  </r>
  <r>
    <n v="10322"/>
    <n v="716"/>
    <n v="2089"/>
    <x v="6"/>
    <x v="214"/>
    <x v="133"/>
    <n v="1"/>
    <n v="23"/>
    <x v="0"/>
    <x v="2"/>
    <n v="19.170000000000002"/>
    <n v="513.33000000000004"/>
    <n v="11806.59"/>
    <x v="3"/>
    <x v="1"/>
    <x v="0"/>
  </r>
  <r>
    <n v="10323"/>
    <n v="884"/>
    <n v="2087"/>
    <x v="7"/>
    <x v="57"/>
    <x v="212"/>
    <n v="10"/>
    <n v="63"/>
    <x v="2"/>
    <x v="1"/>
    <n v="35.82"/>
    <n v="47.38"/>
    <n v="2984.94"/>
    <x v="4"/>
    <x v="3"/>
    <x v="0"/>
  </r>
  <r>
    <n v="10324"/>
    <n v="772"/>
    <n v="2092"/>
    <x v="18"/>
    <x v="145"/>
    <x v="213"/>
    <n v="1"/>
    <n v="55"/>
    <x v="1"/>
    <x v="2"/>
    <n v="30.97"/>
    <n v="521.23"/>
    <n v="28667.65"/>
    <x v="0"/>
    <x v="3"/>
    <x v="0"/>
  </r>
  <r>
    <n v="10325"/>
    <n v="693"/>
    <n v="2062"/>
    <x v="12"/>
    <x v="78"/>
    <x v="214"/>
    <n v="5"/>
    <n v="58"/>
    <x v="1"/>
    <x v="1"/>
    <n v="32.479999999999997"/>
    <n v="409.49"/>
    <n v="23750.420000000002"/>
    <x v="5"/>
    <x v="2"/>
    <x v="1"/>
  </r>
  <r>
    <n v="10326"/>
    <n v="591"/>
    <n v="2033"/>
    <x v="3"/>
    <x v="215"/>
    <x v="42"/>
    <n v="6"/>
    <n v="79"/>
    <x v="2"/>
    <x v="2"/>
    <n v="8.33"/>
    <n v="629.69000000000005"/>
    <n v="49745.51"/>
    <x v="2"/>
    <x v="2"/>
    <x v="2"/>
  </r>
  <r>
    <n v="10327"/>
    <n v="736"/>
    <n v="2053"/>
    <x v="7"/>
    <x v="46"/>
    <x v="22"/>
    <n v="3"/>
    <n v="85"/>
    <x v="0"/>
    <x v="2"/>
    <n v="34.54"/>
    <n v="162.21"/>
    <n v="13787.85"/>
    <x v="4"/>
    <x v="3"/>
    <x v="0"/>
  </r>
  <r>
    <n v="10328"/>
    <n v="722"/>
    <n v="2082"/>
    <x v="9"/>
    <x v="216"/>
    <x v="37"/>
    <n v="6"/>
    <n v="7"/>
    <x v="1"/>
    <x v="2"/>
    <n v="41.79"/>
    <n v="352.17"/>
    <n v="2465.19"/>
    <x v="3"/>
    <x v="1"/>
    <x v="2"/>
  </r>
  <r>
    <n v="10329"/>
    <n v="776"/>
    <n v="2062"/>
    <x v="9"/>
    <x v="11"/>
    <x v="188"/>
    <n v="2"/>
    <n v="9"/>
    <x v="2"/>
    <x v="1"/>
    <n v="32.479999999999997"/>
    <n v="409.49"/>
    <n v="3685.41"/>
    <x v="3"/>
    <x v="1"/>
    <x v="2"/>
  </r>
  <r>
    <n v="10330"/>
    <n v="576"/>
    <n v="2098"/>
    <x v="11"/>
    <x v="217"/>
    <x v="215"/>
    <n v="5"/>
    <n v="15"/>
    <x v="0"/>
    <x v="0"/>
    <n v="25.35"/>
    <n v="571.58000000000004"/>
    <n v="8573.7000000000007"/>
    <x v="2"/>
    <x v="1"/>
    <x v="1"/>
  </r>
  <r>
    <n v="10331"/>
    <n v="684"/>
    <n v="2044"/>
    <x v="19"/>
    <x v="93"/>
    <x v="49"/>
    <n v="2"/>
    <n v="59"/>
    <x v="0"/>
    <x v="3"/>
    <n v="11.44"/>
    <n v="939.99"/>
    <n v="55459.41"/>
    <x v="7"/>
    <x v="3"/>
    <x v="1"/>
  </r>
  <r>
    <n v="10332"/>
    <n v="720"/>
    <n v="2001"/>
    <x v="3"/>
    <x v="65"/>
    <x v="210"/>
    <n v="8"/>
    <n v="42"/>
    <x v="1"/>
    <x v="1"/>
    <n v="49.85"/>
    <n v="471.41"/>
    <n v="19799.22"/>
    <x v="2"/>
    <x v="2"/>
    <x v="2"/>
  </r>
  <r>
    <n v="10333"/>
    <n v="813"/>
    <n v="2032"/>
    <x v="11"/>
    <x v="214"/>
    <x v="66"/>
    <n v="3"/>
    <n v="62"/>
    <x v="3"/>
    <x v="1"/>
    <n v="3.81"/>
    <n v="682.41"/>
    <n v="42309.42"/>
    <x v="2"/>
    <x v="1"/>
    <x v="1"/>
  </r>
  <r>
    <n v="10334"/>
    <n v="744"/>
    <n v="2001"/>
    <x v="11"/>
    <x v="10"/>
    <x v="206"/>
    <n v="4"/>
    <n v="8"/>
    <x v="3"/>
    <x v="1"/>
    <n v="49.85"/>
    <n v="471.41"/>
    <n v="3771.28"/>
    <x v="2"/>
    <x v="1"/>
    <x v="1"/>
  </r>
  <r>
    <n v="10335"/>
    <n v="605"/>
    <n v="2037"/>
    <x v="7"/>
    <x v="218"/>
    <x v="216"/>
    <n v="8"/>
    <n v="55"/>
    <x v="2"/>
    <x v="3"/>
    <n v="29.23"/>
    <n v="491.44"/>
    <n v="27029.200000000001"/>
    <x v="4"/>
    <x v="3"/>
    <x v="0"/>
  </r>
  <r>
    <n v="10336"/>
    <n v="670"/>
    <n v="2092"/>
    <x v="16"/>
    <x v="39"/>
    <x v="209"/>
    <n v="8"/>
    <n v="78"/>
    <x v="1"/>
    <x v="2"/>
    <n v="30.97"/>
    <n v="521.23"/>
    <n v="40655.94"/>
    <x v="6"/>
    <x v="2"/>
    <x v="2"/>
  </r>
  <r>
    <n v="10337"/>
    <n v="767"/>
    <n v="2088"/>
    <x v="11"/>
    <x v="219"/>
    <x v="162"/>
    <n v="6"/>
    <n v="82"/>
    <x v="1"/>
    <x v="0"/>
    <n v="27.71"/>
    <n v="820.21"/>
    <n v="67257.22"/>
    <x v="2"/>
    <x v="1"/>
    <x v="1"/>
  </r>
  <r>
    <n v="10338"/>
    <n v="726"/>
    <n v="2044"/>
    <x v="9"/>
    <x v="220"/>
    <x v="217"/>
    <n v="10"/>
    <n v="49"/>
    <x v="1"/>
    <x v="3"/>
    <n v="11.44"/>
    <n v="939.99"/>
    <n v="46059.51"/>
    <x v="3"/>
    <x v="1"/>
    <x v="2"/>
  </r>
  <r>
    <n v="10339"/>
    <n v="531"/>
    <n v="2063"/>
    <x v="18"/>
    <x v="221"/>
    <x v="49"/>
    <n v="7"/>
    <n v="98"/>
    <x v="1"/>
    <x v="1"/>
    <n v="13.23"/>
    <n v="151.69999999999999"/>
    <n v="14866.599999999999"/>
    <x v="0"/>
    <x v="3"/>
    <x v="0"/>
  </r>
  <r>
    <n v="10340"/>
    <n v="671"/>
    <n v="2068"/>
    <x v="6"/>
    <x v="110"/>
    <x v="218"/>
    <n v="1"/>
    <n v="43"/>
    <x v="2"/>
    <x v="4"/>
    <n v="47.08"/>
    <n v="501.03"/>
    <n v="21544.289999999997"/>
    <x v="3"/>
    <x v="1"/>
    <x v="0"/>
  </r>
  <r>
    <n v="10341"/>
    <n v="729"/>
    <n v="2098"/>
    <x v="15"/>
    <x v="213"/>
    <x v="201"/>
    <n v="10"/>
    <n v="88"/>
    <x v="3"/>
    <x v="0"/>
    <n v="25.35"/>
    <n v="571.58000000000004"/>
    <n v="50299.040000000001"/>
    <x v="2"/>
    <x v="1"/>
    <x v="0"/>
  </r>
  <r>
    <n v="10342"/>
    <n v="644"/>
    <n v="2063"/>
    <x v="14"/>
    <x v="160"/>
    <x v="219"/>
    <n v="2"/>
    <n v="59"/>
    <x v="2"/>
    <x v="1"/>
    <n v="13.23"/>
    <n v="151.69999999999999"/>
    <n v="8950.2999999999993"/>
    <x v="6"/>
    <x v="2"/>
    <x v="1"/>
  </r>
  <r>
    <n v="10343"/>
    <n v="612"/>
    <n v="2098"/>
    <x v="8"/>
    <x v="120"/>
    <x v="176"/>
    <n v="7"/>
    <n v="85"/>
    <x v="2"/>
    <x v="0"/>
    <n v="25.35"/>
    <n v="571.58000000000004"/>
    <n v="48584.3"/>
    <x v="2"/>
    <x v="2"/>
    <x v="1"/>
  </r>
  <r>
    <n v="10344"/>
    <n v="661"/>
    <n v="2048"/>
    <x v="4"/>
    <x v="13"/>
    <x v="220"/>
    <n v="1"/>
    <n v="63"/>
    <x v="3"/>
    <x v="2"/>
    <n v="6.74"/>
    <n v="864.57"/>
    <n v="54467.91"/>
    <x v="1"/>
    <x v="2"/>
    <x v="0"/>
  </r>
  <r>
    <n v="10345"/>
    <n v="885"/>
    <n v="2004"/>
    <x v="16"/>
    <x v="81"/>
    <x v="131"/>
    <n v="7"/>
    <n v="53"/>
    <x v="3"/>
    <x v="1"/>
    <n v="4.34"/>
    <n v="52.14"/>
    <n v="2763.42"/>
    <x v="6"/>
    <x v="2"/>
    <x v="2"/>
  </r>
  <r>
    <n v="10346"/>
    <n v="811"/>
    <n v="2037"/>
    <x v="11"/>
    <x v="53"/>
    <x v="63"/>
    <n v="4"/>
    <n v="64"/>
    <x v="3"/>
    <x v="3"/>
    <n v="29.23"/>
    <n v="491.44"/>
    <n v="31452.16"/>
    <x v="2"/>
    <x v="1"/>
    <x v="1"/>
  </r>
  <r>
    <n v="10347"/>
    <n v="521"/>
    <n v="2089"/>
    <x v="15"/>
    <x v="61"/>
    <x v="197"/>
    <n v="1"/>
    <n v="37"/>
    <x v="0"/>
    <x v="2"/>
    <n v="19.170000000000002"/>
    <n v="513.33000000000004"/>
    <n v="18993.210000000003"/>
    <x v="2"/>
    <x v="1"/>
    <x v="0"/>
  </r>
  <r>
    <n v="10348"/>
    <n v="646"/>
    <n v="2003"/>
    <x v="12"/>
    <x v="222"/>
    <x v="113"/>
    <n v="3"/>
    <n v="70"/>
    <x v="0"/>
    <x v="0"/>
    <n v="39.74"/>
    <n v="864.17"/>
    <n v="60491.899999999994"/>
    <x v="5"/>
    <x v="2"/>
    <x v="1"/>
  </r>
  <r>
    <n v="10349"/>
    <n v="726"/>
    <n v="2011"/>
    <x v="5"/>
    <x v="171"/>
    <x v="221"/>
    <n v="3"/>
    <n v="24"/>
    <x v="1"/>
    <x v="3"/>
    <n v="12.75"/>
    <n v="987.99"/>
    <n v="23711.760000000002"/>
    <x v="0"/>
    <x v="2"/>
    <x v="1"/>
  </r>
  <r>
    <n v="10350"/>
    <n v="777"/>
    <n v="2037"/>
    <x v="8"/>
    <x v="1"/>
    <x v="1"/>
    <n v="10"/>
    <n v="59"/>
    <x v="2"/>
    <x v="3"/>
    <n v="29.23"/>
    <n v="491.44"/>
    <n v="28994.959999999999"/>
    <x v="2"/>
    <x v="2"/>
    <x v="1"/>
  </r>
  <r>
    <n v="10351"/>
    <n v="799"/>
    <n v="2028"/>
    <x v="8"/>
    <x v="4"/>
    <x v="146"/>
    <n v="3"/>
    <n v="51"/>
    <x v="2"/>
    <x v="0"/>
    <n v="30.34"/>
    <n v="630.65"/>
    <n v="32163.149999999998"/>
    <x v="2"/>
    <x v="2"/>
    <x v="1"/>
  </r>
  <r>
    <n v="10352"/>
    <n v="900"/>
    <n v="2010"/>
    <x v="0"/>
    <x v="48"/>
    <x v="222"/>
    <n v="5"/>
    <n v="28"/>
    <x v="0"/>
    <x v="0"/>
    <n v="9.58"/>
    <n v="440.93"/>
    <n v="12346.04"/>
    <x v="0"/>
    <x v="0"/>
    <x v="0"/>
  </r>
  <r>
    <n v="10353"/>
    <n v="560"/>
    <n v="2095"/>
    <x v="16"/>
    <x v="223"/>
    <x v="56"/>
    <n v="3"/>
    <n v="87"/>
    <x v="3"/>
    <x v="0"/>
    <n v="38.81"/>
    <n v="761.63"/>
    <n v="66261.81"/>
    <x v="6"/>
    <x v="2"/>
    <x v="2"/>
  </r>
  <r>
    <n v="10354"/>
    <n v="656"/>
    <n v="2015"/>
    <x v="13"/>
    <x v="156"/>
    <x v="191"/>
    <n v="1"/>
    <n v="99"/>
    <x v="3"/>
    <x v="0"/>
    <n v="35.520000000000003"/>
    <n v="638.11"/>
    <n v="63172.89"/>
    <x v="1"/>
    <x v="1"/>
    <x v="0"/>
  </r>
  <r>
    <n v="10355"/>
    <n v="535"/>
    <n v="2047"/>
    <x v="4"/>
    <x v="180"/>
    <x v="114"/>
    <n v="9"/>
    <n v="87"/>
    <x v="2"/>
    <x v="4"/>
    <n v="31.72"/>
    <n v="210.46"/>
    <n v="18310.02"/>
    <x v="1"/>
    <x v="2"/>
    <x v="0"/>
  </r>
  <r>
    <n v="10356"/>
    <n v="682"/>
    <n v="2011"/>
    <x v="12"/>
    <x v="86"/>
    <x v="89"/>
    <n v="9"/>
    <n v="53"/>
    <x v="1"/>
    <x v="3"/>
    <n v="12.75"/>
    <n v="987.99"/>
    <n v="52363.47"/>
    <x v="5"/>
    <x v="2"/>
    <x v="1"/>
  </r>
  <r>
    <n v="10357"/>
    <n v="853"/>
    <n v="2096"/>
    <x v="8"/>
    <x v="143"/>
    <x v="223"/>
    <n v="2"/>
    <n v="47"/>
    <x v="3"/>
    <x v="2"/>
    <n v="20.04"/>
    <n v="70.19"/>
    <n v="3298.93"/>
    <x v="2"/>
    <x v="2"/>
    <x v="1"/>
  </r>
  <r>
    <n v="10358"/>
    <n v="811"/>
    <n v="2012"/>
    <x v="4"/>
    <x v="224"/>
    <x v="137"/>
    <n v="10"/>
    <n v="92"/>
    <x v="3"/>
    <x v="3"/>
    <n v="34.93"/>
    <n v="327.92"/>
    <n v="30168.640000000003"/>
    <x v="1"/>
    <x v="2"/>
    <x v="0"/>
  </r>
  <r>
    <n v="10359"/>
    <n v="503"/>
    <n v="2036"/>
    <x v="16"/>
    <x v="210"/>
    <x v="208"/>
    <n v="7"/>
    <n v="45"/>
    <x v="1"/>
    <x v="2"/>
    <n v="39.39"/>
    <n v="745.86"/>
    <n v="33563.699999999997"/>
    <x v="6"/>
    <x v="2"/>
    <x v="2"/>
  </r>
  <r>
    <n v="10360"/>
    <n v="819"/>
    <n v="2093"/>
    <x v="9"/>
    <x v="225"/>
    <x v="224"/>
    <n v="5"/>
    <n v="16"/>
    <x v="3"/>
    <x v="1"/>
    <n v="25.73"/>
    <n v="537.69000000000005"/>
    <n v="8603.0400000000009"/>
    <x v="3"/>
    <x v="1"/>
    <x v="2"/>
  </r>
  <r>
    <n v="10361"/>
    <n v="604"/>
    <n v="2095"/>
    <x v="18"/>
    <x v="222"/>
    <x v="16"/>
    <n v="1"/>
    <n v="16"/>
    <x v="2"/>
    <x v="0"/>
    <n v="38.81"/>
    <n v="761.63"/>
    <n v="12186.08"/>
    <x v="0"/>
    <x v="3"/>
    <x v="0"/>
  </r>
  <r>
    <n v="10362"/>
    <n v="578"/>
    <n v="2079"/>
    <x v="7"/>
    <x v="95"/>
    <x v="225"/>
    <n v="8"/>
    <n v="90"/>
    <x v="2"/>
    <x v="2"/>
    <n v="12.3"/>
    <n v="99.7"/>
    <n v="8973"/>
    <x v="4"/>
    <x v="3"/>
    <x v="0"/>
  </r>
  <r>
    <n v="10363"/>
    <n v="823"/>
    <n v="2046"/>
    <x v="7"/>
    <x v="125"/>
    <x v="89"/>
    <n v="2"/>
    <n v="47"/>
    <x v="2"/>
    <x v="4"/>
    <n v="38.130000000000003"/>
    <n v="649.34"/>
    <n v="30518.980000000003"/>
    <x v="4"/>
    <x v="3"/>
    <x v="0"/>
  </r>
  <r>
    <n v="10364"/>
    <n v="781"/>
    <n v="2056"/>
    <x v="4"/>
    <x v="98"/>
    <x v="226"/>
    <n v="5"/>
    <n v="54"/>
    <x v="1"/>
    <x v="1"/>
    <n v="18.559999999999999"/>
    <n v="564.01"/>
    <n v="30456.54"/>
    <x v="1"/>
    <x v="2"/>
    <x v="0"/>
  </r>
  <r>
    <n v="10365"/>
    <n v="785"/>
    <n v="2031"/>
    <x v="10"/>
    <x v="184"/>
    <x v="227"/>
    <n v="10"/>
    <n v="5"/>
    <x v="3"/>
    <x v="4"/>
    <n v="24.61"/>
    <n v="342.86"/>
    <n v="1714.3000000000002"/>
    <x v="0"/>
    <x v="2"/>
    <x v="0"/>
  </r>
  <r>
    <n v="10366"/>
    <n v="782"/>
    <n v="2032"/>
    <x v="7"/>
    <x v="226"/>
    <x v="156"/>
    <n v="4"/>
    <n v="95"/>
    <x v="3"/>
    <x v="1"/>
    <n v="3.81"/>
    <n v="682.41"/>
    <n v="64828.95"/>
    <x v="4"/>
    <x v="3"/>
    <x v="0"/>
  </r>
  <r>
    <n v="10367"/>
    <n v="651"/>
    <n v="2018"/>
    <x v="10"/>
    <x v="227"/>
    <x v="228"/>
    <n v="8"/>
    <n v="66"/>
    <x v="0"/>
    <x v="3"/>
    <n v="16.739999999999998"/>
    <n v="103.05"/>
    <n v="6801.3"/>
    <x v="0"/>
    <x v="2"/>
    <x v="0"/>
  </r>
  <r>
    <n v="10368"/>
    <n v="702"/>
    <n v="2070"/>
    <x v="16"/>
    <x v="228"/>
    <x v="229"/>
    <n v="5"/>
    <n v="45"/>
    <x v="0"/>
    <x v="2"/>
    <n v="22.6"/>
    <n v="196.67"/>
    <n v="8850.15"/>
    <x v="6"/>
    <x v="2"/>
    <x v="2"/>
  </r>
  <r>
    <n v="10369"/>
    <n v="616"/>
    <n v="2040"/>
    <x v="6"/>
    <x v="175"/>
    <x v="230"/>
    <n v="8"/>
    <n v="58"/>
    <x v="0"/>
    <x v="4"/>
    <n v="3.71"/>
    <n v="27.53"/>
    <n v="1596.74"/>
    <x v="3"/>
    <x v="1"/>
    <x v="0"/>
  </r>
  <r>
    <n v="10370"/>
    <n v="882"/>
    <n v="2085"/>
    <x v="6"/>
    <x v="220"/>
    <x v="231"/>
    <n v="3"/>
    <n v="85"/>
    <x v="1"/>
    <x v="2"/>
    <n v="47.56"/>
    <n v="131.63"/>
    <n v="11188.55"/>
    <x v="3"/>
    <x v="1"/>
    <x v="0"/>
  </r>
  <r>
    <n v="10371"/>
    <n v="638"/>
    <n v="2063"/>
    <x v="12"/>
    <x v="229"/>
    <x v="156"/>
    <n v="10"/>
    <n v="30"/>
    <x v="3"/>
    <x v="1"/>
    <n v="13.23"/>
    <n v="151.69999999999999"/>
    <n v="4551"/>
    <x v="5"/>
    <x v="2"/>
    <x v="1"/>
  </r>
  <r>
    <n v="10372"/>
    <n v="788"/>
    <n v="2072"/>
    <x v="19"/>
    <x v="230"/>
    <x v="83"/>
    <n v="5"/>
    <n v="70"/>
    <x v="2"/>
    <x v="1"/>
    <n v="26.22"/>
    <n v="576.57000000000005"/>
    <n v="40359.9"/>
    <x v="7"/>
    <x v="3"/>
    <x v="1"/>
  </r>
  <r>
    <n v="10373"/>
    <n v="862"/>
    <n v="2076"/>
    <x v="18"/>
    <x v="231"/>
    <x v="160"/>
    <n v="4"/>
    <n v="88"/>
    <x v="1"/>
    <x v="0"/>
    <n v="14.63"/>
    <n v="638.11"/>
    <n v="56153.68"/>
    <x v="0"/>
    <x v="3"/>
    <x v="0"/>
  </r>
  <r>
    <n v="10374"/>
    <n v="867"/>
    <n v="2061"/>
    <x v="2"/>
    <x v="120"/>
    <x v="124"/>
    <n v="1"/>
    <n v="44"/>
    <x v="0"/>
    <x v="0"/>
    <n v="46.64"/>
    <n v="620.16999999999996"/>
    <n v="27287.48"/>
    <x v="2"/>
    <x v="1"/>
    <x v="2"/>
  </r>
  <r>
    <n v="10375"/>
    <n v="883"/>
    <n v="2097"/>
    <x v="3"/>
    <x v="232"/>
    <x v="25"/>
    <n v="4"/>
    <n v="33"/>
    <x v="3"/>
    <x v="4"/>
    <n v="30.63"/>
    <n v="828.74"/>
    <n v="27348.420000000002"/>
    <x v="2"/>
    <x v="2"/>
    <x v="2"/>
  </r>
  <r>
    <n v="10376"/>
    <n v="510"/>
    <n v="2053"/>
    <x v="8"/>
    <x v="233"/>
    <x v="132"/>
    <n v="7"/>
    <n v="88"/>
    <x v="1"/>
    <x v="2"/>
    <n v="34.54"/>
    <n v="162.21"/>
    <n v="14274.480000000001"/>
    <x v="2"/>
    <x v="2"/>
    <x v="1"/>
  </r>
  <r>
    <n v="10377"/>
    <n v="782"/>
    <n v="2011"/>
    <x v="12"/>
    <x v="234"/>
    <x v="52"/>
    <n v="7"/>
    <n v="69"/>
    <x v="1"/>
    <x v="3"/>
    <n v="12.75"/>
    <n v="987.99"/>
    <n v="68171.31"/>
    <x v="5"/>
    <x v="2"/>
    <x v="1"/>
  </r>
  <r>
    <n v="10378"/>
    <n v="833"/>
    <n v="2036"/>
    <x v="9"/>
    <x v="235"/>
    <x v="232"/>
    <n v="4"/>
    <n v="28"/>
    <x v="3"/>
    <x v="2"/>
    <n v="39.39"/>
    <n v="745.86"/>
    <n v="20884.080000000002"/>
    <x v="3"/>
    <x v="1"/>
    <x v="2"/>
  </r>
  <r>
    <n v="10379"/>
    <n v="568"/>
    <n v="2003"/>
    <x v="3"/>
    <x v="43"/>
    <x v="204"/>
    <n v="9"/>
    <n v="68"/>
    <x v="2"/>
    <x v="0"/>
    <n v="39.74"/>
    <n v="864.17"/>
    <n v="58763.56"/>
    <x v="2"/>
    <x v="2"/>
    <x v="2"/>
  </r>
  <r>
    <n v="10380"/>
    <n v="526"/>
    <n v="2099"/>
    <x v="13"/>
    <x v="162"/>
    <x v="216"/>
    <n v="10"/>
    <n v="78"/>
    <x v="2"/>
    <x v="3"/>
    <n v="31.62"/>
    <n v="652.77"/>
    <n v="50916.06"/>
    <x v="1"/>
    <x v="1"/>
    <x v="0"/>
  </r>
  <r>
    <n v="10381"/>
    <n v="798"/>
    <n v="2062"/>
    <x v="1"/>
    <x v="109"/>
    <x v="111"/>
    <n v="7"/>
    <n v="34"/>
    <x v="2"/>
    <x v="1"/>
    <n v="32.479999999999997"/>
    <n v="409.49"/>
    <n v="13922.66"/>
    <x v="1"/>
    <x v="0"/>
    <x v="1"/>
  </r>
  <r>
    <n v="10382"/>
    <n v="501"/>
    <n v="2077"/>
    <x v="5"/>
    <x v="22"/>
    <x v="51"/>
    <n v="3"/>
    <n v="4"/>
    <x v="1"/>
    <x v="1"/>
    <n v="28.18"/>
    <n v="857.59"/>
    <n v="3430.36"/>
    <x v="0"/>
    <x v="2"/>
    <x v="1"/>
  </r>
  <r>
    <n v="10383"/>
    <n v="745"/>
    <n v="2081"/>
    <x v="1"/>
    <x v="236"/>
    <x v="233"/>
    <n v="2"/>
    <n v="57"/>
    <x v="2"/>
    <x v="3"/>
    <n v="20.72"/>
    <n v="668.31"/>
    <n v="38093.67"/>
    <x v="1"/>
    <x v="0"/>
    <x v="1"/>
  </r>
  <r>
    <n v="10384"/>
    <n v="631"/>
    <n v="2019"/>
    <x v="11"/>
    <x v="237"/>
    <x v="234"/>
    <n v="8"/>
    <n v="19"/>
    <x v="0"/>
    <x v="2"/>
    <n v="27.65"/>
    <n v="89.85"/>
    <n v="1707.1499999999999"/>
    <x v="2"/>
    <x v="1"/>
    <x v="1"/>
  </r>
  <r>
    <n v="10385"/>
    <n v="695"/>
    <n v="2041"/>
    <x v="4"/>
    <x v="128"/>
    <x v="235"/>
    <n v="8"/>
    <n v="56"/>
    <x v="2"/>
    <x v="2"/>
    <n v="48.2"/>
    <n v="792.77"/>
    <n v="44395.119999999995"/>
    <x v="1"/>
    <x v="2"/>
    <x v="0"/>
  </r>
  <r>
    <n v="10386"/>
    <n v="824"/>
    <n v="2080"/>
    <x v="14"/>
    <x v="14"/>
    <x v="236"/>
    <n v="1"/>
    <n v="71"/>
    <x v="3"/>
    <x v="1"/>
    <n v="29.56"/>
    <n v="143.84"/>
    <n v="10212.64"/>
    <x v="6"/>
    <x v="2"/>
    <x v="1"/>
  </r>
  <r>
    <n v="10387"/>
    <n v="836"/>
    <n v="2091"/>
    <x v="3"/>
    <x v="238"/>
    <x v="121"/>
    <n v="1"/>
    <n v="52"/>
    <x v="0"/>
    <x v="3"/>
    <n v="10.41"/>
    <n v="271.61"/>
    <n v="14123.720000000001"/>
    <x v="2"/>
    <x v="2"/>
    <x v="2"/>
  </r>
  <r>
    <n v="10388"/>
    <n v="777"/>
    <n v="2021"/>
    <x v="5"/>
    <x v="144"/>
    <x v="82"/>
    <n v="4"/>
    <n v="88"/>
    <x v="1"/>
    <x v="1"/>
    <n v="18.77"/>
    <n v="259.72000000000003"/>
    <n v="22855.360000000001"/>
    <x v="0"/>
    <x v="2"/>
    <x v="1"/>
  </r>
  <r>
    <n v="10389"/>
    <n v="634"/>
    <n v="2082"/>
    <x v="6"/>
    <x v="218"/>
    <x v="216"/>
    <n v="8"/>
    <n v="72"/>
    <x v="0"/>
    <x v="2"/>
    <n v="41.79"/>
    <n v="352.17"/>
    <n v="25356.240000000002"/>
    <x v="3"/>
    <x v="1"/>
    <x v="0"/>
  </r>
  <r>
    <n v="10390"/>
    <n v="900"/>
    <n v="2084"/>
    <x v="13"/>
    <x v="239"/>
    <x v="132"/>
    <n v="9"/>
    <n v="11"/>
    <x v="3"/>
    <x v="3"/>
    <n v="14.27"/>
    <n v="223.58"/>
    <n v="2459.38"/>
    <x v="1"/>
    <x v="1"/>
    <x v="0"/>
  </r>
  <r>
    <n v="10391"/>
    <n v="579"/>
    <n v="2077"/>
    <x v="10"/>
    <x v="91"/>
    <x v="135"/>
    <n v="10"/>
    <n v="14"/>
    <x v="0"/>
    <x v="1"/>
    <n v="28.18"/>
    <n v="857.59"/>
    <n v="12006.26"/>
    <x v="0"/>
    <x v="2"/>
    <x v="0"/>
  </r>
  <r>
    <n v="10392"/>
    <n v="695"/>
    <n v="2067"/>
    <x v="17"/>
    <x v="187"/>
    <x v="154"/>
    <n v="5"/>
    <n v="82"/>
    <x v="0"/>
    <x v="1"/>
    <n v="24.79"/>
    <n v="48.68"/>
    <n v="3991.7599999999998"/>
    <x v="5"/>
    <x v="1"/>
    <x v="1"/>
  </r>
  <r>
    <n v="10393"/>
    <n v="574"/>
    <n v="2047"/>
    <x v="19"/>
    <x v="214"/>
    <x v="66"/>
    <n v="3"/>
    <n v="40"/>
    <x v="3"/>
    <x v="4"/>
    <n v="31.72"/>
    <n v="210.46"/>
    <n v="8418.4"/>
    <x v="7"/>
    <x v="3"/>
    <x v="1"/>
  </r>
  <r>
    <n v="10394"/>
    <n v="527"/>
    <n v="2084"/>
    <x v="13"/>
    <x v="240"/>
    <x v="218"/>
    <n v="2"/>
    <n v="20"/>
    <x v="1"/>
    <x v="3"/>
    <n v="14.27"/>
    <n v="223.58"/>
    <n v="4471.6000000000004"/>
    <x v="1"/>
    <x v="1"/>
    <x v="0"/>
  </r>
  <r>
    <n v="10395"/>
    <n v="552"/>
    <n v="2047"/>
    <x v="18"/>
    <x v="116"/>
    <x v="237"/>
    <n v="10"/>
    <n v="31"/>
    <x v="0"/>
    <x v="4"/>
    <n v="31.72"/>
    <n v="210.46"/>
    <n v="6524.26"/>
    <x v="0"/>
    <x v="3"/>
    <x v="0"/>
  </r>
  <r>
    <n v="10396"/>
    <n v="619"/>
    <n v="2026"/>
    <x v="2"/>
    <x v="241"/>
    <x v="238"/>
    <n v="1"/>
    <n v="94"/>
    <x v="0"/>
    <x v="2"/>
    <n v="23.02"/>
    <n v="858.57"/>
    <n v="80705.58"/>
    <x v="2"/>
    <x v="1"/>
    <x v="2"/>
  </r>
  <r>
    <n v="10397"/>
    <n v="632"/>
    <n v="2001"/>
    <x v="19"/>
    <x v="242"/>
    <x v="112"/>
    <n v="3"/>
    <n v="75"/>
    <x v="2"/>
    <x v="1"/>
    <n v="49.85"/>
    <n v="471.41"/>
    <n v="35355.75"/>
    <x v="7"/>
    <x v="3"/>
    <x v="1"/>
  </r>
  <r>
    <n v="10398"/>
    <n v="723"/>
    <n v="2082"/>
    <x v="19"/>
    <x v="38"/>
    <x v="104"/>
    <n v="9"/>
    <n v="6"/>
    <x v="2"/>
    <x v="2"/>
    <n v="41.79"/>
    <n v="352.17"/>
    <n v="2113.02"/>
    <x v="7"/>
    <x v="3"/>
    <x v="1"/>
  </r>
  <r>
    <n v="10399"/>
    <n v="791"/>
    <n v="2033"/>
    <x v="9"/>
    <x v="49"/>
    <x v="239"/>
    <n v="2"/>
    <n v="6"/>
    <x v="2"/>
    <x v="2"/>
    <n v="8.33"/>
    <n v="629.69000000000005"/>
    <n v="3778.1400000000003"/>
    <x v="3"/>
    <x v="1"/>
    <x v="2"/>
  </r>
  <r>
    <n v="10400"/>
    <n v="847"/>
    <n v="2055"/>
    <x v="11"/>
    <x v="17"/>
    <x v="240"/>
    <n v="6"/>
    <n v="50"/>
    <x v="0"/>
    <x v="4"/>
    <n v="26.24"/>
    <n v="312.67"/>
    <n v="15633.5"/>
    <x v="2"/>
    <x v="1"/>
    <x v="1"/>
  </r>
  <r>
    <n v="10401"/>
    <n v="790"/>
    <n v="2077"/>
    <x v="14"/>
    <x v="62"/>
    <x v="241"/>
    <n v="2"/>
    <n v="12"/>
    <x v="2"/>
    <x v="1"/>
    <n v="28.18"/>
    <n v="857.59"/>
    <n v="10291.08"/>
    <x v="6"/>
    <x v="2"/>
    <x v="1"/>
  </r>
  <r>
    <n v="10402"/>
    <n v="592"/>
    <n v="2014"/>
    <x v="8"/>
    <x v="243"/>
    <x v="242"/>
    <n v="6"/>
    <n v="51"/>
    <x v="1"/>
    <x v="4"/>
    <n v="12.2"/>
    <n v="652.53"/>
    <n v="33279.03"/>
    <x v="2"/>
    <x v="2"/>
    <x v="1"/>
  </r>
  <r>
    <n v="10403"/>
    <n v="508"/>
    <n v="2023"/>
    <x v="17"/>
    <x v="160"/>
    <x v="61"/>
    <n v="8"/>
    <n v="25"/>
    <x v="1"/>
    <x v="0"/>
    <n v="39.520000000000003"/>
    <n v="618.29999999999995"/>
    <n v="15457.499999999998"/>
    <x v="5"/>
    <x v="1"/>
    <x v="1"/>
  </r>
  <r>
    <n v="10404"/>
    <n v="900"/>
    <n v="2019"/>
    <x v="0"/>
    <x v="244"/>
    <x v="243"/>
    <n v="7"/>
    <n v="24"/>
    <x v="3"/>
    <x v="2"/>
    <n v="27.65"/>
    <n v="89.85"/>
    <n v="2156.3999999999996"/>
    <x v="0"/>
    <x v="0"/>
    <x v="0"/>
  </r>
  <r>
    <n v="10405"/>
    <n v="806"/>
    <n v="2013"/>
    <x v="9"/>
    <x v="63"/>
    <x v="244"/>
    <n v="6"/>
    <n v="94"/>
    <x v="1"/>
    <x v="0"/>
    <n v="19.53"/>
    <n v="563.69000000000005"/>
    <n v="52986.860000000008"/>
    <x v="3"/>
    <x v="1"/>
    <x v="2"/>
  </r>
  <r>
    <n v="10406"/>
    <n v="805"/>
    <n v="2012"/>
    <x v="0"/>
    <x v="134"/>
    <x v="175"/>
    <n v="10"/>
    <n v="63"/>
    <x v="1"/>
    <x v="3"/>
    <n v="34.93"/>
    <n v="327.92"/>
    <n v="20658.960000000003"/>
    <x v="0"/>
    <x v="0"/>
    <x v="0"/>
  </r>
  <r>
    <n v="10407"/>
    <n v="544"/>
    <n v="2049"/>
    <x v="4"/>
    <x v="167"/>
    <x v="143"/>
    <n v="4"/>
    <n v="31"/>
    <x v="1"/>
    <x v="4"/>
    <n v="17.52"/>
    <n v="832.77"/>
    <n v="25815.87"/>
    <x v="1"/>
    <x v="2"/>
    <x v="0"/>
  </r>
  <r>
    <n v="10408"/>
    <n v="627"/>
    <n v="2019"/>
    <x v="17"/>
    <x v="148"/>
    <x v="116"/>
    <n v="4"/>
    <n v="1"/>
    <x v="1"/>
    <x v="2"/>
    <n v="27.65"/>
    <n v="89.85"/>
    <n v="89.85"/>
    <x v="5"/>
    <x v="1"/>
    <x v="1"/>
  </r>
  <r>
    <n v="10409"/>
    <n v="782"/>
    <n v="2047"/>
    <x v="11"/>
    <x v="194"/>
    <x v="3"/>
    <n v="10"/>
    <n v="82"/>
    <x v="2"/>
    <x v="4"/>
    <n v="31.72"/>
    <n v="210.46"/>
    <n v="17257.72"/>
    <x v="2"/>
    <x v="1"/>
    <x v="1"/>
  </r>
  <r>
    <n v="10410"/>
    <n v="532"/>
    <n v="2082"/>
    <x v="16"/>
    <x v="245"/>
    <x v="148"/>
    <n v="9"/>
    <n v="56"/>
    <x v="0"/>
    <x v="2"/>
    <n v="41.79"/>
    <n v="352.17"/>
    <n v="19721.52"/>
    <x v="6"/>
    <x v="2"/>
    <x v="2"/>
  </r>
  <r>
    <n v="10411"/>
    <n v="582"/>
    <n v="2049"/>
    <x v="19"/>
    <x v="46"/>
    <x v="16"/>
    <n v="5"/>
    <n v="35"/>
    <x v="2"/>
    <x v="4"/>
    <n v="17.52"/>
    <n v="832.77"/>
    <n v="29146.95"/>
    <x v="7"/>
    <x v="3"/>
    <x v="1"/>
  </r>
  <r>
    <n v="10412"/>
    <n v="581"/>
    <n v="2037"/>
    <x v="12"/>
    <x v="85"/>
    <x v="162"/>
    <n v="2"/>
    <n v="56"/>
    <x v="2"/>
    <x v="3"/>
    <n v="29.23"/>
    <n v="491.44"/>
    <n v="27520.639999999999"/>
    <x v="5"/>
    <x v="2"/>
    <x v="1"/>
  </r>
  <r>
    <n v="10413"/>
    <n v="893"/>
    <n v="2009"/>
    <x v="5"/>
    <x v="242"/>
    <x v="173"/>
    <n v="5"/>
    <n v="85"/>
    <x v="0"/>
    <x v="3"/>
    <n v="16.82"/>
    <n v="376.01"/>
    <n v="31960.85"/>
    <x v="0"/>
    <x v="2"/>
    <x v="1"/>
  </r>
  <r>
    <n v="10414"/>
    <n v="667"/>
    <n v="2076"/>
    <x v="11"/>
    <x v="174"/>
    <x v="245"/>
    <n v="5"/>
    <n v="59"/>
    <x v="1"/>
    <x v="0"/>
    <n v="14.63"/>
    <n v="638.11"/>
    <n v="37648.49"/>
    <x v="2"/>
    <x v="1"/>
    <x v="1"/>
  </r>
  <r>
    <n v="10415"/>
    <n v="625"/>
    <n v="2016"/>
    <x v="7"/>
    <x v="246"/>
    <x v="202"/>
    <n v="5"/>
    <n v="26"/>
    <x v="0"/>
    <x v="0"/>
    <n v="12.52"/>
    <n v="709.8"/>
    <n v="18454.8"/>
    <x v="4"/>
    <x v="3"/>
    <x v="0"/>
  </r>
  <r>
    <n v="10416"/>
    <n v="855"/>
    <n v="2065"/>
    <x v="4"/>
    <x v="160"/>
    <x v="246"/>
    <n v="6"/>
    <n v="63"/>
    <x v="3"/>
    <x v="0"/>
    <n v="26.94"/>
    <n v="155.15"/>
    <n v="9774.4500000000007"/>
    <x v="1"/>
    <x v="2"/>
    <x v="0"/>
  </r>
  <r>
    <n v="10417"/>
    <n v="519"/>
    <n v="2022"/>
    <x v="10"/>
    <x v="19"/>
    <x v="144"/>
    <n v="8"/>
    <n v="5"/>
    <x v="2"/>
    <x v="0"/>
    <n v="47.91"/>
    <n v="756.92"/>
    <n v="3784.6"/>
    <x v="0"/>
    <x v="2"/>
    <x v="0"/>
  </r>
  <r>
    <n v="10418"/>
    <n v="630"/>
    <n v="2094"/>
    <x v="1"/>
    <x v="247"/>
    <x v="241"/>
    <n v="8"/>
    <n v="9"/>
    <x v="1"/>
    <x v="4"/>
    <n v="22.56"/>
    <n v="393.53"/>
    <n v="3541.7699999999995"/>
    <x v="1"/>
    <x v="0"/>
    <x v="1"/>
  </r>
  <r>
    <n v="10419"/>
    <n v="618"/>
    <n v="2036"/>
    <x v="6"/>
    <x v="248"/>
    <x v="151"/>
    <n v="6"/>
    <n v="33"/>
    <x v="3"/>
    <x v="2"/>
    <n v="39.39"/>
    <n v="745.86"/>
    <n v="24613.38"/>
    <x v="3"/>
    <x v="1"/>
    <x v="0"/>
  </r>
  <r>
    <n v="10420"/>
    <n v="528"/>
    <n v="2055"/>
    <x v="2"/>
    <x v="96"/>
    <x v="4"/>
    <n v="1"/>
    <n v="68"/>
    <x v="0"/>
    <x v="4"/>
    <n v="26.24"/>
    <n v="312.67"/>
    <n v="21261.56"/>
    <x v="2"/>
    <x v="1"/>
    <x v="2"/>
  </r>
  <r>
    <n v="10421"/>
    <n v="508"/>
    <n v="2075"/>
    <x v="6"/>
    <x v="240"/>
    <x v="247"/>
    <n v="6"/>
    <n v="81"/>
    <x v="2"/>
    <x v="4"/>
    <n v="16.57"/>
    <n v="429.9"/>
    <n v="34821.9"/>
    <x v="3"/>
    <x v="1"/>
    <x v="0"/>
  </r>
  <r>
    <n v="10422"/>
    <n v="575"/>
    <n v="2013"/>
    <x v="6"/>
    <x v="198"/>
    <x v="176"/>
    <n v="6"/>
    <n v="28"/>
    <x v="3"/>
    <x v="0"/>
    <n v="19.53"/>
    <n v="563.69000000000005"/>
    <n v="15783.320000000002"/>
    <x v="3"/>
    <x v="1"/>
    <x v="0"/>
  </r>
  <r>
    <n v="10423"/>
    <n v="604"/>
    <n v="2100"/>
    <x v="8"/>
    <x v="249"/>
    <x v="54"/>
    <n v="5"/>
    <n v="55"/>
    <x v="3"/>
    <x v="4"/>
    <n v="2.2799999999999998"/>
    <n v="813.8"/>
    <n v="44759"/>
    <x v="2"/>
    <x v="2"/>
    <x v="1"/>
  </r>
  <r>
    <n v="10424"/>
    <n v="876"/>
    <n v="2051"/>
    <x v="16"/>
    <x v="250"/>
    <x v="205"/>
    <n v="6"/>
    <n v="74"/>
    <x v="3"/>
    <x v="1"/>
    <n v="47.82"/>
    <n v="376.19"/>
    <n v="27838.06"/>
    <x v="6"/>
    <x v="2"/>
    <x v="2"/>
  </r>
  <r>
    <n v="10425"/>
    <n v="677"/>
    <n v="2011"/>
    <x v="6"/>
    <x v="21"/>
    <x v="16"/>
    <n v="4"/>
    <n v="20"/>
    <x v="3"/>
    <x v="3"/>
    <n v="12.75"/>
    <n v="987.99"/>
    <n v="19759.8"/>
    <x v="3"/>
    <x v="1"/>
    <x v="0"/>
  </r>
  <r>
    <n v="10426"/>
    <n v="634"/>
    <n v="2084"/>
    <x v="0"/>
    <x v="195"/>
    <x v="248"/>
    <n v="6"/>
    <n v="34"/>
    <x v="1"/>
    <x v="3"/>
    <n v="14.27"/>
    <n v="223.58"/>
    <n v="7601.72"/>
    <x v="0"/>
    <x v="0"/>
    <x v="0"/>
  </r>
  <r>
    <n v="10427"/>
    <n v="737"/>
    <n v="2081"/>
    <x v="2"/>
    <x v="22"/>
    <x v="23"/>
    <n v="6"/>
    <n v="23"/>
    <x v="2"/>
    <x v="3"/>
    <n v="20.72"/>
    <n v="668.31"/>
    <n v="15371.13"/>
    <x v="2"/>
    <x v="1"/>
    <x v="2"/>
  </r>
  <r>
    <n v="10428"/>
    <n v="527"/>
    <n v="2083"/>
    <x v="4"/>
    <x v="34"/>
    <x v="184"/>
    <n v="8"/>
    <n v="63"/>
    <x v="1"/>
    <x v="2"/>
    <n v="13.79"/>
    <n v="843.82"/>
    <n v="53160.66"/>
    <x v="1"/>
    <x v="2"/>
    <x v="0"/>
  </r>
  <r>
    <n v="10429"/>
    <n v="891"/>
    <n v="2066"/>
    <x v="0"/>
    <x v="9"/>
    <x v="164"/>
    <n v="8"/>
    <n v="39"/>
    <x v="2"/>
    <x v="1"/>
    <n v="43.64"/>
    <n v="832.31"/>
    <n v="32460.089999999997"/>
    <x v="0"/>
    <x v="0"/>
    <x v="0"/>
  </r>
  <r>
    <n v="10430"/>
    <n v="786"/>
    <n v="2028"/>
    <x v="16"/>
    <x v="251"/>
    <x v="183"/>
    <n v="5"/>
    <n v="38"/>
    <x v="2"/>
    <x v="0"/>
    <n v="30.34"/>
    <n v="630.65"/>
    <n v="23964.7"/>
    <x v="6"/>
    <x v="2"/>
    <x v="2"/>
  </r>
  <r>
    <n v="10431"/>
    <n v="747"/>
    <n v="2065"/>
    <x v="12"/>
    <x v="182"/>
    <x v="62"/>
    <n v="4"/>
    <n v="44"/>
    <x v="1"/>
    <x v="0"/>
    <n v="26.94"/>
    <n v="155.15"/>
    <n v="6826.6"/>
    <x v="5"/>
    <x v="2"/>
    <x v="1"/>
  </r>
  <r>
    <n v="10432"/>
    <n v="784"/>
    <n v="2046"/>
    <x v="15"/>
    <x v="252"/>
    <x v="79"/>
    <n v="10"/>
    <n v="78"/>
    <x v="2"/>
    <x v="4"/>
    <n v="38.130000000000003"/>
    <n v="649.34"/>
    <n v="50648.520000000004"/>
    <x v="2"/>
    <x v="1"/>
    <x v="0"/>
  </r>
  <r>
    <n v="10433"/>
    <n v="876"/>
    <n v="2094"/>
    <x v="6"/>
    <x v="200"/>
    <x v="40"/>
    <n v="4"/>
    <n v="69"/>
    <x v="1"/>
    <x v="4"/>
    <n v="22.56"/>
    <n v="393.53"/>
    <n v="27153.57"/>
    <x v="3"/>
    <x v="1"/>
    <x v="0"/>
  </r>
  <r>
    <n v="10434"/>
    <n v="747"/>
    <n v="2042"/>
    <x v="7"/>
    <x v="103"/>
    <x v="89"/>
    <n v="4"/>
    <n v="58"/>
    <x v="3"/>
    <x v="4"/>
    <n v="46.87"/>
    <n v="313.88"/>
    <n v="18205.04"/>
    <x v="4"/>
    <x v="3"/>
    <x v="0"/>
  </r>
  <r>
    <n v="10435"/>
    <n v="572"/>
    <n v="2019"/>
    <x v="3"/>
    <x v="82"/>
    <x v="249"/>
    <n v="1"/>
    <n v="11"/>
    <x v="3"/>
    <x v="2"/>
    <n v="27.65"/>
    <n v="89.85"/>
    <n v="988.34999999999991"/>
    <x v="2"/>
    <x v="2"/>
    <x v="2"/>
  </r>
  <r>
    <n v="10436"/>
    <n v="656"/>
    <n v="2076"/>
    <x v="11"/>
    <x v="141"/>
    <x v="176"/>
    <n v="3"/>
    <n v="79"/>
    <x v="0"/>
    <x v="0"/>
    <n v="14.63"/>
    <n v="638.11"/>
    <n v="50410.69"/>
    <x v="2"/>
    <x v="1"/>
    <x v="1"/>
  </r>
  <r>
    <n v="10437"/>
    <n v="575"/>
    <n v="2081"/>
    <x v="19"/>
    <x v="253"/>
    <x v="166"/>
    <n v="1"/>
    <n v="4"/>
    <x v="3"/>
    <x v="3"/>
    <n v="20.72"/>
    <n v="668.31"/>
    <n v="2673.24"/>
    <x v="7"/>
    <x v="3"/>
    <x v="1"/>
  </r>
  <r>
    <n v="10438"/>
    <n v="636"/>
    <n v="2073"/>
    <x v="5"/>
    <x v="254"/>
    <x v="249"/>
    <n v="10"/>
    <n v="13"/>
    <x v="1"/>
    <x v="1"/>
    <n v="11.78"/>
    <n v="416.74"/>
    <n v="5417.62"/>
    <x v="0"/>
    <x v="2"/>
    <x v="1"/>
  </r>
  <r>
    <n v="10439"/>
    <n v="701"/>
    <n v="2075"/>
    <x v="14"/>
    <x v="255"/>
    <x v="250"/>
    <n v="4"/>
    <n v="67"/>
    <x v="2"/>
    <x v="4"/>
    <n v="16.57"/>
    <n v="429.9"/>
    <n v="28803.3"/>
    <x v="6"/>
    <x v="2"/>
    <x v="1"/>
  </r>
  <r>
    <n v="10440"/>
    <n v="582"/>
    <n v="2053"/>
    <x v="16"/>
    <x v="256"/>
    <x v="183"/>
    <n v="3"/>
    <n v="58"/>
    <x v="0"/>
    <x v="2"/>
    <n v="34.54"/>
    <n v="162.21"/>
    <n v="9408.18"/>
    <x v="6"/>
    <x v="2"/>
    <x v="2"/>
  </r>
  <r>
    <n v="10441"/>
    <n v="834"/>
    <n v="2092"/>
    <x v="19"/>
    <x v="230"/>
    <x v="10"/>
    <n v="9"/>
    <n v="49"/>
    <x v="2"/>
    <x v="2"/>
    <n v="30.97"/>
    <n v="521.23"/>
    <n v="25540.27"/>
    <x v="7"/>
    <x v="3"/>
    <x v="1"/>
  </r>
  <r>
    <n v="10442"/>
    <n v="754"/>
    <n v="2005"/>
    <x v="6"/>
    <x v="122"/>
    <x v="249"/>
    <n v="6"/>
    <n v="96"/>
    <x v="1"/>
    <x v="1"/>
    <n v="13.6"/>
    <n v="606.04999999999995"/>
    <n v="58180.799999999996"/>
    <x v="3"/>
    <x v="1"/>
    <x v="0"/>
  </r>
  <r>
    <n v="10443"/>
    <n v="780"/>
    <n v="2048"/>
    <x v="19"/>
    <x v="143"/>
    <x v="10"/>
    <n v="10"/>
    <n v="4"/>
    <x v="3"/>
    <x v="2"/>
    <n v="6.74"/>
    <n v="864.57"/>
    <n v="3458.28"/>
    <x v="7"/>
    <x v="3"/>
    <x v="1"/>
  </r>
  <r>
    <n v="10444"/>
    <n v="610"/>
    <n v="2064"/>
    <x v="14"/>
    <x v="257"/>
    <x v="251"/>
    <n v="9"/>
    <n v="80"/>
    <x v="0"/>
    <x v="3"/>
    <n v="15.41"/>
    <n v="203.79"/>
    <n v="16303.199999999999"/>
    <x v="6"/>
    <x v="2"/>
    <x v="1"/>
  </r>
  <r>
    <n v="10445"/>
    <n v="756"/>
    <n v="2074"/>
    <x v="1"/>
    <x v="89"/>
    <x v="197"/>
    <n v="7"/>
    <n v="64"/>
    <x v="0"/>
    <x v="0"/>
    <n v="41.45"/>
    <n v="650.42999999999995"/>
    <n v="41627.519999999997"/>
    <x v="1"/>
    <x v="0"/>
    <x v="1"/>
  </r>
  <r>
    <n v="10446"/>
    <n v="653"/>
    <n v="2075"/>
    <x v="0"/>
    <x v="258"/>
    <x v="252"/>
    <n v="1"/>
    <n v="50"/>
    <x v="0"/>
    <x v="4"/>
    <n v="16.57"/>
    <n v="429.9"/>
    <n v="21495"/>
    <x v="0"/>
    <x v="0"/>
    <x v="0"/>
  </r>
  <r>
    <n v="10447"/>
    <n v="865"/>
    <n v="2048"/>
    <x v="13"/>
    <x v="259"/>
    <x v="90"/>
    <n v="2"/>
    <n v="66"/>
    <x v="1"/>
    <x v="2"/>
    <n v="6.74"/>
    <n v="864.57"/>
    <n v="57061.62"/>
    <x v="1"/>
    <x v="1"/>
    <x v="0"/>
  </r>
  <r>
    <n v="10448"/>
    <n v="827"/>
    <n v="2056"/>
    <x v="4"/>
    <x v="254"/>
    <x v="253"/>
    <n v="2"/>
    <n v="32"/>
    <x v="2"/>
    <x v="1"/>
    <n v="18.559999999999999"/>
    <n v="564.01"/>
    <n v="18048.32"/>
    <x v="1"/>
    <x v="2"/>
    <x v="0"/>
  </r>
  <r>
    <n v="10449"/>
    <n v="648"/>
    <n v="2053"/>
    <x v="16"/>
    <x v="260"/>
    <x v="242"/>
    <n v="8"/>
    <n v="15"/>
    <x v="3"/>
    <x v="2"/>
    <n v="34.54"/>
    <n v="162.21"/>
    <n v="2433.15"/>
    <x v="6"/>
    <x v="2"/>
    <x v="2"/>
  </r>
  <r>
    <n v="10450"/>
    <n v="802"/>
    <n v="2074"/>
    <x v="15"/>
    <x v="261"/>
    <x v="149"/>
    <n v="2"/>
    <n v="60"/>
    <x v="3"/>
    <x v="0"/>
    <n v="41.45"/>
    <n v="650.42999999999995"/>
    <n v="39025.799999999996"/>
    <x v="2"/>
    <x v="1"/>
    <x v="0"/>
  </r>
  <r>
    <n v="10451"/>
    <n v="541"/>
    <n v="2058"/>
    <x v="19"/>
    <x v="262"/>
    <x v="186"/>
    <n v="5"/>
    <n v="47"/>
    <x v="0"/>
    <x v="4"/>
    <n v="28.48"/>
    <n v="13.34"/>
    <n v="626.98"/>
    <x v="7"/>
    <x v="3"/>
    <x v="1"/>
  </r>
  <r>
    <n v="10452"/>
    <n v="613"/>
    <n v="2046"/>
    <x v="0"/>
    <x v="263"/>
    <x v="122"/>
    <n v="7"/>
    <n v="35"/>
    <x v="0"/>
    <x v="4"/>
    <n v="38.130000000000003"/>
    <n v="649.34"/>
    <n v="22726.9"/>
    <x v="0"/>
    <x v="0"/>
    <x v="0"/>
  </r>
  <r>
    <n v="10453"/>
    <n v="591"/>
    <n v="2005"/>
    <x v="19"/>
    <x v="264"/>
    <x v="151"/>
    <n v="8"/>
    <n v="92"/>
    <x v="0"/>
    <x v="1"/>
    <n v="13.6"/>
    <n v="606.04999999999995"/>
    <n v="55756.6"/>
    <x v="7"/>
    <x v="3"/>
    <x v="1"/>
  </r>
  <r>
    <n v="10454"/>
    <n v="789"/>
    <n v="2068"/>
    <x v="0"/>
    <x v="250"/>
    <x v="254"/>
    <n v="9"/>
    <n v="94"/>
    <x v="3"/>
    <x v="4"/>
    <n v="47.08"/>
    <n v="501.03"/>
    <n v="47096.82"/>
    <x v="0"/>
    <x v="0"/>
    <x v="0"/>
  </r>
  <r>
    <n v="10455"/>
    <n v="599"/>
    <n v="2028"/>
    <x v="0"/>
    <x v="4"/>
    <x v="111"/>
    <n v="6"/>
    <n v="90"/>
    <x v="2"/>
    <x v="0"/>
    <n v="30.34"/>
    <n v="630.65"/>
    <n v="56758.5"/>
    <x v="0"/>
    <x v="0"/>
    <x v="0"/>
  </r>
  <r>
    <n v="10456"/>
    <n v="877"/>
    <n v="2095"/>
    <x v="0"/>
    <x v="262"/>
    <x v="57"/>
    <n v="8"/>
    <n v="76"/>
    <x v="1"/>
    <x v="0"/>
    <n v="38.81"/>
    <n v="761.63"/>
    <n v="57883.88"/>
    <x v="0"/>
    <x v="0"/>
    <x v="0"/>
  </r>
  <r>
    <n v="10457"/>
    <n v="840"/>
    <n v="2019"/>
    <x v="11"/>
    <x v="73"/>
    <x v="255"/>
    <n v="4"/>
    <n v="91"/>
    <x v="2"/>
    <x v="2"/>
    <n v="27.65"/>
    <n v="89.85"/>
    <n v="8176.3499999999995"/>
    <x v="2"/>
    <x v="1"/>
    <x v="1"/>
  </r>
  <r>
    <n v="10458"/>
    <n v="754"/>
    <n v="2024"/>
    <x v="16"/>
    <x v="222"/>
    <x v="108"/>
    <n v="2"/>
    <n v="76"/>
    <x v="1"/>
    <x v="0"/>
    <n v="21.16"/>
    <n v="291.08"/>
    <n v="22122.079999999998"/>
    <x v="6"/>
    <x v="2"/>
    <x v="2"/>
  </r>
  <r>
    <n v="10459"/>
    <n v="593"/>
    <n v="2001"/>
    <x v="19"/>
    <x v="142"/>
    <x v="180"/>
    <n v="5"/>
    <n v="6"/>
    <x v="2"/>
    <x v="1"/>
    <n v="49.85"/>
    <n v="471.41"/>
    <n v="2828.46"/>
    <x v="7"/>
    <x v="3"/>
    <x v="1"/>
  </r>
  <r>
    <n v="10460"/>
    <n v="895"/>
    <n v="2056"/>
    <x v="8"/>
    <x v="179"/>
    <x v="256"/>
    <n v="10"/>
    <n v="85"/>
    <x v="1"/>
    <x v="1"/>
    <n v="18.559999999999999"/>
    <n v="564.01"/>
    <n v="47940.85"/>
    <x v="2"/>
    <x v="2"/>
    <x v="1"/>
  </r>
  <r>
    <n v="10461"/>
    <n v="835"/>
    <n v="2008"/>
    <x v="4"/>
    <x v="134"/>
    <x v="140"/>
    <n v="4"/>
    <n v="39"/>
    <x v="2"/>
    <x v="3"/>
    <n v="8.5"/>
    <n v="899.21"/>
    <n v="35069.19"/>
    <x v="1"/>
    <x v="2"/>
    <x v="0"/>
  </r>
  <r>
    <n v="10462"/>
    <n v="843"/>
    <n v="2007"/>
    <x v="16"/>
    <x v="200"/>
    <x v="257"/>
    <n v="6"/>
    <n v="80"/>
    <x v="1"/>
    <x v="3"/>
    <n v="48.07"/>
    <n v="759.78"/>
    <n v="60782.399999999994"/>
    <x v="6"/>
    <x v="2"/>
    <x v="2"/>
  </r>
  <r>
    <n v="10463"/>
    <n v="668"/>
    <n v="2047"/>
    <x v="1"/>
    <x v="56"/>
    <x v="106"/>
    <n v="8"/>
    <n v="71"/>
    <x v="2"/>
    <x v="4"/>
    <n v="31.72"/>
    <n v="210.46"/>
    <n v="14942.66"/>
    <x v="1"/>
    <x v="0"/>
    <x v="1"/>
  </r>
  <r>
    <n v="10464"/>
    <n v="514"/>
    <n v="2035"/>
    <x v="4"/>
    <x v="22"/>
    <x v="23"/>
    <n v="6"/>
    <n v="89"/>
    <x v="2"/>
    <x v="4"/>
    <n v="18.55"/>
    <n v="636.37"/>
    <n v="56636.93"/>
    <x v="1"/>
    <x v="2"/>
    <x v="0"/>
  </r>
  <r>
    <n v="10465"/>
    <n v="776"/>
    <n v="2054"/>
    <x v="17"/>
    <x v="265"/>
    <x v="174"/>
    <n v="6"/>
    <n v="56"/>
    <x v="3"/>
    <x v="1"/>
    <n v="5.63"/>
    <n v="304.22000000000003"/>
    <n v="17036.32"/>
    <x v="5"/>
    <x v="1"/>
    <x v="1"/>
  </r>
  <r>
    <n v="10466"/>
    <n v="821"/>
    <n v="2091"/>
    <x v="3"/>
    <x v="197"/>
    <x v="209"/>
    <n v="4"/>
    <n v="56"/>
    <x v="2"/>
    <x v="3"/>
    <n v="10.41"/>
    <n v="271.61"/>
    <n v="15210.16"/>
    <x v="2"/>
    <x v="2"/>
    <x v="2"/>
  </r>
  <r>
    <n v="10467"/>
    <n v="532"/>
    <n v="2031"/>
    <x v="7"/>
    <x v="266"/>
    <x v="195"/>
    <n v="8"/>
    <n v="20"/>
    <x v="0"/>
    <x v="4"/>
    <n v="24.61"/>
    <n v="342.86"/>
    <n v="6857.2000000000007"/>
    <x v="4"/>
    <x v="3"/>
    <x v="0"/>
  </r>
  <r>
    <n v="10468"/>
    <n v="844"/>
    <n v="2011"/>
    <x v="10"/>
    <x v="140"/>
    <x v="258"/>
    <n v="10"/>
    <n v="1"/>
    <x v="3"/>
    <x v="3"/>
    <n v="12.75"/>
    <n v="987.99"/>
    <n v="987.99"/>
    <x v="0"/>
    <x v="2"/>
    <x v="0"/>
  </r>
  <r>
    <n v="10469"/>
    <n v="674"/>
    <n v="2090"/>
    <x v="15"/>
    <x v="179"/>
    <x v="229"/>
    <n v="4"/>
    <n v="83"/>
    <x v="0"/>
    <x v="2"/>
    <n v="38.729999999999997"/>
    <n v="913.68"/>
    <n v="75835.44"/>
    <x v="2"/>
    <x v="1"/>
    <x v="0"/>
  </r>
  <r>
    <n v="10470"/>
    <n v="586"/>
    <n v="2063"/>
    <x v="7"/>
    <x v="113"/>
    <x v="259"/>
    <n v="9"/>
    <n v="6"/>
    <x v="1"/>
    <x v="1"/>
    <n v="13.23"/>
    <n v="151.69999999999999"/>
    <n v="910.19999999999993"/>
    <x v="4"/>
    <x v="3"/>
    <x v="0"/>
  </r>
  <r>
    <n v="10471"/>
    <n v="619"/>
    <n v="2063"/>
    <x v="1"/>
    <x v="267"/>
    <x v="96"/>
    <n v="3"/>
    <n v="83"/>
    <x v="2"/>
    <x v="1"/>
    <n v="13.23"/>
    <n v="151.69999999999999"/>
    <n v="12591.099999999999"/>
    <x v="1"/>
    <x v="0"/>
    <x v="1"/>
  </r>
  <r>
    <n v="10472"/>
    <n v="666"/>
    <n v="2078"/>
    <x v="5"/>
    <x v="268"/>
    <x v="194"/>
    <n v="1"/>
    <n v="39"/>
    <x v="0"/>
    <x v="3"/>
    <n v="14.85"/>
    <n v="517.03"/>
    <n v="20164.169999999998"/>
    <x v="0"/>
    <x v="2"/>
    <x v="1"/>
  </r>
  <r>
    <n v="10473"/>
    <n v="745"/>
    <n v="2080"/>
    <x v="6"/>
    <x v="253"/>
    <x v="166"/>
    <n v="1"/>
    <n v="67"/>
    <x v="1"/>
    <x v="1"/>
    <n v="29.56"/>
    <n v="143.84"/>
    <n v="9637.2800000000007"/>
    <x v="3"/>
    <x v="1"/>
    <x v="0"/>
  </r>
  <r>
    <n v="10474"/>
    <n v="807"/>
    <n v="2025"/>
    <x v="10"/>
    <x v="255"/>
    <x v="190"/>
    <n v="7"/>
    <n v="23"/>
    <x v="0"/>
    <x v="0"/>
    <n v="3.39"/>
    <n v="303.87"/>
    <n v="6989.01"/>
    <x v="0"/>
    <x v="2"/>
    <x v="0"/>
  </r>
  <r>
    <n v="10475"/>
    <n v="868"/>
    <n v="2028"/>
    <x v="1"/>
    <x v="4"/>
    <x v="146"/>
    <n v="3"/>
    <n v="94"/>
    <x v="3"/>
    <x v="0"/>
    <n v="30.34"/>
    <n v="630.65"/>
    <n v="59281.1"/>
    <x v="1"/>
    <x v="0"/>
    <x v="1"/>
  </r>
  <r>
    <n v="10476"/>
    <n v="715"/>
    <n v="2070"/>
    <x v="1"/>
    <x v="269"/>
    <x v="260"/>
    <n v="7"/>
    <n v="73"/>
    <x v="0"/>
    <x v="2"/>
    <n v="22.6"/>
    <n v="196.67"/>
    <n v="14356.91"/>
    <x v="1"/>
    <x v="0"/>
    <x v="1"/>
  </r>
  <r>
    <n v="10477"/>
    <n v="890"/>
    <n v="2085"/>
    <x v="12"/>
    <x v="154"/>
    <x v="261"/>
    <n v="6"/>
    <n v="61"/>
    <x v="1"/>
    <x v="2"/>
    <n v="47.56"/>
    <n v="131.63"/>
    <n v="8029.4299999999994"/>
    <x v="5"/>
    <x v="2"/>
    <x v="1"/>
  </r>
  <r>
    <n v="10478"/>
    <n v="866"/>
    <n v="2009"/>
    <x v="19"/>
    <x v="238"/>
    <x v="163"/>
    <n v="6"/>
    <n v="13"/>
    <x v="1"/>
    <x v="3"/>
    <n v="16.82"/>
    <n v="376.01"/>
    <n v="4888.13"/>
    <x v="7"/>
    <x v="3"/>
    <x v="1"/>
  </r>
  <r>
    <n v="10479"/>
    <n v="510"/>
    <n v="2049"/>
    <x v="15"/>
    <x v="199"/>
    <x v="262"/>
    <n v="8"/>
    <n v="24"/>
    <x v="0"/>
    <x v="4"/>
    <n v="17.52"/>
    <n v="832.77"/>
    <n v="19986.48"/>
    <x v="2"/>
    <x v="1"/>
    <x v="0"/>
  </r>
  <r>
    <n v="10480"/>
    <n v="677"/>
    <n v="2071"/>
    <x v="10"/>
    <x v="213"/>
    <x v="199"/>
    <n v="2"/>
    <n v="22"/>
    <x v="1"/>
    <x v="4"/>
    <n v="47.19"/>
    <n v="711.14"/>
    <n v="15645.08"/>
    <x v="0"/>
    <x v="2"/>
    <x v="0"/>
  </r>
  <r>
    <n v="10481"/>
    <n v="638"/>
    <n v="2032"/>
    <x v="18"/>
    <x v="270"/>
    <x v="203"/>
    <n v="5"/>
    <n v="72"/>
    <x v="0"/>
    <x v="1"/>
    <n v="3.81"/>
    <n v="682.41"/>
    <n v="49133.52"/>
    <x v="0"/>
    <x v="3"/>
    <x v="0"/>
  </r>
  <r>
    <n v="10482"/>
    <n v="741"/>
    <n v="2098"/>
    <x v="5"/>
    <x v="129"/>
    <x v="94"/>
    <n v="1"/>
    <n v="9"/>
    <x v="1"/>
    <x v="0"/>
    <n v="25.35"/>
    <n v="571.58000000000004"/>
    <n v="5144.22"/>
    <x v="0"/>
    <x v="2"/>
    <x v="1"/>
  </r>
  <r>
    <n v="10483"/>
    <n v="885"/>
    <n v="2096"/>
    <x v="15"/>
    <x v="239"/>
    <x v="263"/>
    <n v="3"/>
    <n v="43"/>
    <x v="0"/>
    <x v="2"/>
    <n v="20.04"/>
    <n v="70.19"/>
    <n v="3018.17"/>
    <x v="2"/>
    <x v="1"/>
    <x v="0"/>
  </r>
  <r>
    <n v="10484"/>
    <n v="702"/>
    <n v="2024"/>
    <x v="7"/>
    <x v="271"/>
    <x v="151"/>
    <n v="10"/>
    <n v="91"/>
    <x v="1"/>
    <x v="0"/>
    <n v="21.16"/>
    <n v="291.08"/>
    <n v="26488.28"/>
    <x v="4"/>
    <x v="3"/>
    <x v="0"/>
  </r>
  <r>
    <n v="10485"/>
    <n v="764"/>
    <n v="2047"/>
    <x v="15"/>
    <x v="118"/>
    <x v="108"/>
    <n v="1"/>
    <n v="31"/>
    <x v="2"/>
    <x v="4"/>
    <n v="31.72"/>
    <n v="210.46"/>
    <n v="6524.26"/>
    <x v="2"/>
    <x v="1"/>
    <x v="0"/>
  </r>
  <r>
    <n v="10486"/>
    <n v="557"/>
    <n v="2092"/>
    <x v="5"/>
    <x v="220"/>
    <x v="264"/>
    <n v="2"/>
    <n v="40"/>
    <x v="0"/>
    <x v="2"/>
    <n v="30.97"/>
    <n v="521.23"/>
    <n v="20849.2"/>
    <x v="0"/>
    <x v="2"/>
    <x v="1"/>
  </r>
  <r>
    <n v="10487"/>
    <n v="630"/>
    <n v="2051"/>
    <x v="0"/>
    <x v="272"/>
    <x v="231"/>
    <n v="8"/>
    <n v="45"/>
    <x v="1"/>
    <x v="1"/>
    <n v="47.82"/>
    <n v="376.19"/>
    <n v="16928.55"/>
    <x v="0"/>
    <x v="0"/>
    <x v="0"/>
  </r>
  <r>
    <n v="10488"/>
    <n v="599"/>
    <n v="2002"/>
    <x v="16"/>
    <x v="273"/>
    <x v="265"/>
    <n v="2"/>
    <n v="57"/>
    <x v="1"/>
    <x v="0"/>
    <n v="30.78"/>
    <n v="646.99"/>
    <n v="36878.43"/>
    <x v="6"/>
    <x v="2"/>
    <x v="2"/>
  </r>
  <r>
    <n v="10489"/>
    <n v="574"/>
    <n v="2037"/>
    <x v="3"/>
    <x v="274"/>
    <x v="266"/>
    <n v="6"/>
    <n v="20"/>
    <x v="0"/>
    <x v="3"/>
    <n v="29.23"/>
    <n v="491.44"/>
    <n v="9828.7999999999993"/>
    <x v="2"/>
    <x v="2"/>
    <x v="2"/>
  </r>
  <r>
    <n v="10490"/>
    <n v="714"/>
    <n v="2005"/>
    <x v="8"/>
    <x v="108"/>
    <x v="13"/>
    <n v="10"/>
    <n v="58"/>
    <x v="0"/>
    <x v="1"/>
    <n v="13.6"/>
    <n v="606.04999999999995"/>
    <n v="35150.899999999994"/>
    <x v="2"/>
    <x v="2"/>
    <x v="1"/>
  </r>
  <r>
    <n v="10491"/>
    <n v="899"/>
    <n v="2078"/>
    <x v="2"/>
    <x v="234"/>
    <x v="267"/>
    <n v="1"/>
    <n v="37"/>
    <x v="3"/>
    <x v="3"/>
    <n v="14.85"/>
    <n v="517.03"/>
    <n v="19130.11"/>
    <x v="2"/>
    <x v="1"/>
    <x v="2"/>
  </r>
  <r>
    <n v="10492"/>
    <n v="503"/>
    <n v="2007"/>
    <x v="7"/>
    <x v="108"/>
    <x v="171"/>
    <n v="2"/>
    <n v="20"/>
    <x v="2"/>
    <x v="3"/>
    <n v="48.07"/>
    <n v="759.78"/>
    <n v="15195.599999999999"/>
    <x v="4"/>
    <x v="3"/>
    <x v="0"/>
  </r>
  <r>
    <n v="10493"/>
    <n v="835"/>
    <n v="2012"/>
    <x v="12"/>
    <x v="233"/>
    <x v="268"/>
    <n v="3"/>
    <n v="18"/>
    <x v="0"/>
    <x v="3"/>
    <n v="34.93"/>
    <n v="327.92"/>
    <n v="5902.56"/>
    <x v="5"/>
    <x v="2"/>
    <x v="1"/>
  </r>
  <r>
    <n v="10494"/>
    <n v="867"/>
    <n v="2032"/>
    <x v="12"/>
    <x v="77"/>
    <x v="93"/>
    <n v="9"/>
    <n v="35"/>
    <x v="2"/>
    <x v="1"/>
    <n v="3.81"/>
    <n v="682.41"/>
    <n v="23884.35"/>
    <x v="5"/>
    <x v="2"/>
    <x v="1"/>
  </r>
  <r>
    <n v="10495"/>
    <n v="562"/>
    <n v="2041"/>
    <x v="19"/>
    <x v="54"/>
    <x v="46"/>
    <n v="6"/>
    <n v="26"/>
    <x v="2"/>
    <x v="2"/>
    <n v="48.2"/>
    <n v="792.77"/>
    <n v="20612.02"/>
    <x v="7"/>
    <x v="3"/>
    <x v="1"/>
  </r>
  <r>
    <n v="10496"/>
    <n v="833"/>
    <n v="2054"/>
    <x v="18"/>
    <x v="230"/>
    <x v="10"/>
    <n v="9"/>
    <n v="66"/>
    <x v="3"/>
    <x v="1"/>
    <n v="5.63"/>
    <n v="304.22000000000003"/>
    <n v="20078.52"/>
    <x v="0"/>
    <x v="3"/>
    <x v="0"/>
  </r>
  <r>
    <n v="10497"/>
    <n v="554"/>
    <n v="2031"/>
    <x v="18"/>
    <x v="275"/>
    <x v="107"/>
    <n v="8"/>
    <n v="53"/>
    <x v="3"/>
    <x v="4"/>
    <n v="24.61"/>
    <n v="342.86"/>
    <n v="18171.580000000002"/>
    <x v="0"/>
    <x v="3"/>
    <x v="0"/>
  </r>
  <r>
    <n v="10498"/>
    <n v="654"/>
    <n v="2056"/>
    <x v="8"/>
    <x v="226"/>
    <x v="46"/>
    <n v="8"/>
    <n v="97"/>
    <x v="3"/>
    <x v="1"/>
    <n v="18.559999999999999"/>
    <n v="564.01"/>
    <n v="54708.97"/>
    <x v="2"/>
    <x v="2"/>
    <x v="1"/>
  </r>
  <r>
    <n v="10499"/>
    <n v="863"/>
    <n v="2094"/>
    <x v="0"/>
    <x v="55"/>
    <x v="269"/>
    <n v="10"/>
    <n v="67"/>
    <x v="3"/>
    <x v="4"/>
    <n v="22.56"/>
    <n v="393.53"/>
    <n v="26366.51"/>
    <x v="0"/>
    <x v="0"/>
    <x v="0"/>
  </r>
  <r>
    <n v="10500"/>
    <n v="658"/>
    <n v="2048"/>
    <x v="3"/>
    <x v="129"/>
    <x v="126"/>
    <n v="9"/>
    <n v="38"/>
    <x v="1"/>
    <x v="2"/>
    <n v="6.74"/>
    <n v="864.57"/>
    <n v="32853.660000000003"/>
    <x v="2"/>
    <x v="2"/>
    <x v="2"/>
  </r>
  <r>
    <n v="10501"/>
    <n v="766"/>
    <n v="2045"/>
    <x v="18"/>
    <x v="231"/>
    <x v="69"/>
    <n v="1"/>
    <n v="60"/>
    <x v="3"/>
    <x v="1"/>
    <n v="41.3"/>
    <n v="652.61"/>
    <n v="39156.6"/>
    <x v="0"/>
    <x v="3"/>
    <x v="0"/>
  </r>
  <r>
    <n v="10502"/>
    <n v="758"/>
    <n v="2027"/>
    <x v="11"/>
    <x v="191"/>
    <x v="199"/>
    <n v="3"/>
    <n v="36"/>
    <x v="0"/>
    <x v="0"/>
    <n v="45.95"/>
    <n v="454.58"/>
    <n v="16364.88"/>
    <x v="2"/>
    <x v="1"/>
    <x v="1"/>
  </r>
  <r>
    <n v="10503"/>
    <n v="643"/>
    <n v="2091"/>
    <x v="0"/>
    <x v="245"/>
    <x v="270"/>
    <n v="10"/>
    <n v="39"/>
    <x v="1"/>
    <x v="3"/>
    <n v="10.41"/>
    <n v="271.61"/>
    <n v="10592.79"/>
    <x v="0"/>
    <x v="0"/>
    <x v="0"/>
  </r>
  <r>
    <n v="10504"/>
    <n v="695"/>
    <n v="2052"/>
    <x v="13"/>
    <x v="276"/>
    <x v="271"/>
    <n v="5"/>
    <n v="31"/>
    <x v="2"/>
    <x v="4"/>
    <n v="47.35"/>
    <n v="665.2"/>
    <n v="20621.2"/>
    <x v="1"/>
    <x v="1"/>
    <x v="0"/>
  </r>
  <r>
    <n v="10505"/>
    <n v="721"/>
    <n v="2035"/>
    <x v="8"/>
    <x v="179"/>
    <x v="93"/>
    <n v="7"/>
    <n v="15"/>
    <x v="0"/>
    <x v="4"/>
    <n v="18.55"/>
    <n v="636.37"/>
    <n v="9545.5499999999993"/>
    <x v="2"/>
    <x v="2"/>
    <x v="1"/>
  </r>
  <r>
    <n v="10506"/>
    <n v="844"/>
    <n v="2084"/>
    <x v="5"/>
    <x v="277"/>
    <x v="234"/>
    <n v="6"/>
    <n v="41"/>
    <x v="0"/>
    <x v="3"/>
    <n v="14.27"/>
    <n v="223.58"/>
    <n v="9166.7800000000007"/>
    <x v="0"/>
    <x v="2"/>
    <x v="1"/>
  </r>
  <r>
    <n v="10507"/>
    <n v="506"/>
    <n v="2043"/>
    <x v="3"/>
    <x v="222"/>
    <x v="24"/>
    <n v="9"/>
    <n v="42"/>
    <x v="2"/>
    <x v="4"/>
    <n v="14.98"/>
    <n v="375.85"/>
    <n v="15785.7"/>
    <x v="2"/>
    <x v="2"/>
    <x v="2"/>
  </r>
  <r>
    <n v="10508"/>
    <n v="837"/>
    <n v="2070"/>
    <x v="6"/>
    <x v="231"/>
    <x v="50"/>
    <n v="10"/>
    <n v="58"/>
    <x v="2"/>
    <x v="2"/>
    <n v="22.6"/>
    <n v="196.67"/>
    <n v="11406.859999999999"/>
    <x v="3"/>
    <x v="1"/>
    <x v="0"/>
  </r>
  <r>
    <n v="10509"/>
    <n v="738"/>
    <n v="2095"/>
    <x v="1"/>
    <x v="36"/>
    <x v="119"/>
    <n v="9"/>
    <n v="3"/>
    <x v="1"/>
    <x v="0"/>
    <n v="38.81"/>
    <n v="761.63"/>
    <n v="2284.89"/>
    <x v="1"/>
    <x v="0"/>
    <x v="1"/>
  </r>
  <r>
    <n v="10510"/>
    <n v="660"/>
    <n v="2039"/>
    <x v="7"/>
    <x v="26"/>
    <x v="172"/>
    <n v="3"/>
    <n v="51"/>
    <x v="2"/>
    <x v="4"/>
    <n v="2.69"/>
    <n v="350.51"/>
    <n v="17876.009999999998"/>
    <x v="4"/>
    <x v="3"/>
    <x v="0"/>
  </r>
  <r>
    <n v="10511"/>
    <n v="679"/>
    <n v="2091"/>
    <x v="18"/>
    <x v="222"/>
    <x v="16"/>
    <n v="1"/>
    <n v="87"/>
    <x v="3"/>
    <x v="3"/>
    <n v="10.41"/>
    <n v="271.61"/>
    <n v="23630.07"/>
    <x v="0"/>
    <x v="3"/>
    <x v="0"/>
  </r>
  <r>
    <n v="10512"/>
    <n v="563"/>
    <n v="2023"/>
    <x v="5"/>
    <x v="91"/>
    <x v="102"/>
    <n v="5"/>
    <n v="70"/>
    <x v="1"/>
    <x v="0"/>
    <n v="39.520000000000003"/>
    <n v="618.29999999999995"/>
    <n v="43281"/>
    <x v="0"/>
    <x v="2"/>
    <x v="1"/>
  </r>
  <r>
    <n v="10513"/>
    <n v="786"/>
    <n v="2044"/>
    <x v="8"/>
    <x v="105"/>
    <x v="42"/>
    <n v="8"/>
    <n v="50"/>
    <x v="0"/>
    <x v="3"/>
    <n v="11.44"/>
    <n v="939.99"/>
    <n v="46999.5"/>
    <x v="2"/>
    <x v="2"/>
    <x v="1"/>
  </r>
  <r>
    <n v="10514"/>
    <n v="831"/>
    <n v="2002"/>
    <x v="13"/>
    <x v="86"/>
    <x v="10"/>
    <n v="3"/>
    <n v="8"/>
    <x v="1"/>
    <x v="0"/>
    <n v="30.78"/>
    <n v="646.99"/>
    <n v="5175.92"/>
    <x v="1"/>
    <x v="1"/>
    <x v="0"/>
  </r>
  <r>
    <n v="10515"/>
    <n v="642"/>
    <n v="2012"/>
    <x v="6"/>
    <x v="210"/>
    <x v="173"/>
    <n v="3"/>
    <n v="49"/>
    <x v="0"/>
    <x v="3"/>
    <n v="34.93"/>
    <n v="327.92"/>
    <n v="16068.08"/>
    <x v="3"/>
    <x v="1"/>
    <x v="0"/>
  </r>
  <r>
    <n v="10516"/>
    <n v="677"/>
    <n v="2037"/>
    <x v="0"/>
    <x v="278"/>
    <x v="235"/>
    <n v="3"/>
    <n v="27"/>
    <x v="0"/>
    <x v="3"/>
    <n v="29.23"/>
    <n v="491.44"/>
    <n v="13268.88"/>
    <x v="0"/>
    <x v="0"/>
    <x v="0"/>
  </r>
  <r>
    <n v="10517"/>
    <n v="627"/>
    <n v="2041"/>
    <x v="19"/>
    <x v="261"/>
    <x v="4"/>
    <n v="7"/>
    <n v="74"/>
    <x v="3"/>
    <x v="2"/>
    <n v="48.2"/>
    <n v="792.77"/>
    <n v="58664.979999999996"/>
    <x v="7"/>
    <x v="3"/>
    <x v="1"/>
  </r>
  <r>
    <n v="10518"/>
    <n v="665"/>
    <n v="2043"/>
    <x v="13"/>
    <x v="162"/>
    <x v="35"/>
    <n v="8"/>
    <n v="21"/>
    <x v="2"/>
    <x v="4"/>
    <n v="14.98"/>
    <n v="375.85"/>
    <n v="7892.85"/>
    <x v="1"/>
    <x v="1"/>
    <x v="0"/>
  </r>
  <r>
    <n v="10519"/>
    <n v="757"/>
    <n v="2004"/>
    <x v="8"/>
    <x v="50"/>
    <x v="188"/>
    <n v="10"/>
    <n v="45"/>
    <x v="1"/>
    <x v="1"/>
    <n v="4.34"/>
    <n v="52.14"/>
    <n v="2346.3000000000002"/>
    <x v="2"/>
    <x v="2"/>
    <x v="1"/>
  </r>
  <r>
    <n v="10520"/>
    <n v="792"/>
    <n v="2011"/>
    <x v="16"/>
    <x v="243"/>
    <x v="272"/>
    <n v="4"/>
    <n v="51"/>
    <x v="0"/>
    <x v="3"/>
    <n v="12.75"/>
    <n v="987.99"/>
    <n v="50387.49"/>
    <x v="6"/>
    <x v="2"/>
    <x v="2"/>
  </r>
  <r>
    <n v="10521"/>
    <n v="744"/>
    <n v="2078"/>
    <x v="1"/>
    <x v="279"/>
    <x v="273"/>
    <n v="9"/>
    <n v="49"/>
    <x v="1"/>
    <x v="3"/>
    <n v="14.85"/>
    <n v="517.03"/>
    <n v="25334.469999999998"/>
    <x v="1"/>
    <x v="0"/>
    <x v="1"/>
  </r>
  <r>
    <n v="10522"/>
    <n v="639"/>
    <n v="2084"/>
    <x v="6"/>
    <x v="35"/>
    <x v="171"/>
    <n v="8"/>
    <n v="19"/>
    <x v="0"/>
    <x v="3"/>
    <n v="14.27"/>
    <n v="223.58"/>
    <n v="4248.0200000000004"/>
    <x v="3"/>
    <x v="1"/>
    <x v="0"/>
  </r>
  <r>
    <n v="10523"/>
    <n v="654"/>
    <n v="2036"/>
    <x v="2"/>
    <x v="159"/>
    <x v="110"/>
    <n v="7"/>
    <n v="55"/>
    <x v="2"/>
    <x v="2"/>
    <n v="39.39"/>
    <n v="745.86"/>
    <n v="41022.300000000003"/>
    <x v="2"/>
    <x v="1"/>
    <x v="2"/>
  </r>
  <r>
    <n v="10524"/>
    <n v="754"/>
    <n v="2044"/>
    <x v="3"/>
    <x v="242"/>
    <x v="175"/>
    <n v="7"/>
    <n v="72"/>
    <x v="2"/>
    <x v="3"/>
    <n v="11.44"/>
    <n v="939.99"/>
    <n v="67679.28"/>
    <x v="2"/>
    <x v="2"/>
    <x v="2"/>
  </r>
  <r>
    <n v="10525"/>
    <n v="627"/>
    <n v="2012"/>
    <x v="13"/>
    <x v="95"/>
    <x v="54"/>
    <n v="3"/>
    <n v="35"/>
    <x v="0"/>
    <x v="3"/>
    <n v="34.93"/>
    <n v="327.92"/>
    <n v="11477.2"/>
    <x v="1"/>
    <x v="1"/>
    <x v="0"/>
  </r>
  <r>
    <n v="10526"/>
    <n v="742"/>
    <n v="2057"/>
    <x v="15"/>
    <x v="213"/>
    <x v="211"/>
    <n v="3"/>
    <n v="59"/>
    <x v="1"/>
    <x v="2"/>
    <n v="34.299999999999997"/>
    <n v="40.43"/>
    <n v="2385.37"/>
    <x v="2"/>
    <x v="1"/>
    <x v="0"/>
  </r>
  <r>
    <n v="10527"/>
    <n v="533"/>
    <n v="2040"/>
    <x v="10"/>
    <x v="116"/>
    <x v="259"/>
    <n v="4"/>
    <n v="29"/>
    <x v="2"/>
    <x v="4"/>
    <n v="3.71"/>
    <n v="27.53"/>
    <n v="798.37"/>
    <x v="0"/>
    <x v="2"/>
    <x v="0"/>
  </r>
  <r>
    <n v="10528"/>
    <n v="551"/>
    <n v="2078"/>
    <x v="16"/>
    <x v="156"/>
    <x v="274"/>
    <n v="4"/>
    <n v="28"/>
    <x v="3"/>
    <x v="3"/>
    <n v="14.85"/>
    <n v="517.03"/>
    <n v="14476.84"/>
    <x v="6"/>
    <x v="2"/>
    <x v="2"/>
  </r>
  <r>
    <n v="10529"/>
    <n v="623"/>
    <n v="2078"/>
    <x v="9"/>
    <x v="151"/>
    <x v="158"/>
    <n v="4"/>
    <n v="48"/>
    <x v="3"/>
    <x v="3"/>
    <n v="14.85"/>
    <n v="517.03"/>
    <n v="24817.439999999999"/>
    <x v="3"/>
    <x v="1"/>
    <x v="2"/>
  </r>
  <r>
    <n v="10530"/>
    <n v="510"/>
    <n v="2086"/>
    <x v="7"/>
    <x v="28"/>
    <x v="275"/>
    <n v="10"/>
    <n v="8"/>
    <x v="1"/>
    <x v="4"/>
    <n v="27.73"/>
    <n v="417.42"/>
    <n v="3339.36"/>
    <x v="4"/>
    <x v="3"/>
    <x v="0"/>
  </r>
  <r>
    <n v="10531"/>
    <n v="636"/>
    <n v="2035"/>
    <x v="6"/>
    <x v="34"/>
    <x v="72"/>
    <n v="6"/>
    <n v="81"/>
    <x v="0"/>
    <x v="4"/>
    <n v="18.55"/>
    <n v="636.37"/>
    <n v="51545.97"/>
    <x v="3"/>
    <x v="1"/>
    <x v="0"/>
  </r>
  <r>
    <n v="10532"/>
    <n v="774"/>
    <n v="2025"/>
    <x v="15"/>
    <x v="280"/>
    <x v="128"/>
    <n v="10"/>
    <n v="23"/>
    <x v="1"/>
    <x v="0"/>
    <n v="3.39"/>
    <n v="303.87"/>
    <n v="6989.01"/>
    <x v="2"/>
    <x v="1"/>
    <x v="0"/>
  </r>
  <r>
    <n v="10533"/>
    <n v="794"/>
    <n v="2072"/>
    <x v="0"/>
    <x v="155"/>
    <x v="155"/>
    <n v="8"/>
    <n v="32"/>
    <x v="2"/>
    <x v="1"/>
    <n v="26.22"/>
    <n v="576.57000000000005"/>
    <n v="18450.240000000002"/>
    <x v="0"/>
    <x v="0"/>
    <x v="0"/>
  </r>
  <r>
    <n v="10534"/>
    <n v="866"/>
    <n v="2022"/>
    <x v="0"/>
    <x v="34"/>
    <x v="276"/>
    <n v="9"/>
    <n v="34"/>
    <x v="2"/>
    <x v="0"/>
    <n v="47.91"/>
    <n v="756.92"/>
    <n v="25735.279999999999"/>
    <x v="0"/>
    <x v="0"/>
    <x v="0"/>
  </r>
  <r>
    <n v="10535"/>
    <n v="818"/>
    <n v="2057"/>
    <x v="19"/>
    <x v="281"/>
    <x v="277"/>
    <n v="5"/>
    <n v="33"/>
    <x v="2"/>
    <x v="2"/>
    <n v="34.299999999999997"/>
    <n v="40.43"/>
    <n v="1334.19"/>
    <x v="7"/>
    <x v="3"/>
    <x v="1"/>
  </r>
  <r>
    <n v="10536"/>
    <n v="894"/>
    <n v="2082"/>
    <x v="19"/>
    <x v="145"/>
    <x v="110"/>
    <n v="3"/>
    <n v="3"/>
    <x v="0"/>
    <x v="2"/>
    <n v="41.79"/>
    <n v="352.17"/>
    <n v="1056.51"/>
    <x v="7"/>
    <x v="3"/>
    <x v="1"/>
  </r>
  <r>
    <n v="10537"/>
    <n v="867"/>
    <n v="2074"/>
    <x v="10"/>
    <x v="100"/>
    <x v="204"/>
    <n v="10"/>
    <n v="82"/>
    <x v="0"/>
    <x v="0"/>
    <n v="41.45"/>
    <n v="650.42999999999995"/>
    <n v="53335.259999999995"/>
    <x v="0"/>
    <x v="2"/>
    <x v="0"/>
  </r>
  <r>
    <n v="10538"/>
    <n v="879"/>
    <n v="2038"/>
    <x v="19"/>
    <x v="282"/>
    <x v="249"/>
    <n v="3"/>
    <n v="72"/>
    <x v="3"/>
    <x v="4"/>
    <n v="26.62"/>
    <n v="680"/>
    <n v="48960"/>
    <x v="7"/>
    <x v="3"/>
    <x v="1"/>
  </r>
  <r>
    <n v="10539"/>
    <n v="785"/>
    <n v="2081"/>
    <x v="0"/>
    <x v="133"/>
    <x v="180"/>
    <n v="6"/>
    <n v="36"/>
    <x v="0"/>
    <x v="3"/>
    <n v="20.72"/>
    <n v="668.31"/>
    <n v="24059.159999999996"/>
    <x v="0"/>
    <x v="0"/>
    <x v="0"/>
  </r>
  <r>
    <n v="10540"/>
    <n v="536"/>
    <n v="2055"/>
    <x v="0"/>
    <x v="190"/>
    <x v="125"/>
    <n v="4"/>
    <n v="85"/>
    <x v="3"/>
    <x v="4"/>
    <n v="26.24"/>
    <n v="312.67"/>
    <n v="26576.95"/>
    <x v="0"/>
    <x v="0"/>
    <x v="0"/>
  </r>
  <r>
    <n v="10541"/>
    <n v="551"/>
    <n v="2065"/>
    <x v="5"/>
    <x v="283"/>
    <x v="269"/>
    <n v="6"/>
    <n v="68"/>
    <x v="2"/>
    <x v="0"/>
    <n v="26.94"/>
    <n v="155.15"/>
    <n v="10550.2"/>
    <x v="0"/>
    <x v="2"/>
    <x v="1"/>
  </r>
  <r>
    <n v="10542"/>
    <n v="765"/>
    <n v="2053"/>
    <x v="11"/>
    <x v="27"/>
    <x v="278"/>
    <n v="10"/>
    <n v="20"/>
    <x v="3"/>
    <x v="2"/>
    <n v="34.54"/>
    <n v="162.21"/>
    <n v="3244.2000000000003"/>
    <x v="2"/>
    <x v="1"/>
    <x v="1"/>
  </r>
  <r>
    <n v="10543"/>
    <n v="896"/>
    <n v="2073"/>
    <x v="3"/>
    <x v="213"/>
    <x v="199"/>
    <n v="2"/>
    <n v="2"/>
    <x v="3"/>
    <x v="1"/>
    <n v="11.78"/>
    <n v="416.74"/>
    <n v="833.48"/>
    <x v="2"/>
    <x v="2"/>
    <x v="2"/>
  </r>
  <r>
    <n v="10544"/>
    <n v="565"/>
    <n v="2084"/>
    <x v="12"/>
    <x v="170"/>
    <x v="219"/>
    <n v="7"/>
    <n v="55"/>
    <x v="2"/>
    <x v="3"/>
    <n v="14.27"/>
    <n v="223.58"/>
    <n v="12296.900000000001"/>
    <x v="5"/>
    <x v="2"/>
    <x v="1"/>
  </r>
  <r>
    <n v="10545"/>
    <n v="833"/>
    <n v="2045"/>
    <x v="12"/>
    <x v="59"/>
    <x v="268"/>
    <n v="10"/>
    <n v="100"/>
    <x v="1"/>
    <x v="1"/>
    <n v="41.3"/>
    <n v="652.61"/>
    <n v="65261"/>
    <x v="5"/>
    <x v="2"/>
    <x v="1"/>
  </r>
  <r>
    <n v="10546"/>
    <n v="667"/>
    <n v="2076"/>
    <x v="19"/>
    <x v="284"/>
    <x v="100"/>
    <n v="9"/>
    <n v="29"/>
    <x v="2"/>
    <x v="0"/>
    <n v="14.63"/>
    <n v="638.11"/>
    <n v="18505.189999999999"/>
    <x v="7"/>
    <x v="3"/>
    <x v="1"/>
  </r>
  <r>
    <n v="10547"/>
    <n v="719"/>
    <n v="2020"/>
    <x v="14"/>
    <x v="87"/>
    <x v="231"/>
    <n v="9"/>
    <n v="49"/>
    <x v="2"/>
    <x v="4"/>
    <n v="35.94"/>
    <n v="44.04"/>
    <n v="2157.96"/>
    <x v="6"/>
    <x v="2"/>
    <x v="1"/>
  </r>
  <r>
    <n v="10548"/>
    <n v="744"/>
    <n v="2025"/>
    <x v="19"/>
    <x v="113"/>
    <x v="256"/>
    <n v="7"/>
    <n v="38"/>
    <x v="2"/>
    <x v="0"/>
    <n v="3.39"/>
    <n v="303.87"/>
    <n v="11547.06"/>
    <x v="7"/>
    <x v="3"/>
    <x v="1"/>
  </r>
  <r>
    <n v="10549"/>
    <n v="756"/>
    <n v="2094"/>
    <x v="4"/>
    <x v="150"/>
    <x v="144"/>
    <n v="2"/>
    <n v="66"/>
    <x v="2"/>
    <x v="4"/>
    <n v="22.56"/>
    <n v="393.53"/>
    <n v="25972.98"/>
    <x v="1"/>
    <x v="2"/>
    <x v="0"/>
  </r>
  <r>
    <n v="10550"/>
    <n v="796"/>
    <n v="2019"/>
    <x v="1"/>
    <x v="128"/>
    <x v="146"/>
    <n v="1"/>
    <n v="69"/>
    <x v="1"/>
    <x v="2"/>
    <n v="27.65"/>
    <n v="89.85"/>
    <n v="6199.65"/>
    <x v="1"/>
    <x v="0"/>
    <x v="1"/>
  </r>
  <r>
    <n v="10551"/>
    <n v="734"/>
    <n v="2010"/>
    <x v="18"/>
    <x v="164"/>
    <x v="112"/>
    <n v="2"/>
    <n v="61"/>
    <x v="0"/>
    <x v="0"/>
    <n v="9.58"/>
    <n v="440.93"/>
    <n v="26896.73"/>
    <x v="0"/>
    <x v="3"/>
    <x v="0"/>
  </r>
  <r>
    <n v="10552"/>
    <n v="669"/>
    <n v="2035"/>
    <x v="7"/>
    <x v="285"/>
    <x v="279"/>
    <n v="3"/>
    <n v="59"/>
    <x v="0"/>
    <x v="4"/>
    <n v="18.55"/>
    <n v="636.37"/>
    <n v="37545.83"/>
    <x v="4"/>
    <x v="3"/>
    <x v="0"/>
  </r>
  <r>
    <n v="10553"/>
    <n v="533"/>
    <n v="2043"/>
    <x v="4"/>
    <x v="224"/>
    <x v="137"/>
    <n v="10"/>
    <n v="92"/>
    <x v="1"/>
    <x v="4"/>
    <n v="14.98"/>
    <n v="375.85"/>
    <n v="34578.200000000004"/>
    <x v="1"/>
    <x v="2"/>
    <x v="0"/>
  </r>
  <r>
    <n v="10554"/>
    <n v="579"/>
    <n v="2036"/>
    <x v="0"/>
    <x v="40"/>
    <x v="39"/>
    <n v="10"/>
    <n v="66"/>
    <x v="2"/>
    <x v="2"/>
    <n v="39.39"/>
    <n v="745.86"/>
    <n v="49226.76"/>
    <x v="0"/>
    <x v="0"/>
    <x v="0"/>
  </r>
  <r>
    <n v="10555"/>
    <n v="618"/>
    <n v="2013"/>
    <x v="7"/>
    <x v="198"/>
    <x v="280"/>
    <n v="2"/>
    <n v="77"/>
    <x v="3"/>
    <x v="0"/>
    <n v="19.53"/>
    <n v="563.69000000000005"/>
    <n v="43404.130000000005"/>
    <x v="4"/>
    <x v="3"/>
    <x v="0"/>
  </r>
  <r>
    <n v="10556"/>
    <n v="613"/>
    <n v="2056"/>
    <x v="18"/>
    <x v="125"/>
    <x v="66"/>
    <n v="8"/>
    <n v="32"/>
    <x v="3"/>
    <x v="1"/>
    <n v="18.559999999999999"/>
    <n v="564.01"/>
    <n v="18048.32"/>
    <x v="0"/>
    <x v="3"/>
    <x v="0"/>
  </r>
  <r>
    <n v="10557"/>
    <n v="710"/>
    <n v="2024"/>
    <x v="0"/>
    <x v="214"/>
    <x v="42"/>
    <n v="2"/>
    <n v="73"/>
    <x v="1"/>
    <x v="0"/>
    <n v="21.16"/>
    <n v="291.08"/>
    <n v="21248.84"/>
    <x v="0"/>
    <x v="0"/>
    <x v="0"/>
  </r>
  <r>
    <n v="10558"/>
    <n v="758"/>
    <n v="2068"/>
    <x v="13"/>
    <x v="59"/>
    <x v="263"/>
    <n v="8"/>
    <n v="12"/>
    <x v="2"/>
    <x v="4"/>
    <n v="47.08"/>
    <n v="501.03"/>
    <n v="6012.36"/>
    <x v="1"/>
    <x v="1"/>
    <x v="0"/>
  </r>
  <r>
    <n v="10559"/>
    <n v="698"/>
    <n v="2060"/>
    <x v="17"/>
    <x v="207"/>
    <x v="92"/>
    <n v="9"/>
    <n v="93"/>
    <x v="0"/>
    <x v="3"/>
    <n v="3.65"/>
    <n v="173.1"/>
    <n v="16098.3"/>
    <x v="5"/>
    <x v="1"/>
    <x v="1"/>
  </r>
  <r>
    <n v="10560"/>
    <n v="672"/>
    <n v="2044"/>
    <x v="1"/>
    <x v="286"/>
    <x v="221"/>
    <n v="5"/>
    <n v="1"/>
    <x v="2"/>
    <x v="3"/>
    <n v="11.44"/>
    <n v="939.99"/>
    <n v="939.99"/>
    <x v="1"/>
    <x v="0"/>
    <x v="1"/>
  </r>
  <r>
    <n v="10561"/>
    <n v="805"/>
    <n v="2006"/>
    <x v="8"/>
    <x v="129"/>
    <x v="126"/>
    <n v="9"/>
    <n v="60"/>
    <x v="1"/>
    <x v="2"/>
    <n v="41.47"/>
    <n v="541.85"/>
    <n v="32511"/>
    <x v="2"/>
    <x v="2"/>
    <x v="1"/>
  </r>
  <r>
    <n v="10562"/>
    <n v="590"/>
    <n v="2032"/>
    <x v="4"/>
    <x v="287"/>
    <x v="281"/>
    <n v="2"/>
    <n v="43"/>
    <x v="3"/>
    <x v="1"/>
    <n v="3.81"/>
    <n v="682.41"/>
    <n v="29343.629999999997"/>
    <x v="1"/>
    <x v="2"/>
    <x v="0"/>
  </r>
  <r>
    <n v="10563"/>
    <n v="800"/>
    <n v="2021"/>
    <x v="0"/>
    <x v="114"/>
    <x v="48"/>
    <n v="4"/>
    <n v="3"/>
    <x v="0"/>
    <x v="1"/>
    <n v="18.77"/>
    <n v="259.72000000000003"/>
    <n v="779.16000000000008"/>
    <x v="0"/>
    <x v="0"/>
    <x v="0"/>
  </r>
  <r>
    <n v="10564"/>
    <n v="800"/>
    <n v="2034"/>
    <x v="14"/>
    <x v="211"/>
    <x v="126"/>
    <n v="2"/>
    <n v="78"/>
    <x v="1"/>
    <x v="4"/>
    <n v="26.17"/>
    <n v="540.23"/>
    <n v="42137.94"/>
    <x v="6"/>
    <x v="2"/>
    <x v="1"/>
  </r>
  <r>
    <n v="10565"/>
    <n v="785"/>
    <n v="2019"/>
    <x v="13"/>
    <x v="15"/>
    <x v="15"/>
    <n v="10"/>
    <n v="18"/>
    <x v="1"/>
    <x v="2"/>
    <n v="27.65"/>
    <n v="89.85"/>
    <n v="1617.3"/>
    <x v="1"/>
    <x v="1"/>
    <x v="0"/>
  </r>
  <r>
    <n v="10566"/>
    <n v="607"/>
    <n v="2008"/>
    <x v="17"/>
    <x v="190"/>
    <x v="195"/>
    <n v="5"/>
    <n v="56"/>
    <x v="3"/>
    <x v="3"/>
    <n v="8.5"/>
    <n v="899.21"/>
    <n v="50355.76"/>
    <x v="5"/>
    <x v="1"/>
    <x v="1"/>
  </r>
  <r>
    <n v="10567"/>
    <n v="739"/>
    <n v="2021"/>
    <x v="9"/>
    <x v="236"/>
    <x v="282"/>
    <n v="1"/>
    <n v="93"/>
    <x v="1"/>
    <x v="1"/>
    <n v="18.77"/>
    <n v="259.72000000000003"/>
    <n v="24153.960000000003"/>
    <x v="3"/>
    <x v="1"/>
    <x v="2"/>
  </r>
  <r>
    <n v="10568"/>
    <n v="832"/>
    <n v="2093"/>
    <x v="12"/>
    <x v="288"/>
    <x v="190"/>
    <n v="3"/>
    <n v="3"/>
    <x v="1"/>
    <x v="1"/>
    <n v="25.73"/>
    <n v="537.69000000000005"/>
    <n v="1613.0700000000002"/>
    <x v="5"/>
    <x v="2"/>
    <x v="1"/>
  </r>
  <r>
    <n v="10569"/>
    <n v="664"/>
    <n v="2032"/>
    <x v="19"/>
    <x v="199"/>
    <x v="283"/>
    <n v="2"/>
    <n v="47"/>
    <x v="3"/>
    <x v="1"/>
    <n v="3.81"/>
    <n v="682.41"/>
    <n v="32073.269999999997"/>
    <x v="7"/>
    <x v="3"/>
    <x v="1"/>
  </r>
  <r>
    <n v="10570"/>
    <n v="832"/>
    <n v="2088"/>
    <x v="5"/>
    <x v="60"/>
    <x v="284"/>
    <n v="7"/>
    <n v="50"/>
    <x v="3"/>
    <x v="0"/>
    <n v="27.71"/>
    <n v="820.21"/>
    <n v="41010.5"/>
    <x v="0"/>
    <x v="2"/>
    <x v="1"/>
  </r>
  <r>
    <n v="10571"/>
    <n v="569"/>
    <n v="2081"/>
    <x v="14"/>
    <x v="177"/>
    <x v="92"/>
    <n v="2"/>
    <n v="44"/>
    <x v="2"/>
    <x v="3"/>
    <n v="20.72"/>
    <n v="668.31"/>
    <n v="29405.64"/>
    <x v="6"/>
    <x v="2"/>
    <x v="1"/>
  </r>
  <r>
    <n v="10572"/>
    <n v="579"/>
    <n v="2034"/>
    <x v="17"/>
    <x v="13"/>
    <x v="96"/>
    <n v="8"/>
    <n v="23"/>
    <x v="2"/>
    <x v="4"/>
    <n v="26.17"/>
    <n v="540.23"/>
    <n v="12425.29"/>
    <x v="5"/>
    <x v="1"/>
    <x v="1"/>
  </r>
  <r>
    <n v="10573"/>
    <n v="626"/>
    <n v="2020"/>
    <x v="3"/>
    <x v="216"/>
    <x v="233"/>
    <n v="10"/>
    <n v="22"/>
    <x v="0"/>
    <x v="4"/>
    <n v="35.94"/>
    <n v="44.04"/>
    <n v="968.88"/>
    <x v="2"/>
    <x v="2"/>
    <x v="2"/>
  </r>
  <r>
    <n v="10574"/>
    <n v="586"/>
    <n v="2094"/>
    <x v="7"/>
    <x v="202"/>
    <x v="142"/>
    <n v="3"/>
    <n v="60"/>
    <x v="3"/>
    <x v="4"/>
    <n v="22.56"/>
    <n v="393.53"/>
    <n v="23611.8"/>
    <x v="4"/>
    <x v="3"/>
    <x v="0"/>
  </r>
  <r>
    <n v="10575"/>
    <n v="803"/>
    <n v="2060"/>
    <x v="7"/>
    <x v="254"/>
    <x v="249"/>
    <n v="10"/>
    <n v="79"/>
    <x v="1"/>
    <x v="3"/>
    <n v="3.65"/>
    <n v="173.1"/>
    <n v="13674.9"/>
    <x v="4"/>
    <x v="3"/>
    <x v="0"/>
  </r>
  <r>
    <n v="10576"/>
    <n v="784"/>
    <n v="2084"/>
    <x v="8"/>
    <x v="101"/>
    <x v="132"/>
    <n v="10"/>
    <n v="74"/>
    <x v="3"/>
    <x v="3"/>
    <n v="14.27"/>
    <n v="223.58"/>
    <n v="16544.920000000002"/>
    <x v="2"/>
    <x v="2"/>
    <x v="1"/>
  </r>
  <r>
    <n v="10577"/>
    <n v="814"/>
    <n v="2058"/>
    <x v="5"/>
    <x v="222"/>
    <x v="108"/>
    <n v="2"/>
    <n v="26"/>
    <x v="2"/>
    <x v="4"/>
    <n v="28.48"/>
    <n v="13.34"/>
    <n v="346.84"/>
    <x v="0"/>
    <x v="2"/>
    <x v="1"/>
  </r>
  <r>
    <n v="10578"/>
    <n v="865"/>
    <n v="2038"/>
    <x v="2"/>
    <x v="116"/>
    <x v="120"/>
    <n v="9"/>
    <n v="96"/>
    <x v="3"/>
    <x v="4"/>
    <n v="26.62"/>
    <n v="680"/>
    <n v="65280"/>
    <x v="2"/>
    <x v="1"/>
    <x v="2"/>
  </r>
  <r>
    <n v="10579"/>
    <n v="539"/>
    <n v="2088"/>
    <x v="8"/>
    <x v="289"/>
    <x v="179"/>
    <n v="10"/>
    <n v="70"/>
    <x v="3"/>
    <x v="0"/>
    <n v="27.71"/>
    <n v="820.21"/>
    <n v="57414.700000000004"/>
    <x v="2"/>
    <x v="2"/>
    <x v="1"/>
  </r>
  <r>
    <n v="10580"/>
    <n v="650"/>
    <n v="2031"/>
    <x v="3"/>
    <x v="195"/>
    <x v="285"/>
    <n v="1"/>
    <n v="43"/>
    <x v="3"/>
    <x v="4"/>
    <n v="24.61"/>
    <n v="342.86"/>
    <n v="14742.980000000001"/>
    <x v="2"/>
    <x v="2"/>
    <x v="2"/>
  </r>
  <r>
    <n v="10581"/>
    <n v="716"/>
    <n v="2038"/>
    <x v="19"/>
    <x v="207"/>
    <x v="92"/>
    <n v="9"/>
    <n v="66"/>
    <x v="1"/>
    <x v="4"/>
    <n v="26.62"/>
    <n v="680"/>
    <n v="44880"/>
    <x v="7"/>
    <x v="3"/>
    <x v="1"/>
  </r>
  <r>
    <n v="10582"/>
    <n v="874"/>
    <n v="2007"/>
    <x v="8"/>
    <x v="290"/>
    <x v="286"/>
    <n v="9"/>
    <n v="18"/>
    <x v="2"/>
    <x v="3"/>
    <n v="48.07"/>
    <n v="759.78"/>
    <n v="13676.039999999999"/>
    <x v="2"/>
    <x v="2"/>
    <x v="1"/>
  </r>
  <r>
    <n v="10583"/>
    <n v="646"/>
    <n v="2074"/>
    <x v="14"/>
    <x v="156"/>
    <x v="287"/>
    <n v="2"/>
    <n v="72"/>
    <x v="2"/>
    <x v="0"/>
    <n v="41.45"/>
    <n v="650.42999999999995"/>
    <n v="46830.96"/>
    <x v="6"/>
    <x v="2"/>
    <x v="1"/>
  </r>
  <r>
    <n v="10584"/>
    <n v="663"/>
    <n v="2023"/>
    <x v="9"/>
    <x v="99"/>
    <x v="288"/>
    <n v="1"/>
    <n v="66"/>
    <x v="0"/>
    <x v="0"/>
    <n v="39.520000000000003"/>
    <n v="618.29999999999995"/>
    <n v="40807.799999999996"/>
    <x v="3"/>
    <x v="1"/>
    <x v="2"/>
  </r>
  <r>
    <n v="10585"/>
    <n v="529"/>
    <n v="2097"/>
    <x v="8"/>
    <x v="209"/>
    <x v="213"/>
    <n v="7"/>
    <n v="44"/>
    <x v="2"/>
    <x v="4"/>
    <n v="30.63"/>
    <n v="828.74"/>
    <n v="36464.559999999998"/>
    <x v="2"/>
    <x v="2"/>
    <x v="1"/>
  </r>
  <r>
    <n v="10586"/>
    <n v="735"/>
    <n v="2010"/>
    <x v="11"/>
    <x v="198"/>
    <x v="280"/>
    <n v="2"/>
    <n v="80"/>
    <x v="0"/>
    <x v="0"/>
    <n v="9.58"/>
    <n v="440.93"/>
    <n v="35274.400000000001"/>
    <x v="2"/>
    <x v="1"/>
    <x v="1"/>
  </r>
  <r>
    <n v="10587"/>
    <n v="770"/>
    <n v="2026"/>
    <x v="5"/>
    <x v="291"/>
    <x v="233"/>
    <n v="5"/>
    <n v="28"/>
    <x v="3"/>
    <x v="2"/>
    <n v="23.02"/>
    <n v="858.57"/>
    <n v="24039.960000000003"/>
    <x v="0"/>
    <x v="2"/>
    <x v="1"/>
  </r>
  <r>
    <n v="10588"/>
    <n v="507"/>
    <n v="2100"/>
    <x v="5"/>
    <x v="292"/>
    <x v="184"/>
    <n v="1"/>
    <n v="19"/>
    <x v="2"/>
    <x v="4"/>
    <n v="2.2799999999999998"/>
    <n v="813.8"/>
    <n v="15462.199999999999"/>
    <x v="0"/>
    <x v="2"/>
    <x v="1"/>
  </r>
  <r>
    <n v="10589"/>
    <n v="746"/>
    <n v="2082"/>
    <x v="0"/>
    <x v="89"/>
    <x v="238"/>
    <n v="3"/>
    <n v="60"/>
    <x v="0"/>
    <x v="2"/>
    <n v="41.79"/>
    <n v="352.17"/>
    <n v="21130.2"/>
    <x v="0"/>
    <x v="0"/>
    <x v="0"/>
  </r>
  <r>
    <n v="10590"/>
    <n v="751"/>
    <n v="2054"/>
    <x v="0"/>
    <x v="293"/>
    <x v="137"/>
    <n v="9"/>
    <n v="42"/>
    <x v="3"/>
    <x v="1"/>
    <n v="5.63"/>
    <n v="304.22000000000003"/>
    <n v="12777.240000000002"/>
    <x v="0"/>
    <x v="0"/>
    <x v="0"/>
  </r>
  <r>
    <n v="10591"/>
    <n v="671"/>
    <n v="2013"/>
    <x v="0"/>
    <x v="294"/>
    <x v="185"/>
    <n v="8"/>
    <n v="9"/>
    <x v="2"/>
    <x v="0"/>
    <n v="19.53"/>
    <n v="563.69000000000005"/>
    <n v="5073.2100000000009"/>
    <x v="0"/>
    <x v="0"/>
    <x v="0"/>
  </r>
  <r>
    <n v="10592"/>
    <n v="515"/>
    <n v="2088"/>
    <x v="19"/>
    <x v="90"/>
    <x v="289"/>
    <n v="9"/>
    <n v="21"/>
    <x v="2"/>
    <x v="0"/>
    <n v="27.71"/>
    <n v="820.21"/>
    <n v="17224.41"/>
    <x v="7"/>
    <x v="3"/>
    <x v="1"/>
  </r>
  <r>
    <n v="10593"/>
    <n v="894"/>
    <n v="2089"/>
    <x v="6"/>
    <x v="75"/>
    <x v="256"/>
    <n v="8"/>
    <n v="19"/>
    <x v="2"/>
    <x v="2"/>
    <n v="19.170000000000002"/>
    <n v="513.33000000000004"/>
    <n v="9753.27"/>
    <x v="3"/>
    <x v="1"/>
    <x v="0"/>
  </r>
  <r>
    <n v="10594"/>
    <n v="858"/>
    <n v="2035"/>
    <x v="4"/>
    <x v="78"/>
    <x v="91"/>
    <n v="1"/>
    <n v="21"/>
    <x v="1"/>
    <x v="4"/>
    <n v="18.55"/>
    <n v="636.37"/>
    <n v="13363.77"/>
    <x v="1"/>
    <x v="2"/>
    <x v="0"/>
  </r>
  <r>
    <n v="10595"/>
    <n v="708"/>
    <n v="2021"/>
    <x v="16"/>
    <x v="122"/>
    <x v="290"/>
    <n v="3"/>
    <n v="71"/>
    <x v="0"/>
    <x v="1"/>
    <n v="18.77"/>
    <n v="259.72000000000003"/>
    <n v="18440.120000000003"/>
    <x v="6"/>
    <x v="2"/>
    <x v="2"/>
  </r>
  <r>
    <n v="10596"/>
    <n v="863"/>
    <n v="2030"/>
    <x v="19"/>
    <x v="135"/>
    <x v="291"/>
    <n v="4"/>
    <n v="94"/>
    <x v="1"/>
    <x v="0"/>
    <n v="27.52"/>
    <n v="537.03"/>
    <n v="50480.82"/>
    <x v="7"/>
    <x v="3"/>
    <x v="1"/>
  </r>
  <r>
    <n v="10597"/>
    <n v="859"/>
    <n v="2086"/>
    <x v="12"/>
    <x v="98"/>
    <x v="292"/>
    <n v="6"/>
    <n v="51"/>
    <x v="2"/>
    <x v="4"/>
    <n v="27.73"/>
    <n v="417.42"/>
    <n v="21288.420000000002"/>
    <x v="5"/>
    <x v="2"/>
    <x v="1"/>
  </r>
  <r>
    <n v="10598"/>
    <n v="705"/>
    <n v="2051"/>
    <x v="17"/>
    <x v="295"/>
    <x v="137"/>
    <n v="1"/>
    <n v="80"/>
    <x v="0"/>
    <x v="1"/>
    <n v="47.82"/>
    <n v="376.19"/>
    <n v="30095.200000000001"/>
    <x v="5"/>
    <x v="1"/>
    <x v="1"/>
  </r>
  <r>
    <n v="10599"/>
    <n v="836"/>
    <n v="2012"/>
    <x v="9"/>
    <x v="58"/>
    <x v="2"/>
    <n v="1"/>
    <n v="26"/>
    <x v="2"/>
    <x v="3"/>
    <n v="34.93"/>
    <n v="327.92"/>
    <n v="8525.92"/>
    <x v="3"/>
    <x v="1"/>
    <x v="2"/>
  </r>
  <r>
    <n v="10600"/>
    <n v="639"/>
    <n v="2083"/>
    <x v="18"/>
    <x v="57"/>
    <x v="244"/>
    <n v="1"/>
    <n v="80"/>
    <x v="0"/>
    <x v="2"/>
    <n v="13.79"/>
    <n v="843.82"/>
    <n v="67505.600000000006"/>
    <x v="0"/>
    <x v="3"/>
    <x v="0"/>
  </r>
  <r>
    <n v="10601"/>
    <n v="530"/>
    <n v="2094"/>
    <x v="7"/>
    <x v="73"/>
    <x v="156"/>
    <n v="9"/>
    <n v="21"/>
    <x v="0"/>
    <x v="4"/>
    <n v="22.56"/>
    <n v="393.53"/>
    <n v="8264.1299999999992"/>
    <x v="4"/>
    <x v="3"/>
    <x v="0"/>
  </r>
  <r>
    <n v="10602"/>
    <n v="640"/>
    <n v="2011"/>
    <x v="12"/>
    <x v="71"/>
    <x v="76"/>
    <n v="8"/>
    <n v="38"/>
    <x v="3"/>
    <x v="3"/>
    <n v="12.75"/>
    <n v="987.99"/>
    <n v="37543.620000000003"/>
    <x v="5"/>
    <x v="2"/>
    <x v="1"/>
  </r>
  <r>
    <n v="10603"/>
    <n v="527"/>
    <n v="2052"/>
    <x v="1"/>
    <x v="223"/>
    <x v="121"/>
    <n v="6"/>
    <n v="71"/>
    <x v="1"/>
    <x v="4"/>
    <n v="47.35"/>
    <n v="665.2"/>
    <n v="47229.200000000004"/>
    <x v="1"/>
    <x v="0"/>
    <x v="1"/>
  </r>
  <r>
    <n v="10604"/>
    <n v="703"/>
    <n v="2099"/>
    <x v="1"/>
    <x v="296"/>
    <x v="207"/>
    <n v="6"/>
    <n v="60"/>
    <x v="2"/>
    <x v="3"/>
    <n v="31.62"/>
    <n v="652.77"/>
    <n v="39166.199999999997"/>
    <x v="1"/>
    <x v="0"/>
    <x v="1"/>
  </r>
  <r>
    <n v="10605"/>
    <n v="733"/>
    <n v="2084"/>
    <x v="10"/>
    <x v="250"/>
    <x v="32"/>
    <n v="1"/>
    <n v="67"/>
    <x v="0"/>
    <x v="3"/>
    <n v="14.27"/>
    <n v="223.58"/>
    <n v="14979.86"/>
    <x v="0"/>
    <x v="2"/>
    <x v="0"/>
  </r>
  <r>
    <n v="10606"/>
    <n v="508"/>
    <n v="2024"/>
    <x v="1"/>
    <x v="297"/>
    <x v="77"/>
    <n v="1"/>
    <n v="40"/>
    <x v="1"/>
    <x v="0"/>
    <n v="21.16"/>
    <n v="291.08"/>
    <n v="11643.199999999999"/>
    <x v="1"/>
    <x v="0"/>
    <x v="1"/>
  </r>
  <r>
    <n v="10607"/>
    <n v="847"/>
    <n v="2063"/>
    <x v="11"/>
    <x v="127"/>
    <x v="266"/>
    <n v="3"/>
    <n v="2"/>
    <x v="3"/>
    <x v="1"/>
    <n v="13.23"/>
    <n v="151.69999999999999"/>
    <n v="303.39999999999998"/>
    <x v="2"/>
    <x v="1"/>
    <x v="1"/>
  </r>
  <r>
    <n v="10608"/>
    <n v="635"/>
    <n v="2010"/>
    <x v="7"/>
    <x v="298"/>
    <x v="13"/>
    <n v="8"/>
    <n v="95"/>
    <x v="3"/>
    <x v="0"/>
    <n v="9.58"/>
    <n v="440.93"/>
    <n v="41888.35"/>
    <x v="4"/>
    <x v="3"/>
    <x v="0"/>
  </r>
  <r>
    <n v="10609"/>
    <n v="796"/>
    <n v="2036"/>
    <x v="4"/>
    <x v="274"/>
    <x v="224"/>
    <n v="10"/>
    <n v="3"/>
    <x v="1"/>
    <x v="2"/>
    <n v="39.39"/>
    <n v="745.86"/>
    <n v="2237.58"/>
    <x v="1"/>
    <x v="2"/>
    <x v="0"/>
  </r>
  <r>
    <n v="10610"/>
    <n v="687"/>
    <n v="2045"/>
    <x v="11"/>
    <x v="211"/>
    <x v="46"/>
    <n v="10"/>
    <n v="37"/>
    <x v="0"/>
    <x v="1"/>
    <n v="41.3"/>
    <n v="652.61"/>
    <n v="24146.57"/>
    <x v="2"/>
    <x v="1"/>
    <x v="1"/>
  </r>
  <r>
    <n v="10611"/>
    <n v="726"/>
    <n v="2078"/>
    <x v="11"/>
    <x v="299"/>
    <x v="26"/>
    <n v="2"/>
    <n v="31"/>
    <x v="3"/>
    <x v="3"/>
    <n v="14.85"/>
    <n v="517.03"/>
    <n v="16027.929999999998"/>
    <x v="2"/>
    <x v="1"/>
    <x v="1"/>
  </r>
  <r>
    <n v="10612"/>
    <n v="839"/>
    <n v="2054"/>
    <x v="11"/>
    <x v="14"/>
    <x v="20"/>
    <n v="8"/>
    <n v="23"/>
    <x v="2"/>
    <x v="1"/>
    <n v="5.63"/>
    <n v="304.22000000000003"/>
    <n v="6997.06"/>
    <x v="2"/>
    <x v="1"/>
    <x v="1"/>
  </r>
  <r>
    <n v="10613"/>
    <n v="519"/>
    <n v="2095"/>
    <x v="19"/>
    <x v="195"/>
    <x v="285"/>
    <n v="1"/>
    <n v="75"/>
    <x v="2"/>
    <x v="0"/>
    <n v="38.81"/>
    <n v="761.63"/>
    <n v="57122.25"/>
    <x v="7"/>
    <x v="3"/>
    <x v="1"/>
  </r>
  <r>
    <n v="10614"/>
    <n v="756"/>
    <n v="2078"/>
    <x v="10"/>
    <x v="109"/>
    <x v="293"/>
    <n v="8"/>
    <n v="33"/>
    <x v="1"/>
    <x v="3"/>
    <n v="14.85"/>
    <n v="517.03"/>
    <n v="17061.989999999998"/>
    <x v="0"/>
    <x v="2"/>
    <x v="0"/>
  </r>
  <r>
    <n v="10615"/>
    <n v="523"/>
    <n v="2073"/>
    <x v="12"/>
    <x v="245"/>
    <x v="0"/>
    <n v="7"/>
    <n v="91"/>
    <x v="2"/>
    <x v="1"/>
    <n v="11.78"/>
    <n v="416.74"/>
    <n v="37923.340000000004"/>
    <x v="5"/>
    <x v="2"/>
    <x v="1"/>
  </r>
  <r>
    <n v="10616"/>
    <n v="623"/>
    <n v="2054"/>
    <x v="15"/>
    <x v="255"/>
    <x v="190"/>
    <n v="7"/>
    <n v="56"/>
    <x v="0"/>
    <x v="1"/>
    <n v="5.63"/>
    <n v="304.22000000000003"/>
    <n v="17036.32"/>
    <x v="2"/>
    <x v="1"/>
    <x v="0"/>
  </r>
  <r>
    <n v="10617"/>
    <n v="841"/>
    <n v="2018"/>
    <x v="1"/>
    <x v="188"/>
    <x v="11"/>
    <n v="10"/>
    <n v="9"/>
    <x v="1"/>
    <x v="3"/>
    <n v="16.739999999999998"/>
    <n v="103.05"/>
    <n v="927.44999999999993"/>
    <x v="1"/>
    <x v="0"/>
    <x v="1"/>
  </r>
  <r>
    <n v="10618"/>
    <n v="660"/>
    <n v="2076"/>
    <x v="12"/>
    <x v="209"/>
    <x v="294"/>
    <n v="6"/>
    <n v="71"/>
    <x v="1"/>
    <x v="0"/>
    <n v="14.63"/>
    <n v="638.11"/>
    <n v="45305.81"/>
    <x v="5"/>
    <x v="2"/>
    <x v="1"/>
  </r>
  <r>
    <n v="10619"/>
    <n v="846"/>
    <n v="2001"/>
    <x v="3"/>
    <x v="240"/>
    <x v="247"/>
    <n v="6"/>
    <n v="77"/>
    <x v="0"/>
    <x v="1"/>
    <n v="49.85"/>
    <n v="471.41"/>
    <n v="36298.57"/>
    <x v="2"/>
    <x v="2"/>
    <x v="2"/>
  </r>
  <r>
    <n v="10620"/>
    <n v="646"/>
    <n v="2099"/>
    <x v="10"/>
    <x v="300"/>
    <x v="295"/>
    <n v="9"/>
    <n v="88"/>
    <x v="2"/>
    <x v="3"/>
    <n v="31.62"/>
    <n v="652.77"/>
    <n v="57443.759999999995"/>
    <x v="0"/>
    <x v="2"/>
    <x v="0"/>
  </r>
  <r>
    <n v="10621"/>
    <n v="815"/>
    <n v="2017"/>
    <x v="13"/>
    <x v="146"/>
    <x v="2"/>
    <n v="5"/>
    <n v="51"/>
    <x v="3"/>
    <x v="2"/>
    <n v="38.24"/>
    <n v="788.08"/>
    <n v="40192.080000000002"/>
    <x v="1"/>
    <x v="1"/>
    <x v="0"/>
  </r>
  <r>
    <n v="10622"/>
    <n v="591"/>
    <n v="2048"/>
    <x v="13"/>
    <x v="43"/>
    <x v="101"/>
    <n v="6"/>
    <n v="57"/>
    <x v="2"/>
    <x v="2"/>
    <n v="6.74"/>
    <n v="864.57"/>
    <n v="49280.490000000005"/>
    <x v="1"/>
    <x v="1"/>
    <x v="0"/>
  </r>
  <r>
    <n v="10623"/>
    <n v="789"/>
    <n v="2008"/>
    <x v="1"/>
    <x v="130"/>
    <x v="110"/>
    <n v="5"/>
    <n v="9"/>
    <x v="0"/>
    <x v="3"/>
    <n v="8.5"/>
    <n v="899.21"/>
    <n v="8092.89"/>
    <x v="1"/>
    <x v="0"/>
    <x v="1"/>
  </r>
  <r>
    <n v="10624"/>
    <n v="636"/>
    <n v="2001"/>
    <x v="5"/>
    <x v="232"/>
    <x v="135"/>
    <n v="6"/>
    <n v="61"/>
    <x v="0"/>
    <x v="1"/>
    <n v="49.85"/>
    <n v="471.41"/>
    <n v="28756.010000000002"/>
    <x v="0"/>
    <x v="2"/>
    <x v="1"/>
  </r>
  <r>
    <n v="10625"/>
    <n v="621"/>
    <n v="2030"/>
    <x v="4"/>
    <x v="275"/>
    <x v="107"/>
    <n v="8"/>
    <n v="88"/>
    <x v="0"/>
    <x v="0"/>
    <n v="27.52"/>
    <n v="537.03"/>
    <n v="47258.64"/>
    <x v="1"/>
    <x v="2"/>
    <x v="0"/>
  </r>
  <r>
    <n v="10626"/>
    <n v="587"/>
    <n v="2056"/>
    <x v="7"/>
    <x v="253"/>
    <x v="3"/>
    <n v="2"/>
    <n v="42"/>
    <x v="2"/>
    <x v="1"/>
    <n v="18.559999999999999"/>
    <n v="564.01"/>
    <n v="23688.42"/>
    <x v="4"/>
    <x v="3"/>
    <x v="0"/>
  </r>
  <r>
    <n v="10627"/>
    <n v="617"/>
    <n v="2046"/>
    <x v="12"/>
    <x v="182"/>
    <x v="174"/>
    <n v="2"/>
    <n v="93"/>
    <x v="3"/>
    <x v="4"/>
    <n v="38.130000000000003"/>
    <n v="649.34"/>
    <n v="60388.62"/>
    <x v="5"/>
    <x v="2"/>
    <x v="1"/>
  </r>
  <r>
    <n v="10628"/>
    <n v="694"/>
    <n v="2049"/>
    <x v="10"/>
    <x v="5"/>
    <x v="175"/>
    <n v="3"/>
    <n v="52"/>
    <x v="1"/>
    <x v="4"/>
    <n v="17.52"/>
    <n v="832.77"/>
    <n v="43304.04"/>
    <x v="0"/>
    <x v="2"/>
    <x v="0"/>
  </r>
  <r>
    <n v="10629"/>
    <n v="673"/>
    <n v="2100"/>
    <x v="12"/>
    <x v="157"/>
    <x v="77"/>
    <n v="3"/>
    <n v="45"/>
    <x v="0"/>
    <x v="4"/>
    <n v="2.2799999999999998"/>
    <n v="813.8"/>
    <n v="36621"/>
    <x v="5"/>
    <x v="2"/>
    <x v="1"/>
  </r>
  <r>
    <n v="10630"/>
    <n v="757"/>
    <n v="2030"/>
    <x v="19"/>
    <x v="208"/>
    <x v="170"/>
    <n v="4"/>
    <n v="18"/>
    <x v="1"/>
    <x v="0"/>
    <n v="27.52"/>
    <n v="537.03"/>
    <n v="9666.5399999999991"/>
    <x v="7"/>
    <x v="3"/>
    <x v="1"/>
  </r>
  <r>
    <n v="10631"/>
    <n v="660"/>
    <n v="2087"/>
    <x v="6"/>
    <x v="51"/>
    <x v="52"/>
    <n v="10"/>
    <n v="32"/>
    <x v="0"/>
    <x v="1"/>
    <n v="35.82"/>
    <n v="47.38"/>
    <n v="1516.16"/>
    <x v="3"/>
    <x v="1"/>
    <x v="0"/>
  </r>
  <r>
    <n v="10632"/>
    <n v="567"/>
    <n v="2012"/>
    <x v="6"/>
    <x v="138"/>
    <x v="189"/>
    <n v="4"/>
    <n v="42"/>
    <x v="2"/>
    <x v="3"/>
    <n v="34.93"/>
    <n v="327.92"/>
    <n v="13772.640000000001"/>
    <x v="3"/>
    <x v="1"/>
    <x v="0"/>
  </r>
  <r>
    <n v="10633"/>
    <n v="775"/>
    <n v="2036"/>
    <x v="19"/>
    <x v="251"/>
    <x v="296"/>
    <n v="3"/>
    <n v="58"/>
    <x v="3"/>
    <x v="2"/>
    <n v="39.39"/>
    <n v="745.86"/>
    <n v="43259.88"/>
    <x v="7"/>
    <x v="3"/>
    <x v="1"/>
  </r>
  <r>
    <n v="10634"/>
    <n v="766"/>
    <n v="2029"/>
    <x v="16"/>
    <x v="17"/>
    <x v="68"/>
    <n v="5"/>
    <n v="12"/>
    <x v="0"/>
    <x v="3"/>
    <n v="9.19"/>
    <n v="357.06"/>
    <n v="4284.72"/>
    <x v="6"/>
    <x v="2"/>
    <x v="2"/>
  </r>
  <r>
    <n v="10635"/>
    <n v="602"/>
    <n v="2079"/>
    <x v="9"/>
    <x v="301"/>
    <x v="175"/>
    <n v="1"/>
    <n v="35"/>
    <x v="3"/>
    <x v="2"/>
    <n v="12.3"/>
    <n v="99.7"/>
    <n v="3489.5"/>
    <x v="3"/>
    <x v="1"/>
    <x v="2"/>
  </r>
  <r>
    <n v="10636"/>
    <n v="672"/>
    <n v="2034"/>
    <x v="8"/>
    <x v="235"/>
    <x v="297"/>
    <n v="8"/>
    <n v="33"/>
    <x v="1"/>
    <x v="4"/>
    <n v="26.17"/>
    <n v="540.23"/>
    <n v="17827.59"/>
    <x v="2"/>
    <x v="2"/>
    <x v="1"/>
  </r>
  <r>
    <n v="10637"/>
    <n v="690"/>
    <n v="2009"/>
    <x v="0"/>
    <x v="111"/>
    <x v="23"/>
    <n v="8"/>
    <n v="87"/>
    <x v="1"/>
    <x v="3"/>
    <n v="16.82"/>
    <n v="376.01"/>
    <n v="32712.87"/>
    <x v="0"/>
    <x v="0"/>
    <x v="0"/>
  </r>
  <r>
    <n v="10638"/>
    <n v="548"/>
    <n v="2058"/>
    <x v="16"/>
    <x v="173"/>
    <x v="180"/>
    <n v="10"/>
    <n v="58"/>
    <x v="0"/>
    <x v="4"/>
    <n v="28.48"/>
    <n v="13.34"/>
    <n v="773.72"/>
    <x v="6"/>
    <x v="2"/>
    <x v="2"/>
  </r>
  <r>
    <n v="10639"/>
    <n v="864"/>
    <n v="2010"/>
    <x v="17"/>
    <x v="107"/>
    <x v="88"/>
    <n v="9"/>
    <n v="78"/>
    <x v="1"/>
    <x v="0"/>
    <n v="9.58"/>
    <n v="440.93"/>
    <n v="34392.54"/>
    <x v="5"/>
    <x v="1"/>
    <x v="1"/>
  </r>
  <r>
    <n v="10640"/>
    <n v="740"/>
    <n v="2019"/>
    <x v="3"/>
    <x v="153"/>
    <x v="73"/>
    <n v="5"/>
    <n v="95"/>
    <x v="1"/>
    <x v="2"/>
    <n v="27.65"/>
    <n v="89.85"/>
    <n v="8535.75"/>
    <x v="2"/>
    <x v="2"/>
    <x v="2"/>
  </r>
  <r>
    <n v="10641"/>
    <n v="635"/>
    <n v="2070"/>
    <x v="14"/>
    <x v="198"/>
    <x v="97"/>
    <n v="10"/>
    <n v="100"/>
    <x v="3"/>
    <x v="2"/>
    <n v="22.6"/>
    <n v="196.67"/>
    <n v="19667"/>
    <x v="6"/>
    <x v="2"/>
    <x v="1"/>
  </r>
  <r>
    <n v="10642"/>
    <n v="818"/>
    <n v="2090"/>
    <x v="19"/>
    <x v="289"/>
    <x v="214"/>
    <n v="2"/>
    <n v="92"/>
    <x v="2"/>
    <x v="2"/>
    <n v="38.729999999999997"/>
    <n v="913.68"/>
    <n v="84058.559999999998"/>
    <x v="7"/>
    <x v="3"/>
    <x v="1"/>
  </r>
  <r>
    <n v="10643"/>
    <n v="639"/>
    <n v="2028"/>
    <x v="3"/>
    <x v="196"/>
    <x v="200"/>
    <n v="6"/>
    <n v="24"/>
    <x v="2"/>
    <x v="0"/>
    <n v="30.34"/>
    <n v="630.65"/>
    <n v="15135.599999999999"/>
    <x v="2"/>
    <x v="2"/>
    <x v="2"/>
  </r>
  <r>
    <n v="10644"/>
    <n v="774"/>
    <n v="2012"/>
    <x v="11"/>
    <x v="261"/>
    <x v="176"/>
    <n v="4"/>
    <n v="3"/>
    <x v="1"/>
    <x v="3"/>
    <n v="34.93"/>
    <n v="327.92"/>
    <n v="983.76"/>
    <x v="2"/>
    <x v="1"/>
    <x v="1"/>
  </r>
  <r>
    <n v="10645"/>
    <n v="809"/>
    <n v="2088"/>
    <x v="3"/>
    <x v="273"/>
    <x v="118"/>
    <n v="5"/>
    <n v="70"/>
    <x v="3"/>
    <x v="0"/>
    <n v="27.71"/>
    <n v="820.21"/>
    <n v="57414.700000000004"/>
    <x v="2"/>
    <x v="2"/>
    <x v="2"/>
  </r>
  <r>
    <n v="10646"/>
    <n v="514"/>
    <n v="2092"/>
    <x v="2"/>
    <x v="203"/>
    <x v="243"/>
    <n v="5"/>
    <n v="74"/>
    <x v="0"/>
    <x v="2"/>
    <n v="30.97"/>
    <n v="521.23"/>
    <n v="38571.020000000004"/>
    <x v="2"/>
    <x v="1"/>
    <x v="2"/>
  </r>
  <r>
    <n v="10647"/>
    <n v="757"/>
    <n v="2052"/>
    <x v="17"/>
    <x v="302"/>
    <x v="294"/>
    <n v="8"/>
    <n v="38"/>
    <x v="2"/>
    <x v="4"/>
    <n v="47.35"/>
    <n v="665.2"/>
    <n v="25277.600000000002"/>
    <x v="5"/>
    <x v="1"/>
    <x v="1"/>
  </r>
  <r>
    <n v="10648"/>
    <n v="856"/>
    <n v="2072"/>
    <x v="14"/>
    <x v="303"/>
    <x v="204"/>
    <n v="7"/>
    <n v="89"/>
    <x v="0"/>
    <x v="1"/>
    <n v="26.22"/>
    <n v="576.57000000000005"/>
    <n v="51314.73"/>
    <x v="6"/>
    <x v="2"/>
    <x v="1"/>
  </r>
  <r>
    <n v="10649"/>
    <n v="853"/>
    <n v="2035"/>
    <x v="17"/>
    <x v="214"/>
    <x v="42"/>
    <n v="2"/>
    <n v="71"/>
    <x v="2"/>
    <x v="4"/>
    <n v="18.55"/>
    <n v="636.37"/>
    <n v="45182.27"/>
    <x v="5"/>
    <x v="1"/>
    <x v="1"/>
  </r>
  <r>
    <n v="10650"/>
    <n v="731"/>
    <n v="2089"/>
    <x v="10"/>
    <x v="143"/>
    <x v="83"/>
    <n v="6"/>
    <n v="48"/>
    <x v="3"/>
    <x v="2"/>
    <n v="19.170000000000002"/>
    <n v="513.33000000000004"/>
    <n v="24639.840000000004"/>
    <x v="0"/>
    <x v="2"/>
    <x v="0"/>
  </r>
  <r>
    <n v="10651"/>
    <n v="666"/>
    <n v="2089"/>
    <x v="7"/>
    <x v="210"/>
    <x v="173"/>
    <n v="3"/>
    <n v="26"/>
    <x v="2"/>
    <x v="2"/>
    <n v="19.170000000000002"/>
    <n v="513.33000000000004"/>
    <n v="13346.580000000002"/>
    <x v="4"/>
    <x v="3"/>
    <x v="0"/>
  </r>
  <r>
    <n v="10652"/>
    <n v="752"/>
    <n v="2035"/>
    <x v="16"/>
    <x v="304"/>
    <x v="17"/>
    <n v="4"/>
    <n v="72"/>
    <x v="1"/>
    <x v="4"/>
    <n v="18.55"/>
    <n v="636.37"/>
    <n v="45818.64"/>
    <x v="6"/>
    <x v="2"/>
    <x v="2"/>
  </r>
  <r>
    <n v="10653"/>
    <n v="589"/>
    <n v="2043"/>
    <x v="3"/>
    <x v="150"/>
    <x v="157"/>
    <n v="7"/>
    <n v="98"/>
    <x v="2"/>
    <x v="4"/>
    <n v="14.98"/>
    <n v="375.85"/>
    <n v="36833.300000000003"/>
    <x v="2"/>
    <x v="2"/>
    <x v="2"/>
  </r>
  <r>
    <n v="10654"/>
    <n v="824"/>
    <n v="2031"/>
    <x v="16"/>
    <x v="168"/>
    <x v="298"/>
    <n v="10"/>
    <n v="29"/>
    <x v="3"/>
    <x v="4"/>
    <n v="24.61"/>
    <n v="342.86"/>
    <n v="9942.94"/>
    <x v="6"/>
    <x v="2"/>
    <x v="2"/>
  </r>
  <r>
    <n v="10655"/>
    <n v="708"/>
    <n v="2034"/>
    <x v="18"/>
    <x v="305"/>
    <x v="134"/>
    <n v="9"/>
    <n v="99"/>
    <x v="0"/>
    <x v="4"/>
    <n v="26.17"/>
    <n v="540.23"/>
    <n v="53482.770000000004"/>
    <x v="0"/>
    <x v="3"/>
    <x v="0"/>
  </r>
  <r>
    <n v="10656"/>
    <n v="538"/>
    <n v="2093"/>
    <x v="6"/>
    <x v="52"/>
    <x v="53"/>
    <n v="1"/>
    <n v="46"/>
    <x v="0"/>
    <x v="1"/>
    <n v="25.73"/>
    <n v="537.69000000000005"/>
    <n v="24733.74"/>
    <x v="3"/>
    <x v="1"/>
    <x v="0"/>
  </r>
  <r>
    <n v="10657"/>
    <n v="611"/>
    <n v="2056"/>
    <x v="3"/>
    <x v="197"/>
    <x v="156"/>
    <n v="1"/>
    <n v="48"/>
    <x v="1"/>
    <x v="1"/>
    <n v="18.559999999999999"/>
    <n v="564.01"/>
    <n v="27072.48"/>
    <x v="2"/>
    <x v="2"/>
    <x v="2"/>
  </r>
  <r>
    <n v="10658"/>
    <n v="565"/>
    <n v="2008"/>
    <x v="6"/>
    <x v="306"/>
    <x v="32"/>
    <n v="9"/>
    <n v="19"/>
    <x v="3"/>
    <x v="3"/>
    <n v="8.5"/>
    <n v="899.21"/>
    <n v="17084.990000000002"/>
    <x v="3"/>
    <x v="1"/>
    <x v="0"/>
  </r>
  <r>
    <n v="10659"/>
    <n v="578"/>
    <n v="2008"/>
    <x v="15"/>
    <x v="290"/>
    <x v="99"/>
    <n v="10"/>
    <n v="51"/>
    <x v="1"/>
    <x v="3"/>
    <n v="8.5"/>
    <n v="899.21"/>
    <n v="45859.71"/>
    <x v="2"/>
    <x v="1"/>
    <x v="0"/>
  </r>
  <r>
    <n v="10660"/>
    <n v="893"/>
    <n v="2048"/>
    <x v="18"/>
    <x v="162"/>
    <x v="60"/>
    <n v="2"/>
    <n v="76"/>
    <x v="0"/>
    <x v="2"/>
    <n v="6.74"/>
    <n v="864.57"/>
    <n v="65707.320000000007"/>
    <x v="0"/>
    <x v="3"/>
    <x v="0"/>
  </r>
  <r>
    <n v="10661"/>
    <n v="593"/>
    <n v="2059"/>
    <x v="8"/>
    <x v="223"/>
    <x v="108"/>
    <n v="8"/>
    <n v="76"/>
    <x v="1"/>
    <x v="1"/>
    <n v="17.760000000000002"/>
    <n v="279.55"/>
    <n v="21245.8"/>
    <x v="2"/>
    <x v="2"/>
    <x v="1"/>
  </r>
  <r>
    <n v="10662"/>
    <n v="846"/>
    <n v="2049"/>
    <x v="11"/>
    <x v="227"/>
    <x v="52"/>
    <n v="1"/>
    <n v="32"/>
    <x v="3"/>
    <x v="4"/>
    <n v="17.52"/>
    <n v="832.77"/>
    <n v="26648.639999999999"/>
    <x v="2"/>
    <x v="1"/>
    <x v="1"/>
  </r>
  <r>
    <n v="10663"/>
    <n v="589"/>
    <n v="2006"/>
    <x v="18"/>
    <x v="49"/>
    <x v="299"/>
    <n v="4"/>
    <n v="77"/>
    <x v="2"/>
    <x v="2"/>
    <n v="41.47"/>
    <n v="541.85"/>
    <n v="41722.450000000004"/>
    <x v="0"/>
    <x v="3"/>
    <x v="0"/>
  </r>
  <r>
    <n v="10664"/>
    <n v="714"/>
    <n v="2027"/>
    <x v="15"/>
    <x v="250"/>
    <x v="122"/>
    <n v="10"/>
    <n v="59"/>
    <x v="2"/>
    <x v="0"/>
    <n v="45.95"/>
    <n v="454.58"/>
    <n v="26820.219999999998"/>
    <x v="2"/>
    <x v="1"/>
    <x v="0"/>
  </r>
  <r>
    <n v="10665"/>
    <n v="764"/>
    <n v="2013"/>
    <x v="16"/>
    <x v="84"/>
    <x v="248"/>
    <n v="7"/>
    <n v="93"/>
    <x v="1"/>
    <x v="0"/>
    <n v="19.53"/>
    <n v="563.69000000000005"/>
    <n v="52423.170000000006"/>
    <x v="6"/>
    <x v="2"/>
    <x v="2"/>
  </r>
  <r>
    <n v="10666"/>
    <n v="519"/>
    <n v="2098"/>
    <x v="7"/>
    <x v="280"/>
    <x v="205"/>
    <n v="4"/>
    <n v="66"/>
    <x v="2"/>
    <x v="0"/>
    <n v="25.35"/>
    <n v="571.58000000000004"/>
    <n v="37724.280000000006"/>
    <x v="4"/>
    <x v="3"/>
    <x v="0"/>
  </r>
  <r>
    <n v="10667"/>
    <n v="551"/>
    <n v="2090"/>
    <x v="3"/>
    <x v="233"/>
    <x v="300"/>
    <n v="2"/>
    <n v="76"/>
    <x v="3"/>
    <x v="2"/>
    <n v="38.729999999999997"/>
    <n v="913.68"/>
    <n v="69439.679999999993"/>
    <x v="2"/>
    <x v="2"/>
    <x v="2"/>
  </r>
  <r>
    <n v="10668"/>
    <n v="691"/>
    <n v="2009"/>
    <x v="5"/>
    <x v="278"/>
    <x v="235"/>
    <n v="3"/>
    <n v="53"/>
    <x v="0"/>
    <x v="3"/>
    <n v="16.82"/>
    <n v="376.01"/>
    <n v="19928.53"/>
    <x v="0"/>
    <x v="2"/>
    <x v="1"/>
  </r>
  <r>
    <n v="10669"/>
    <n v="784"/>
    <n v="2053"/>
    <x v="6"/>
    <x v="258"/>
    <x v="157"/>
    <n v="5"/>
    <n v="82"/>
    <x v="0"/>
    <x v="2"/>
    <n v="34.54"/>
    <n v="162.21"/>
    <n v="13301.220000000001"/>
    <x v="3"/>
    <x v="1"/>
    <x v="0"/>
  </r>
  <r>
    <n v="10670"/>
    <n v="809"/>
    <n v="2055"/>
    <x v="0"/>
    <x v="307"/>
    <x v="301"/>
    <n v="9"/>
    <n v="81"/>
    <x v="3"/>
    <x v="4"/>
    <n v="26.24"/>
    <n v="312.67"/>
    <n v="25326.27"/>
    <x v="0"/>
    <x v="0"/>
    <x v="0"/>
  </r>
  <r>
    <n v="10671"/>
    <n v="821"/>
    <n v="2046"/>
    <x v="18"/>
    <x v="75"/>
    <x v="259"/>
    <n v="10"/>
    <n v="17"/>
    <x v="0"/>
    <x v="4"/>
    <n v="38.130000000000003"/>
    <n v="649.34"/>
    <n v="11038.78"/>
    <x v="0"/>
    <x v="3"/>
    <x v="0"/>
  </r>
  <r>
    <n v="10672"/>
    <n v="822"/>
    <n v="2011"/>
    <x v="4"/>
    <x v="242"/>
    <x v="203"/>
    <n v="4"/>
    <n v="54"/>
    <x v="1"/>
    <x v="3"/>
    <n v="12.75"/>
    <n v="987.99"/>
    <n v="53351.46"/>
    <x v="1"/>
    <x v="2"/>
    <x v="0"/>
  </r>
  <r>
    <n v="10673"/>
    <n v="518"/>
    <n v="2015"/>
    <x v="16"/>
    <x v="25"/>
    <x v="302"/>
    <n v="6"/>
    <n v="87"/>
    <x v="0"/>
    <x v="0"/>
    <n v="35.520000000000003"/>
    <n v="638.11"/>
    <n v="55515.57"/>
    <x v="6"/>
    <x v="2"/>
    <x v="2"/>
  </r>
  <r>
    <n v="10674"/>
    <n v="797"/>
    <n v="2004"/>
    <x v="17"/>
    <x v="160"/>
    <x v="219"/>
    <n v="2"/>
    <n v="36"/>
    <x v="2"/>
    <x v="1"/>
    <n v="4.34"/>
    <n v="52.14"/>
    <n v="1877.04"/>
    <x v="5"/>
    <x v="1"/>
    <x v="1"/>
  </r>
  <r>
    <n v="10675"/>
    <n v="669"/>
    <n v="2011"/>
    <x v="12"/>
    <x v="26"/>
    <x v="303"/>
    <n v="6"/>
    <n v="57"/>
    <x v="0"/>
    <x v="3"/>
    <n v="12.75"/>
    <n v="987.99"/>
    <n v="56315.43"/>
    <x v="5"/>
    <x v="2"/>
    <x v="1"/>
  </r>
  <r>
    <n v="10676"/>
    <n v="592"/>
    <n v="2055"/>
    <x v="18"/>
    <x v="308"/>
    <x v="51"/>
    <n v="2"/>
    <n v="70"/>
    <x v="2"/>
    <x v="4"/>
    <n v="26.24"/>
    <n v="312.67"/>
    <n v="21886.9"/>
    <x v="0"/>
    <x v="3"/>
    <x v="0"/>
  </r>
  <r>
    <n v="10677"/>
    <n v="742"/>
    <n v="2072"/>
    <x v="4"/>
    <x v="35"/>
    <x v="115"/>
    <n v="2"/>
    <n v="2"/>
    <x v="1"/>
    <x v="1"/>
    <n v="26.22"/>
    <n v="576.57000000000005"/>
    <n v="1153.1400000000001"/>
    <x v="1"/>
    <x v="2"/>
    <x v="0"/>
  </r>
  <r>
    <n v="10678"/>
    <n v="577"/>
    <n v="2064"/>
    <x v="15"/>
    <x v="309"/>
    <x v="276"/>
    <n v="1"/>
    <n v="34"/>
    <x v="0"/>
    <x v="3"/>
    <n v="15.41"/>
    <n v="203.79"/>
    <n v="6928.86"/>
    <x v="2"/>
    <x v="1"/>
    <x v="0"/>
  </r>
  <r>
    <n v="10679"/>
    <n v="502"/>
    <n v="2010"/>
    <x v="5"/>
    <x v="219"/>
    <x v="198"/>
    <n v="7"/>
    <n v="23"/>
    <x v="3"/>
    <x v="0"/>
    <n v="9.58"/>
    <n v="440.93"/>
    <n v="10141.39"/>
    <x v="0"/>
    <x v="2"/>
    <x v="1"/>
  </r>
  <r>
    <n v="10680"/>
    <n v="880"/>
    <n v="2060"/>
    <x v="18"/>
    <x v="305"/>
    <x v="226"/>
    <n v="1"/>
    <n v="47"/>
    <x v="1"/>
    <x v="3"/>
    <n v="3.65"/>
    <n v="173.1"/>
    <n v="8135.7"/>
    <x v="0"/>
    <x v="3"/>
    <x v="0"/>
  </r>
  <r>
    <n v="10681"/>
    <n v="603"/>
    <n v="2077"/>
    <x v="0"/>
    <x v="164"/>
    <x v="208"/>
    <n v="8"/>
    <n v="78"/>
    <x v="2"/>
    <x v="1"/>
    <n v="28.18"/>
    <n v="857.59"/>
    <n v="66892.02"/>
    <x v="0"/>
    <x v="0"/>
    <x v="0"/>
  </r>
  <r>
    <n v="10682"/>
    <n v="739"/>
    <n v="2092"/>
    <x v="19"/>
    <x v="251"/>
    <x v="304"/>
    <n v="2"/>
    <n v="99"/>
    <x v="3"/>
    <x v="2"/>
    <n v="30.97"/>
    <n v="521.23"/>
    <n v="51601.770000000004"/>
    <x v="7"/>
    <x v="3"/>
    <x v="1"/>
  </r>
  <r>
    <n v="10683"/>
    <n v="805"/>
    <n v="2057"/>
    <x v="7"/>
    <x v="13"/>
    <x v="220"/>
    <n v="1"/>
    <n v="100"/>
    <x v="3"/>
    <x v="2"/>
    <n v="34.299999999999997"/>
    <n v="40.43"/>
    <n v="4043"/>
    <x v="4"/>
    <x v="3"/>
    <x v="0"/>
  </r>
  <r>
    <n v="10684"/>
    <n v="603"/>
    <n v="2077"/>
    <x v="6"/>
    <x v="12"/>
    <x v="39"/>
    <n v="1"/>
    <n v="38"/>
    <x v="1"/>
    <x v="1"/>
    <n v="28.18"/>
    <n v="857.59"/>
    <n v="32588.420000000002"/>
    <x v="3"/>
    <x v="1"/>
    <x v="0"/>
  </r>
  <r>
    <n v="10685"/>
    <n v="551"/>
    <n v="2094"/>
    <x v="16"/>
    <x v="310"/>
    <x v="231"/>
    <n v="7"/>
    <n v="44"/>
    <x v="3"/>
    <x v="4"/>
    <n v="22.56"/>
    <n v="393.53"/>
    <n v="17315.32"/>
    <x v="6"/>
    <x v="2"/>
    <x v="2"/>
  </r>
  <r>
    <n v="10686"/>
    <n v="643"/>
    <n v="2051"/>
    <x v="12"/>
    <x v="116"/>
    <x v="237"/>
    <n v="10"/>
    <n v="54"/>
    <x v="3"/>
    <x v="1"/>
    <n v="47.82"/>
    <n v="376.19"/>
    <n v="20314.259999999998"/>
    <x v="5"/>
    <x v="2"/>
    <x v="1"/>
  </r>
  <r>
    <n v="10687"/>
    <n v="678"/>
    <n v="2057"/>
    <x v="10"/>
    <x v="22"/>
    <x v="250"/>
    <n v="10"/>
    <n v="15"/>
    <x v="2"/>
    <x v="2"/>
    <n v="34.299999999999997"/>
    <n v="40.43"/>
    <n v="606.45000000000005"/>
    <x v="0"/>
    <x v="2"/>
    <x v="0"/>
  </r>
  <r>
    <n v="10688"/>
    <n v="678"/>
    <n v="2041"/>
    <x v="9"/>
    <x v="137"/>
    <x v="4"/>
    <n v="8"/>
    <n v="88"/>
    <x v="1"/>
    <x v="2"/>
    <n v="48.2"/>
    <n v="792.77"/>
    <n v="69763.759999999995"/>
    <x v="3"/>
    <x v="1"/>
    <x v="2"/>
  </r>
  <r>
    <n v="10689"/>
    <n v="561"/>
    <n v="2049"/>
    <x v="13"/>
    <x v="86"/>
    <x v="305"/>
    <n v="5"/>
    <n v="12"/>
    <x v="0"/>
    <x v="4"/>
    <n v="17.52"/>
    <n v="832.77"/>
    <n v="9993.24"/>
    <x v="1"/>
    <x v="1"/>
    <x v="0"/>
  </r>
  <r>
    <n v="10690"/>
    <n v="614"/>
    <n v="2086"/>
    <x v="12"/>
    <x v="19"/>
    <x v="19"/>
    <n v="6"/>
    <n v="7"/>
    <x v="3"/>
    <x v="4"/>
    <n v="27.73"/>
    <n v="417.42"/>
    <n v="2921.94"/>
    <x v="5"/>
    <x v="2"/>
    <x v="1"/>
  </r>
  <r>
    <n v="10691"/>
    <n v="754"/>
    <n v="2074"/>
    <x v="19"/>
    <x v="232"/>
    <x v="55"/>
    <n v="7"/>
    <n v="42"/>
    <x v="1"/>
    <x v="0"/>
    <n v="41.45"/>
    <n v="650.42999999999995"/>
    <n v="27318.059999999998"/>
    <x v="7"/>
    <x v="3"/>
    <x v="1"/>
  </r>
  <r>
    <n v="10692"/>
    <n v="634"/>
    <n v="2039"/>
    <x v="15"/>
    <x v="227"/>
    <x v="228"/>
    <n v="8"/>
    <n v="93"/>
    <x v="0"/>
    <x v="4"/>
    <n v="2.69"/>
    <n v="350.51"/>
    <n v="32597.43"/>
    <x v="2"/>
    <x v="1"/>
    <x v="0"/>
  </r>
  <r>
    <n v="10693"/>
    <n v="540"/>
    <n v="2098"/>
    <x v="17"/>
    <x v="204"/>
    <x v="203"/>
    <n v="1"/>
    <n v="77"/>
    <x v="3"/>
    <x v="0"/>
    <n v="25.35"/>
    <n v="571.58000000000004"/>
    <n v="44011.66"/>
    <x v="5"/>
    <x v="1"/>
    <x v="1"/>
  </r>
  <r>
    <n v="10694"/>
    <n v="671"/>
    <n v="2067"/>
    <x v="8"/>
    <x v="292"/>
    <x v="270"/>
    <n v="9"/>
    <n v="66"/>
    <x v="3"/>
    <x v="1"/>
    <n v="24.79"/>
    <n v="48.68"/>
    <n v="3212.88"/>
    <x v="2"/>
    <x v="2"/>
    <x v="1"/>
  </r>
  <r>
    <n v="10695"/>
    <n v="763"/>
    <n v="2065"/>
    <x v="19"/>
    <x v="214"/>
    <x v="253"/>
    <n v="7"/>
    <n v="71"/>
    <x v="2"/>
    <x v="0"/>
    <n v="26.94"/>
    <n v="155.15"/>
    <n v="11015.65"/>
    <x v="7"/>
    <x v="3"/>
    <x v="1"/>
  </r>
  <r>
    <n v="10696"/>
    <n v="806"/>
    <n v="2073"/>
    <x v="9"/>
    <x v="33"/>
    <x v="165"/>
    <n v="2"/>
    <n v="98"/>
    <x v="0"/>
    <x v="1"/>
    <n v="11.78"/>
    <n v="416.74"/>
    <n v="40840.520000000004"/>
    <x v="3"/>
    <x v="1"/>
    <x v="2"/>
  </r>
  <r>
    <n v="10697"/>
    <n v="668"/>
    <n v="2084"/>
    <x v="8"/>
    <x v="86"/>
    <x v="74"/>
    <n v="6"/>
    <n v="84"/>
    <x v="1"/>
    <x v="3"/>
    <n v="14.27"/>
    <n v="223.58"/>
    <n v="18780.72"/>
    <x v="2"/>
    <x v="2"/>
    <x v="1"/>
  </r>
  <r>
    <n v="10698"/>
    <n v="642"/>
    <n v="2077"/>
    <x v="10"/>
    <x v="311"/>
    <x v="306"/>
    <n v="10"/>
    <n v="78"/>
    <x v="2"/>
    <x v="1"/>
    <n v="28.18"/>
    <n v="857.59"/>
    <n v="66892.02"/>
    <x v="0"/>
    <x v="2"/>
    <x v="0"/>
  </r>
  <r>
    <n v="10699"/>
    <n v="768"/>
    <n v="2011"/>
    <x v="1"/>
    <x v="150"/>
    <x v="260"/>
    <n v="6"/>
    <n v="36"/>
    <x v="2"/>
    <x v="3"/>
    <n v="12.75"/>
    <n v="987.99"/>
    <n v="35567.64"/>
    <x v="1"/>
    <x v="0"/>
    <x v="1"/>
  </r>
  <r>
    <n v="10700"/>
    <n v="576"/>
    <n v="2001"/>
    <x v="12"/>
    <x v="16"/>
    <x v="113"/>
    <n v="10"/>
    <n v="30"/>
    <x v="2"/>
    <x v="1"/>
    <n v="49.85"/>
    <n v="471.41"/>
    <n v="14142.300000000001"/>
    <x v="5"/>
    <x v="2"/>
    <x v="1"/>
  </r>
  <r>
    <n v="10701"/>
    <n v="560"/>
    <n v="2011"/>
    <x v="17"/>
    <x v="191"/>
    <x v="270"/>
    <n v="1"/>
    <n v="41"/>
    <x v="1"/>
    <x v="3"/>
    <n v="12.75"/>
    <n v="987.99"/>
    <n v="40507.590000000004"/>
    <x v="5"/>
    <x v="1"/>
    <x v="1"/>
  </r>
  <r>
    <n v="10702"/>
    <n v="881"/>
    <n v="2093"/>
    <x v="17"/>
    <x v="252"/>
    <x v="246"/>
    <n v="7"/>
    <n v="18"/>
    <x v="3"/>
    <x v="1"/>
    <n v="25.73"/>
    <n v="537.69000000000005"/>
    <n v="9678.4200000000019"/>
    <x v="5"/>
    <x v="1"/>
    <x v="1"/>
  </r>
  <r>
    <n v="10703"/>
    <n v="726"/>
    <n v="2018"/>
    <x v="19"/>
    <x v="26"/>
    <x v="278"/>
    <n v="2"/>
    <n v="16"/>
    <x v="3"/>
    <x v="3"/>
    <n v="16.739999999999998"/>
    <n v="103.05"/>
    <n v="1648.8"/>
    <x v="7"/>
    <x v="3"/>
    <x v="1"/>
  </r>
  <r>
    <n v="10704"/>
    <n v="834"/>
    <n v="2097"/>
    <x v="5"/>
    <x v="312"/>
    <x v="18"/>
    <n v="9"/>
    <n v="2"/>
    <x v="1"/>
    <x v="4"/>
    <n v="30.63"/>
    <n v="828.74"/>
    <n v="1657.48"/>
    <x v="0"/>
    <x v="2"/>
    <x v="1"/>
  </r>
  <r>
    <n v="10705"/>
    <n v="629"/>
    <n v="2070"/>
    <x v="11"/>
    <x v="28"/>
    <x v="73"/>
    <n v="2"/>
    <n v="55"/>
    <x v="1"/>
    <x v="2"/>
    <n v="22.6"/>
    <n v="196.67"/>
    <n v="10816.849999999999"/>
    <x v="2"/>
    <x v="1"/>
    <x v="1"/>
  </r>
  <r>
    <n v="10706"/>
    <n v="804"/>
    <n v="2025"/>
    <x v="14"/>
    <x v="78"/>
    <x v="153"/>
    <n v="8"/>
    <n v="11"/>
    <x v="2"/>
    <x v="0"/>
    <n v="3.39"/>
    <n v="303.87"/>
    <n v="3342.57"/>
    <x v="6"/>
    <x v="2"/>
    <x v="1"/>
  </r>
  <r>
    <n v="10707"/>
    <n v="727"/>
    <n v="2082"/>
    <x v="13"/>
    <x v="313"/>
    <x v="180"/>
    <n v="1"/>
    <n v="43"/>
    <x v="2"/>
    <x v="2"/>
    <n v="41.79"/>
    <n v="352.17"/>
    <n v="15143.310000000001"/>
    <x v="1"/>
    <x v="1"/>
    <x v="0"/>
  </r>
  <r>
    <n v="10708"/>
    <n v="733"/>
    <n v="2062"/>
    <x v="4"/>
    <x v="314"/>
    <x v="307"/>
    <n v="2"/>
    <n v="26"/>
    <x v="2"/>
    <x v="1"/>
    <n v="32.479999999999997"/>
    <n v="409.49"/>
    <n v="10646.74"/>
    <x v="1"/>
    <x v="2"/>
    <x v="0"/>
  </r>
  <r>
    <n v="10709"/>
    <n v="853"/>
    <n v="2006"/>
    <x v="0"/>
    <x v="195"/>
    <x v="248"/>
    <n v="6"/>
    <n v="5"/>
    <x v="1"/>
    <x v="2"/>
    <n v="41.47"/>
    <n v="541.85"/>
    <n v="2709.25"/>
    <x v="0"/>
    <x v="0"/>
    <x v="0"/>
  </r>
  <r>
    <n v="10710"/>
    <n v="713"/>
    <n v="2035"/>
    <x v="19"/>
    <x v="143"/>
    <x v="99"/>
    <n v="4"/>
    <n v="47"/>
    <x v="0"/>
    <x v="4"/>
    <n v="18.55"/>
    <n v="636.37"/>
    <n v="29909.39"/>
    <x v="7"/>
    <x v="3"/>
    <x v="1"/>
  </r>
  <r>
    <n v="10711"/>
    <n v="655"/>
    <n v="2048"/>
    <x v="15"/>
    <x v="312"/>
    <x v="18"/>
    <n v="9"/>
    <n v="18"/>
    <x v="0"/>
    <x v="2"/>
    <n v="6.74"/>
    <n v="864.57"/>
    <n v="15562.26"/>
    <x v="2"/>
    <x v="1"/>
    <x v="0"/>
  </r>
  <r>
    <n v="10712"/>
    <n v="516"/>
    <n v="2059"/>
    <x v="16"/>
    <x v="315"/>
    <x v="218"/>
    <n v="10"/>
    <n v="81"/>
    <x v="1"/>
    <x v="1"/>
    <n v="17.760000000000002"/>
    <n v="279.55"/>
    <n v="22643.55"/>
    <x v="6"/>
    <x v="2"/>
    <x v="2"/>
  </r>
  <r>
    <n v="10713"/>
    <n v="546"/>
    <n v="2059"/>
    <x v="19"/>
    <x v="95"/>
    <x v="225"/>
    <n v="8"/>
    <n v="61"/>
    <x v="2"/>
    <x v="1"/>
    <n v="17.760000000000002"/>
    <n v="279.55"/>
    <n v="17052.55"/>
    <x v="7"/>
    <x v="3"/>
    <x v="1"/>
  </r>
  <r>
    <n v="10714"/>
    <n v="766"/>
    <n v="2051"/>
    <x v="0"/>
    <x v="305"/>
    <x v="134"/>
    <n v="9"/>
    <n v="49"/>
    <x v="3"/>
    <x v="1"/>
    <n v="47.82"/>
    <n v="376.19"/>
    <n v="18433.310000000001"/>
    <x v="0"/>
    <x v="0"/>
    <x v="0"/>
  </r>
  <r>
    <n v="10715"/>
    <n v="858"/>
    <n v="2084"/>
    <x v="2"/>
    <x v="316"/>
    <x v="72"/>
    <n v="5"/>
    <n v="70"/>
    <x v="0"/>
    <x v="3"/>
    <n v="14.27"/>
    <n v="223.58"/>
    <n v="15650.6"/>
    <x v="2"/>
    <x v="1"/>
    <x v="2"/>
  </r>
  <r>
    <n v="10716"/>
    <n v="778"/>
    <n v="2093"/>
    <x v="16"/>
    <x v="317"/>
    <x v="265"/>
    <n v="7"/>
    <n v="46"/>
    <x v="3"/>
    <x v="1"/>
    <n v="25.73"/>
    <n v="537.69000000000005"/>
    <n v="24733.74"/>
    <x v="6"/>
    <x v="2"/>
    <x v="2"/>
  </r>
  <r>
    <n v="10717"/>
    <n v="667"/>
    <n v="2052"/>
    <x v="0"/>
    <x v="318"/>
    <x v="292"/>
    <n v="5"/>
    <n v="22"/>
    <x v="1"/>
    <x v="4"/>
    <n v="47.35"/>
    <n v="665.2"/>
    <n v="14634.400000000001"/>
    <x v="0"/>
    <x v="0"/>
    <x v="0"/>
  </r>
  <r>
    <n v="10718"/>
    <n v="683"/>
    <n v="2010"/>
    <x v="10"/>
    <x v="138"/>
    <x v="308"/>
    <n v="1"/>
    <n v="20"/>
    <x v="2"/>
    <x v="0"/>
    <n v="9.58"/>
    <n v="440.93"/>
    <n v="8818.6"/>
    <x v="0"/>
    <x v="2"/>
    <x v="0"/>
  </r>
  <r>
    <n v="10719"/>
    <n v="662"/>
    <n v="2077"/>
    <x v="17"/>
    <x v="169"/>
    <x v="304"/>
    <n v="7"/>
    <n v="89"/>
    <x v="2"/>
    <x v="1"/>
    <n v="28.18"/>
    <n v="857.59"/>
    <n v="76325.510000000009"/>
    <x v="5"/>
    <x v="1"/>
    <x v="1"/>
  </r>
  <r>
    <n v="10720"/>
    <n v="658"/>
    <n v="2090"/>
    <x v="14"/>
    <x v="238"/>
    <x v="24"/>
    <n v="10"/>
    <n v="68"/>
    <x v="0"/>
    <x v="2"/>
    <n v="38.729999999999997"/>
    <n v="913.68"/>
    <n v="62130.239999999998"/>
    <x v="6"/>
    <x v="2"/>
    <x v="1"/>
  </r>
  <r>
    <n v="10721"/>
    <n v="573"/>
    <n v="2070"/>
    <x v="9"/>
    <x v="319"/>
    <x v="144"/>
    <n v="6"/>
    <n v="94"/>
    <x v="2"/>
    <x v="2"/>
    <n v="22.6"/>
    <n v="196.67"/>
    <n v="18486.98"/>
    <x v="3"/>
    <x v="1"/>
    <x v="2"/>
  </r>
  <r>
    <n v="10722"/>
    <n v="595"/>
    <n v="2078"/>
    <x v="14"/>
    <x v="3"/>
    <x v="3"/>
    <n v="6"/>
    <n v="90"/>
    <x v="0"/>
    <x v="3"/>
    <n v="14.85"/>
    <n v="517.03"/>
    <n v="46532.7"/>
    <x v="6"/>
    <x v="2"/>
    <x v="1"/>
  </r>
  <r>
    <n v="10723"/>
    <n v="755"/>
    <n v="2057"/>
    <x v="19"/>
    <x v="165"/>
    <x v="55"/>
    <n v="10"/>
    <n v="5"/>
    <x v="1"/>
    <x v="2"/>
    <n v="34.299999999999997"/>
    <n v="40.43"/>
    <n v="202.15"/>
    <x v="7"/>
    <x v="3"/>
    <x v="1"/>
  </r>
  <r>
    <n v="10724"/>
    <n v="577"/>
    <n v="2039"/>
    <x v="3"/>
    <x v="218"/>
    <x v="35"/>
    <n v="6"/>
    <n v="89"/>
    <x v="0"/>
    <x v="4"/>
    <n v="2.69"/>
    <n v="350.51"/>
    <n v="31195.39"/>
    <x v="2"/>
    <x v="2"/>
    <x v="2"/>
  </r>
  <r>
    <n v="10725"/>
    <n v="738"/>
    <n v="2046"/>
    <x v="5"/>
    <x v="83"/>
    <x v="56"/>
    <n v="8"/>
    <n v="96"/>
    <x v="3"/>
    <x v="4"/>
    <n v="38.130000000000003"/>
    <n v="649.34"/>
    <n v="62336.639999999999"/>
    <x v="0"/>
    <x v="2"/>
    <x v="1"/>
  </r>
  <r>
    <n v="10726"/>
    <n v="585"/>
    <n v="2037"/>
    <x v="1"/>
    <x v="320"/>
    <x v="234"/>
    <n v="1"/>
    <n v="3"/>
    <x v="0"/>
    <x v="3"/>
    <n v="29.23"/>
    <n v="491.44"/>
    <n v="1474.32"/>
    <x v="1"/>
    <x v="0"/>
    <x v="1"/>
  </r>
  <r>
    <n v="10727"/>
    <n v="732"/>
    <n v="2100"/>
    <x v="11"/>
    <x v="62"/>
    <x v="283"/>
    <n v="7"/>
    <n v="30"/>
    <x v="3"/>
    <x v="4"/>
    <n v="2.2799999999999998"/>
    <n v="813.8"/>
    <n v="24414"/>
    <x v="2"/>
    <x v="1"/>
    <x v="1"/>
  </r>
  <r>
    <n v="10728"/>
    <n v="757"/>
    <n v="2016"/>
    <x v="9"/>
    <x v="128"/>
    <x v="235"/>
    <n v="8"/>
    <n v="98"/>
    <x v="3"/>
    <x v="0"/>
    <n v="12.52"/>
    <n v="709.8"/>
    <n v="69560.399999999994"/>
    <x v="3"/>
    <x v="1"/>
    <x v="2"/>
  </r>
  <r>
    <n v="10729"/>
    <n v="679"/>
    <n v="2007"/>
    <x v="5"/>
    <x v="259"/>
    <x v="231"/>
    <n v="4"/>
    <n v="13"/>
    <x v="2"/>
    <x v="3"/>
    <n v="48.07"/>
    <n v="759.78"/>
    <n v="9877.14"/>
    <x v="0"/>
    <x v="2"/>
    <x v="1"/>
  </r>
  <r>
    <n v="10730"/>
    <n v="507"/>
    <n v="2044"/>
    <x v="11"/>
    <x v="73"/>
    <x v="79"/>
    <n v="3"/>
    <n v="85"/>
    <x v="3"/>
    <x v="3"/>
    <n v="11.44"/>
    <n v="939.99"/>
    <n v="79899.149999999994"/>
    <x v="2"/>
    <x v="1"/>
    <x v="1"/>
  </r>
  <r>
    <n v="10731"/>
    <n v="619"/>
    <n v="2056"/>
    <x v="0"/>
    <x v="62"/>
    <x v="42"/>
    <n v="5"/>
    <n v="94"/>
    <x v="2"/>
    <x v="1"/>
    <n v="18.559999999999999"/>
    <n v="564.01"/>
    <n v="53016.94"/>
    <x v="0"/>
    <x v="0"/>
    <x v="0"/>
  </r>
  <r>
    <n v="10732"/>
    <n v="569"/>
    <n v="2021"/>
    <x v="10"/>
    <x v="237"/>
    <x v="309"/>
    <n v="4"/>
    <n v="57"/>
    <x v="0"/>
    <x v="1"/>
    <n v="18.77"/>
    <n v="259.72000000000003"/>
    <n v="14804.04"/>
    <x v="0"/>
    <x v="2"/>
    <x v="0"/>
  </r>
  <r>
    <n v="10733"/>
    <n v="624"/>
    <n v="2063"/>
    <x v="15"/>
    <x v="181"/>
    <x v="134"/>
    <n v="4"/>
    <n v="70"/>
    <x v="0"/>
    <x v="1"/>
    <n v="13.23"/>
    <n v="151.69999999999999"/>
    <n v="10619"/>
    <x v="2"/>
    <x v="1"/>
    <x v="0"/>
  </r>
  <r>
    <n v="10734"/>
    <n v="843"/>
    <n v="2030"/>
    <x v="13"/>
    <x v="199"/>
    <x v="145"/>
    <n v="9"/>
    <n v="62"/>
    <x v="2"/>
    <x v="0"/>
    <n v="27.52"/>
    <n v="537.03"/>
    <n v="33295.86"/>
    <x v="1"/>
    <x v="1"/>
    <x v="0"/>
  </r>
  <r>
    <n v="10735"/>
    <n v="690"/>
    <n v="2078"/>
    <x v="13"/>
    <x v="222"/>
    <x v="16"/>
    <n v="1"/>
    <n v="28"/>
    <x v="3"/>
    <x v="3"/>
    <n v="14.85"/>
    <n v="517.03"/>
    <n v="14476.84"/>
    <x v="1"/>
    <x v="1"/>
    <x v="0"/>
  </r>
  <r>
    <n v="10736"/>
    <n v="620"/>
    <n v="2094"/>
    <x v="13"/>
    <x v="101"/>
    <x v="132"/>
    <n v="10"/>
    <n v="67"/>
    <x v="3"/>
    <x v="4"/>
    <n v="22.56"/>
    <n v="393.53"/>
    <n v="26366.51"/>
    <x v="1"/>
    <x v="1"/>
    <x v="0"/>
  </r>
  <r>
    <n v="10737"/>
    <n v="605"/>
    <n v="2060"/>
    <x v="1"/>
    <x v="91"/>
    <x v="135"/>
    <n v="10"/>
    <n v="97"/>
    <x v="3"/>
    <x v="3"/>
    <n v="3.65"/>
    <n v="173.1"/>
    <n v="16790.7"/>
    <x v="1"/>
    <x v="0"/>
    <x v="1"/>
  </r>
  <r>
    <n v="10738"/>
    <n v="503"/>
    <n v="2026"/>
    <x v="16"/>
    <x v="304"/>
    <x v="64"/>
    <n v="9"/>
    <n v="93"/>
    <x v="3"/>
    <x v="2"/>
    <n v="23.02"/>
    <n v="858.57"/>
    <n v="79847.010000000009"/>
    <x v="6"/>
    <x v="2"/>
    <x v="2"/>
  </r>
  <r>
    <n v="10739"/>
    <n v="724"/>
    <n v="2091"/>
    <x v="19"/>
    <x v="113"/>
    <x v="123"/>
    <n v="3"/>
    <n v="31"/>
    <x v="2"/>
    <x v="3"/>
    <n v="10.41"/>
    <n v="271.61"/>
    <n v="8419.91"/>
    <x v="7"/>
    <x v="3"/>
    <x v="1"/>
  </r>
  <r>
    <n v="10740"/>
    <n v="500"/>
    <n v="2055"/>
    <x v="11"/>
    <x v="55"/>
    <x v="287"/>
    <n v="9"/>
    <n v="87"/>
    <x v="0"/>
    <x v="4"/>
    <n v="26.24"/>
    <n v="312.67"/>
    <n v="27202.29"/>
    <x v="2"/>
    <x v="1"/>
    <x v="1"/>
  </r>
  <r>
    <n v="10741"/>
    <n v="531"/>
    <n v="2077"/>
    <x v="5"/>
    <x v="245"/>
    <x v="58"/>
    <n v="4"/>
    <n v="94"/>
    <x v="1"/>
    <x v="1"/>
    <n v="28.18"/>
    <n v="857.59"/>
    <n v="80613.460000000006"/>
    <x v="0"/>
    <x v="2"/>
    <x v="1"/>
  </r>
  <r>
    <n v="10742"/>
    <n v="615"/>
    <n v="2079"/>
    <x v="14"/>
    <x v="177"/>
    <x v="17"/>
    <n v="3"/>
    <n v="15"/>
    <x v="0"/>
    <x v="2"/>
    <n v="12.3"/>
    <n v="99.7"/>
    <n v="1495.5"/>
    <x v="6"/>
    <x v="2"/>
    <x v="1"/>
  </r>
  <r>
    <n v="10743"/>
    <n v="721"/>
    <n v="2012"/>
    <x v="16"/>
    <x v="259"/>
    <x v="310"/>
    <n v="5"/>
    <n v="68"/>
    <x v="3"/>
    <x v="3"/>
    <n v="34.93"/>
    <n v="327.92"/>
    <n v="22298.560000000001"/>
    <x v="6"/>
    <x v="2"/>
    <x v="2"/>
  </r>
  <r>
    <n v="10744"/>
    <n v="652"/>
    <n v="2092"/>
    <x v="18"/>
    <x v="321"/>
    <x v="6"/>
    <n v="1"/>
    <n v="2"/>
    <x v="0"/>
    <x v="2"/>
    <n v="30.97"/>
    <n v="521.23"/>
    <n v="1042.46"/>
    <x v="0"/>
    <x v="3"/>
    <x v="0"/>
  </r>
  <r>
    <n v="10745"/>
    <n v="537"/>
    <n v="2099"/>
    <x v="19"/>
    <x v="14"/>
    <x v="222"/>
    <n v="3"/>
    <n v="88"/>
    <x v="2"/>
    <x v="3"/>
    <n v="31.62"/>
    <n v="652.77"/>
    <n v="57443.759999999995"/>
    <x v="7"/>
    <x v="3"/>
    <x v="1"/>
  </r>
  <r>
    <n v="10746"/>
    <n v="651"/>
    <n v="2012"/>
    <x v="12"/>
    <x v="100"/>
    <x v="311"/>
    <n v="8"/>
    <n v="27"/>
    <x v="2"/>
    <x v="3"/>
    <n v="34.93"/>
    <n v="327.92"/>
    <n v="8853.84"/>
    <x v="5"/>
    <x v="2"/>
    <x v="1"/>
  </r>
  <r>
    <n v="10747"/>
    <n v="778"/>
    <n v="2070"/>
    <x v="1"/>
    <x v="122"/>
    <x v="145"/>
    <n v="2"/>
    <n v="98"/>
    <x v="3"/>
    <x v="2"/>
    <n v="22.6"/>
    <n v="196.67"/>
    <n v="19273.66"/>
    <x v="1"/>
    <x v="0"/>
    <x v="1"/>
  </r>
  <r>
    <n v="10748"/>
    <n v="792"/>
    <n v="2035"/>
    <x v="1"/>
    <x v="322"/>
    <x v="41"/>
    <n v="8"/>
    <n v="70"/>
    <x v="0"/>
    <x v="4"/>
    <n v="18.55"/>
    <n v="636.37"/>
    <n v="44545.9"/>
    <x v="1"/>
    <x v="0"/>
    <x v="1"/>
  </r>
  <r>
    <n v="10749"/>
    <n v="509"/>
    <n v="2080"/>
    <x v="1"/>
    <x v="214"/>
    <x v="204"/>
    <n v="8"/>
    <n v="96"/>
    <x v="3"/>
    <x v="1"/>
    <n v="29.56"/>
    <n v="143.84"/>
    <n v="13808.64"/>
    <x v="1"/>
    <x v="0"/>
    <x v="1"/>
  </r>
  <r>
    <n v="10750"/>
    <n v="900"/>
    <n v="2087"/>
    <x v="15"/>
    <x v="221"/>
    <x v="49"/>
    <n v="7"/>
    <n v="84"/>
    <x v="2"/>
    <x v="1"/>
    <n v="35.82"/>
    <n v="47.38"/>
    <n v="3979.92"/>
    <x v="2"/>
    <x v="1"/>
    <x v="0"/>
  </r>
  <r>
    <n v="10751"/>
    <n v="713"/>
    <n v="2082"/>
    <x v="10"/>
    <x v="139"/>
    <x v="190"/>
    <n v="10"/>
    <n v="10"/>
    <x v="3"/>
    <x v="2"/>
    <n v="41.79"/>
    <n v="352.17"/>
    <n v="3521.7000000000003"/>
    <x v="0"/>
    <x v="2"/>
    <x v="0"/>
  </r>
  <r>
    <n v="10752"/>
    <n v="805"/>
    <n v="2027"/>
    <x v="2"/>
    <x v="104"/>
    <x v="107"/>
    <n v="9"/>
    <n v="99"/>
    <x v="1"/>
    <x v="0"/>
    <n v="45.95"/>
    <n v="454.58"/>
    <n v="45003.42"/>
    <x v="2"/>
    <x v="1"/>
    <x v="2"/>
  </r>
  <r>
    <n v="10753"/>
    <n v="899"/>
    <n v="2052"/>
    <x v="3"/>
    <x v="292"/>
    <x v="29"/>
    <n v="5"/>
    <n v="71"/>
    <x v="0"/>
    <x v="4"/>
    <n v="47.35"/>
    <n v="665.2"/>
    <n v="47229.200000000004"/>
    <x v="2"/>
    <x v="2"/>
    <x v="2"/>
  </r>
  <r>
    <n v="10754"/>
    <n v="544"/>
    <n v="2031"/>
    <x v="10"/>
    <x v="34"/>
    <x v="38"/>
    <n v="5"/>
    <n v="18"/>
    <x v="2"/>
    <x v="4"/>
    <n v="24.61"/>
    <n v="342.86"/>
    <n v="6171.4800000000005"/>
    <x v="0"/>
    <x v="2"/>
    <x v="0"/>
  </r>
  <r>
    <n v="10755"/>
    <n v="687"/>
    <n v="2083"/>
    <x v="18"/>
    <x v="256"/>
    <x v="183"/>
    <n v="3"/>
    <n v="79"/>
    <x v="1"/>
    <x v="2"/>
    <n v="13.79"/>
    <n v="843.82"/>
    <n v="66661.78"/>
    <x v="0"/>
    <x v="3"/>
    <x v="0"/>
  </r>
  <r>
    <n v="10756"/>
    <n v="512"/>
    <n v="2071"/>
    <x v="8"/>
    <x v="180"/>
    <x v="29"/>
    <n v="10"/>
    <n v="83"/>
    <x v="2"/>
    <x v="4"/>
    <n v="47.19"/>
    <n v="711.14"/>
    <n v="59024.619999999995"/>
    <x v="2"/>
    <x v="2"/>
    <x v="1"/>
  </r>
  <r>
    <n v="10757"/>
    <n v="757"/>
    <n v="2017"/>
    <x v="7"/>
    <x v="323"/>
    <x v="210"/>
    <n v="3"/>
    <n v="21"/>
    <x v="2"/>
    <x v="2"/>
    <n v="38.24"/>
    <n v="788.08"/>
    <n v="16549.68"/>
    <x v="4"/>
    <x v="3"/>
    <x v="0"/>
  </r>
  <r>
    <n v="10758"/>
    <n v="737"/>
    <n v="2084"/>
    <x v="13"/>
    <x v="34"/>
    <x v="209"/>
    <n v="3"/>
    <n v="74"/>
    <x v="1"/>
    <x v="3"/>
    <n v="14.27"/>
    <n v="223.58"/>
    <n v="16544.920000000002"/>
    <x v="1"/>
    <x v="1"/>
    <x v="0"/>
  </r>
  <r>
    <n v="10759"/>
    <n v="518"/>
    <n v="2022"/>
    <x v="6"/>
    <x v="293"/>
    <x v="33"/>
    <n v="4"/>
    <n v="14"/>
    <x v="1"/>
    <x v="0"/>
    <n v="47.91"/>
    <n v="756.92"/>
    <n v="10596.88"/>
    <x v="3"/>
    <x v="1"/>
    <x v="0"/>
  </r>
  <r>
    <n v="10760"/>
    <n v="789"/>
    <n v="2043"/>
    <x v="0"/>
    <x v="324"/>
    <x v="312"/>
    <n v="6"/>
    <n v="36"/>
    <x v="1"/>
    <x v="4"/>
    <n v="14.98"/>
    <n v="375.85"/>
    <n v="13530.6"/>
    <x v="0"/>
    <x v="0"/>
    <x v="0"/>
  </r>
  <r>
    <n v="10761"/>
    <n v="622"/>
    <n v="2064"/>
    <x v="7"/>
    <x v="255"/>
    <x v="190"/>
    <n v="7"/>
    <n v="62"/>
    <x v="3"/>
    <x v="3"/>
    <n v="15.41"/>
    <n v="203.79"/>
    <n v="12634.98"/>
    <x v="4"/>
    <x v="3"/>
    <x v="0"/>
  </r>
  <r>
    <n v="10762"/>
    <n v="887"/>
    <n v="2012"/>
    <x v="14"/>
    <x v="325"/>
    <x v="269"/>
    <n v="4"/>
    <n v="38"/>
    <x v="0"/>
    <x v="3"/>
    <n v="34.93"/>
    <n v="327.92"/>
    <n v="12460.960000000001"/>
    <x v="6"/>
    <x v="2"/>
    <x v="1"/>
  </r>
  <r>
    <n v="10763"/>
    <n v="748"/>
    <n v="2045"/>
    <x v="5"/>
    <x v="25"/>
    <x v="291"/>
    <n v="8"/>
    <n v="73"/>
    <x v="0"/>
    <x v="1"/>
    <n v="41.3"/>
    <n v="652.61"/>
    <n v="47640.53"/>
    <x v="0"/>
    <x v="2"/>
    <x v="1"/>
  </r>
  <r>
    <n v="10764"/>
    <n v="883"/>
    <n v="2060"/>
    <x v="15"/>
    <x v="71"/>
    <x v="273"/>
    <n v="7"/>
    <n v="82"/>
    <x v="2"/>
    <x v="3"/>
    <n v="3.65"/>
    <n v="173.1"/>
    <n v="14194.199999999999"/>
    <x v="2"/>
    <x v="1"/>
    <x v="0"/>
  </r>
  <r>
    <n v="10765"/>
    <n v="619"/>
    <n v="2036"/>
    <x v="12"/>
    <x v="251"/>
    <x v="33"/>
    <n v="10"/>
    <n v="68"/>
    <x v="3"/>
    <x v="2"/>
    <n v="39.39"/>
    <n v="745.86"/>
    <n v="50718.48"/>
    <x v="5"/>
    <x v="2"/>
    <x v="1"/>
  </r>
  <r>
    <n v="10766"/>
    <n v="874"/>
    <n v="2086"/>
    <x v="0"/>
    <x v="298"/>
    <x v="73"/>
    <n v="10"/>
    <n v="24"/>
    <x v="2"/>
    <x v="4"/>
    <n v="27.73"/>
    <n v="417.42"/>
    <n v="10018.08"/>
    <x v="0"/>
    <x v="0"/>
    <x v="0"/>
  </r>
  <r>
    <n v="10767"/>
    <n v="816"/>
    <n v="2003"/>
    <x v="3"/>
    <x v="133"/>
    <x v="295"/>
    <n v="7"/>
    <n v="89"/>
    <x v="0"/>
    <x v="0"/>
    <n v="39.74"/>
    <n v="864.17"/>
    <n v="76911.12999999999"/>
    <x v="2"/>
    <x v="2"/>
    <x v="2"/>
  </r>
  <r>
    <n v="10768"/>
    <n v="599"/>
    <n v="2051"/>
    <x v="11"/>
    <x v="124"/>
    <x v="286"/>
    <n v="10"/>
    <n v="48"/>
    <x v="1"/>
    <x v="1"/>
    <n v="47.82"/>
    <n v="376.19"/>
    <n v="18057.12"/>
    <x v="2"/>
    <x v="1"/>
    <x v="1"/>
  </r>
  <r>
    <n v="10769"/>
    <n v="737"/>
    <n v="2022"/>
    <x v="18"/>
    <x v="74"/>
    <x v="185"/>
    <n v="4"/>
    <n v="81"/>
    <x v="3"/>
    <x v="0"/>
    <n v="47.91"/>
    <n v="756.92"/>
    <n v="61310.52"/>
    <x v="0"/>
    <x v="3"/>
    <x v="0"/>
  </r>
  <r>
    <n v="10770"/>
    <n v="893"/>
    <n v="2096"/>
    <x v="1"/>
    <x v="87"/>
    <x v="279"/>
    <n v="2"/>
    <n v="58"/>
    <x v="3"/>
    <x v="2"/>
    <n v="20.04"/>
    <n v="70.19"/>
    <n v="4071.02"/>
    <x v="1"/>
    <x v="0"/>
    <x v="1"/>
  </r>
  <r>
    <n v="10771"/>
    <n v="846"/>
    <n v="2023"/>
    <x v="17"/>
    <x v="111"/>
    <x v="29"/>
    <n v="3"/>
    <n v="94"/>
    <x v="0"/>
    <x v="0"/>
    <n v="39.520000000000003"/>
    <n v="618.29999999999995"/>
    <n v="58120.2"/>
    <x v="5"/>
    <x v="1"/>
    <x v="1"/>
  </r>
  <r>
    <n v="10772"/>
    <n v="708"/>
    <n v="2056"/>
    <x v="9"/>
    <x v="190"/>
    <x v="235"/>
    <n v="6"/>
    <n v="50"/>
    <x v="2"/>
    <x v="1"/>
    <n v="18.559999999999999"/>
    <n v="564.01"/>
    <n v="28200.5"/>
    <x v="3"/>
    <x v="1"/>
    <x v="2"/>
  </r>
  <r>
    <n v="10773"/>
    <n v="864"/>
    <n v="2025"/>
    <x v="2"/>
    <x v="239"/>
    <x v="263"/>
    <n v="3"/>
    <n v="60"/>
    <x v="2"/>
    <x v="0"/>
    <n v="3.39"/>
    <n v="303.87"/>
    <n v="18232.2"/>
    <x v="2"/>
    <x v="1"/>
    <x v="2"/>
  </r>
  <r>
    <n v="10774"/>
    <n v="568"/>
    <n v="2083"/>
    <x v="2"/>
    <x v="305"/>
    <x v="134"/>
    <n v="9"/>
    <n v="75"/>
    <x v="2"/>
    <x v="2"/>
    <n v="13.79"/>
    <n v="843.82"/>
    <n v="63286.500000000007"/>
    <x v="2"/>
    <x v="1"/>
    <x v="2"/>
  </r>
  <r>
    <n v="10775"/>
    <n v="626"/>
    <n v="2031"/>
    <x v="18"/>
    <x v="32"/>
    <x v="197"/>
    <n v="3"/>
    <n v="42"/>
    <x v="2"/>
    <x v="4"/>
    <n v="24.61"/>
    <n v="342.86"/>
    <n v="14400.12"/>
    <x v="0"/>
    <x v="3"/>
    <x v="0"/>
  </r>
  <r>
    <n v="10776"/>
    <n v="602"/>
    <n v="2089"/>
    <x v="6"/>
    <x v="326"/>
    <x v="192"/>
    <n v="4"/>
    <n v="11"/>
    <x v="1"/>
    <x v="2"/>
    <n v="19.170000000000002"/>
    <n v="513.33000000000004"/>
    <n v="5646.63"/>
    <x v="3"/>
    <x v="1"/>
    <x v="0"/>
  </r>
  <r>
    <n v="10777"/>
    <n v="847"/>
    <n v="2099"/>
    <x v="12"/>
    <x v="164"/>
    <x v="313"/>
    <n v="10"/>
    <n v="8"/>
    <x v="3"/>
    <x v="3"/>
    <n v="31.62"/>
    <n v="652.77"/>
    <n v="5222.16"/>
    <x v="5"/>
    <x v="2"/>
    <x v="1"/>
  </r>
  <r>
    <n v="10778"/>
    <n v="512"/>
    <n v="2086"/>
    <x v="4"/>
    <x v="237"/>
    <x v="154"/>
    <n v="2"/>
    <n v="59"/>
    <x v="1"/>
    <x v="4"/>
    <n v="27.73"/>
    <n v="417.42"/>
    <n v="24627.780000000002"/>
    <x v="1"/>
    <x v="2"/>
    <x v="0"/>
  </r>
  <r>
    <n v="10779"/>
    <n v="775"/>
    <n v="2096"/>
    <x v="16"/>
    <x v="47"/>
    <x v="273"/>
    <n v="1"/>
    <n v="26"/>
    <x v="0"/>
    <x v="2"/>
    <n v="20.04"/>
    <n v="70.19"/>
    <n v="1824.94"/>
    <x v="6"/>
    <x v="2"/>
    <x v="2"/>
  </r>
  <r>
    <n v="10780"/>
    <n v="831"/>
    <n v="2051"/>
    <x v="8"/>
    <x v="60"/>
    <x v="284"/>
    <n v="7"/>
    <n v="25"/>
    <x v="2"/>
    <x v="1"/>
    <n v="47.82"/>
    <n v="376.19"/>
    <n v="9404.75"/>
    <x v="2"/>
    <x v="2"/>
    <x v="1"/>
  </r>
  <r>
    <n v="10781"/>
    <n v="700"/>
    <n v="2046"/>
    <x v="2"/>
    <x v="65"/>
    <x v="85"/>
    <n v="5"/>
    <n v="6"/>
    <x v="1"/>
    <x v="4"/>
    <n v="38.130000000000003"/>
    <n v="649.34"/>
    <n v="3896.04"/>
    <x v="2"/>
    <x v="1"/>
    <x v="2"/>
  </r>
  <r>
    <n v="10782"/>
    <n v="571"/>
    <n v="2003"/>
    <x v="16"/>
    <x v="128"/>
    <x v="293"/>
    <n v="5"/>
    <n v="85"/>
    <x v="1"/>
    <x v="0"/>
    <n v="39.74"/>
    <n v="864.17"/>
    <n v="73454.45"/>
    <x v="6"/>
    <x v="2"/>
    <x v="2"/>
  </r>
  <r>
    <n v="10783"/>
    <n v="720"/>
    <n v="2009"/>
    <x v="13"/>
    <x v="157"/>
    <x v="308"/>
    <n v="8"/>
    <n v="43"/>
    <x v="0"/>
    <x v="3"/>
    <n v="16.82"/>
    <n v="376.01"/>
    <n v="16168.43"/>
    <x v="1"/>
    <x v="1"/>
    <x v="0"/>
  </r>
  <r>
    <n v="10784"/>
    <n v="859"/>
    <n v="2054"/>
    <x v="6"/>
    <x v="327"/>
    <x v="312"/>
    <n v="5"/>
    <n v="35"/>
    <x v="0"/>
    <x v="1"/>
    <n v="5.63"/>
    <n v="304.22000000000003"/>
    <n v="10647.7"/>
    <x v="3"/>
    <x v="1"/>
    <x v="0"/>
  </r>
  <r>
    <n v="10785"/>
    <n v="830"/>
    <n v="2066"/>
    <x v="16"/>
    <x v="135"/>
    <x v="144"/>
    <n v="5"/>
    <n v="92"/>
    <x v="2"/>
    <x v="1"/>
    <n v="43.64"/>
    <n v="832.31"/>
    <n v="76572.51999999999"/>
    <x v="6"/>
    <x v="2"/>
    <x v="2"/>
  </r>
  <r>
    <n v="10786"/>
    <n v="580"/>
    <n v="2018"/>
    <x v="6"/>
    <x v="64"/>
    <x v="200"/>
    <n v="5"/>
    <n v="67"/>
    <x v="1"/>
    <x v="3"/>
    <n v="16.739999999999998"/>
    <n v="103.05"/>
    <n v="6904.3499999999995"/>
    <x v="3"/>
    <x v="1"/>
    <x v="0"/>
  </r>
  <r>
    <n v="10787"/>
    <n v="576"/>
    <n v="2048"/>
    <x v="17"/>
    <x v="27"/>
    <x v="314"/>
    <n v="9"/>
    <n v="86"/>
    <x v="1"/>
    <x v="2"/>
    <n v="6.74"/>
    <n v="864.57"/>
    <n v="74353.02"/>
    <x v="5"/>
    <x v="1"/>
    <x v="1"/>
  </r>
  <r>
    <n v="10788"/>
    <n v="784"/>
    <n v="2090"/>
    <x v="6"/>
    <x v="128"/>
    <x v="4"/>
    <n v="2"/>
    <n v="9"/>
    <x v="2"/>
    <x v="2"/>
    <n v="38.729999999999997"/>
    <n v="913.68"/>
    <n v="8223.119999999999"/>
    <x v="3"/>
    <x v="1"/>
    <x v="0"/>
  </r>
  <r>
    <n v="10789"/>
    <n v="683"/>
    <n v="2006"/>
    <x v="12"/>
    <x v="302"/>
    <x v="171"/>
    <n v="5"/>
    <n v="38"/>
    <x v="0"/>
    <x v="2"/>
    <n v="41.47"/>
    <n v="541.85"/>
    <n v="20590.3"/>
    <x v="5"/>
    <x v="2"/>
    <x v="1"/>
  </r>
  <r>
    <n v="10790"/>
    <n v="677"/>
    <n v="2006"/>
    <x v="19"/>
    <x v="188"/>
    <x v="188"/>
    <n v="7"/>
    <n v="51"/>
    <x v="2"/>
    <x v="2"/>
    <n v="41.47"/>
    <n v="541.85"/>
    <n v="27634.350000000002"/>
    <x v="7"/>
    <x v="3"/>
    <x v="1"/>
  </r>
  <r>
    <n v="10791"/>
    <n v="770"/>
    <n v="2042"/>
    <x v="4"/>
    <x v="248"/>
    <x v="292"/>
    <n v="9"/>
    <n v="52"/>
    <x v="1"/>
    <x v="4"/>
    <n v="46.87"/>
    <n v="313.88"/>
    <n v="16321.76"/>
    <x v="1"/>
    <x v="2"/>
    <x v="0"/>
  </r>
  <r>
    <n v="10792"/>
    <n v="584"/>
    <n v="2007"/>
    <x v="19"/>
    <x v="41"/>
    <x v="159"/>
    <n v="7"/>
    <n v="77"/>
    <x v="3"/>
    <x v="3"/>
    <n v="48.07"/>
    <n v="759.78"/>
    <n v="58503.06"/>
    <x v="7"/>
    <x v="3"/>
    <x v="1"/>
  </r>
  <r>
    <n v="10793"/>
    <n v="589"/>
    <n v="2035"/>
    <x v="17"/>
    <x v="70"/>
    <x v="83"/>
    <n v="2"/>
    <n v="90"/>
    <x v="1"/>
    <x v="4"/>
    <n v="18.55"/>
    <n v="636.37"/>
    <n v="57273.3"/>
    <x v="5"/>
    <x v="1"/>
    <x v="1"/>
  </r>
  <r>
    <n v="10794"/>
    <n v="645"/>
    <n v="2099"/>
    <x v="0"/>
    <x v="285"/>
    <x v="245"/>
    <n v="2"/>
    <n v="20"/>
    <x v="2"/>
    <x v="3"/>
    <n v="31.62"/>
    <n v="652.77"/>
    <n v="13055.4"/>
    <x v="0"/>
    <x v="0"/>
    <x v="0"/>
  </r>
  <r>
    <n v="10795"/>
    <n v="898"/>
    <n v="2055"/>
    <x v="13"/>
    <x v="102"/>
    <x v="39"/>
    <n v="7"/>
    <n v="58"/>
    <x v="3"/>
    <x v="4"/>
    <n v="26.24"/>
    <n v="312.67"/>
    <n v="18134.86"/>
    <x v="1"/>
    <x v="1"/>
    <x v="0"/>
  </r>
  <r>
    <n v="10796"/>
    <n v="900"/>
    <n v="2090"/>
    <x v="0"/>
    <x v="137"/>
    <x v="146"/>
    <n v="7"/>
    <n v="47"/>
    <x v="0"/>
    <x v="2"/>
    <n v="38.729999999999997"/>
    <n v="913.68"/>
    <n v="42942.96"/>
    <x v="0"/>
    <x v="0"/>
    <x v="0"/>
  </r>
  <r>
    <n v="10797"/>
    <n v="723"/>
    <n v="2026"/>
    <x v="14"/>
    <x v="26"/>
    <x v="263"/>
    <n v="10"/>
    <n v="70"/>
    <x v="3"/>
    <x v="2"/>
    <n v="23.02"/>
    <n v="858.57"/>
    <n v="60099.9"/>
    <x v="6"/>
    <x v="2"/>
    <x v="1"/>
  </r>
  <r>
    <n v="10798"/>
    <n v="723"/>
    <n v="2002"/>
    <x v="8"/>
    <x v="324"/>
    <x v="87"/>
    <n v="4"/>
    <n v="1"/>
    <x v="0"/>
    <x v="0"/>
    <n v="30.78"/>
    <n v="646.99"/>
    <n v="646.99"/>
    <x v="2"/>
    <x v="2"/>
    <x v="1"/>
  </r>
  <r>
    <n v="10799"/>
    <n v="753"/>
    <n v="2068"/>
    <x v="16"/>
    <x v="12"/>
    <x v="301"/>
    <n v="2"/>
    <n v="89"/>
    <x v="3"/>
    <x v="4"/>
    <n v="47.08"/>
    <n v="501.03"/>
    <n v="44591.67"/>
    <x v="6"/>
    <x v="2"/>
    <x v="2"/>
  </r>
  <r>
    <n v="10800"/>
    <n v="553"/>
    <n v="2089"/>
    <x v="16"/>
    <x v="327"/>
    <x v="312"/>
    <n v="5"/>
    <n v="13"/>
    <x v="2"/>
    <x v="2"/>
    <n v="19.170000000000002"/>
    <n v="513.33000000000004"/>
    <n v="6673.2900000000009"/>
    <x v="6"/>
    <x v="2"/>
    <x v="2"/>
  </r>
  <r>
    <n v="10801"/>
    <n v="862"/>
    <n v="2063"/>
    <x v="5"/>
    <x v="180"/>
    <x v="276"/>
    <n v="7"/>
    <n v="6"/>
    <x v="0"/>
    <x v="1"/>
    <n v="13.23"/>
    <n v="151.69999999999999"/>
    <n v="910.19999999999993"/>
    <x v="0"/>
    <x v="2"/>
    <x v="1"/>
  </r>
  <r>
    <n v="10802"/>
    <n v="656"/>
    <n v="2040"/>
    <x v="9"/>
    <x v="177"/>
    <x v="64"/>
    <n v="8"/>
    <n v="72"/>
    <x v="2"/>
    <x v="4"/>
    <n v="3.71"/>
    <n v="27.53"/>
    <n v="1982.16"/>
    <x v="3"/>
    <x v="1"/>
    <x v="2"/>
  </r>
  <r>
    <n v="10803"/>
    <n v="632"/>
    <n v="2030"/>
    <x v="18"/>
    <x v="328"/>
    <x v="315"/>
    <n v="2"/>
    <n v="53"/>
    <x v="2"/>
    <x v="0"/>
    <n v="27.52"/>
    <n v="537.03"/>
    <n v="28462.59"/>
    <x v="0"/>
    <x v="3"/>
    <x v="0"/>
  </r>
  <r>
    <n v="10804"/>
    <n v="546"/>
    <n v="2016"/>
    <x v="2"/>
    <x v="101"/>
    <x v="106"/>
    <n v="3"/>
    <n v="19"/>
    <x v="0"/>
    <x v="0"/>
    <n v="12.52"/>
    <n v="709.8"/>
    <n v="13486.199999999999"/>
    <x v="2"/>
    <x v="1"/>
    <x v="2"/>
  </r>
  <r>
    <n v="10805"/>
    <n v="622"/>
    <n v="2021"/>
    <x v="13"/>
    <x v="252"/>
    <x v="67"/>
    <n v="2"/>
    <n v="26"/>
    <x v="0"/>
    <x v="1"/>
    <n v="18.77"/>
    <n v="259.72000000000003"/>
    <n v="6752.7200000000012"/>
    <x v="1"/>
    <x v="1"/>
    <x v="0"/>
  </r>
  <r>
    <n v="10806"/>
    <n v="801"/>
    <n v="2048"/>
    <x v="6"/>
    <x v="259"/>
    <x v="90"/>
    <n v="2"/>
    <n v="42"/>
    <x v="0"/>
    <x v="2"/>
    <n v="6.74"/>
    <n v="864.57"/>
    <n v="36311.94"/>
    <x v="3"/>
    <x v="1"/>
    <x v="0"/>
  </r>
  <r>
    <n v="10807"/>
    <n v="684"/>
    <n v="2049"/>
    <x v="11"/>
    <x v="165"/>
    <x v="135"/>
    <n v="9"/>
    <n v="9"/>
    <x v="1"/>
    <x v="4"/>
    <n v="17.52"/>
    <n v="832.77"/>
    <n v="7494.93"/>
    <x v="2"/>
    <x v="1"/>
    <x v="1"/>
  </r>
  <r>
    <n v="10808"/>
    <n v="552"/>
    <n v="2099"/>
    <x v="19"/>
    <x v="61"/>
    <x v="115"/>
    <n v="7"/>
    <n v="87"/>
    <x v="3"/>
    <x v="3"/>
    <n v="31.62"/>
    <n v="652.77"/>
    <n v="56790.99"/>
    <x v="7"/>
    <x v="3"/>
    <x v="1"/>
  </r>
  <r>
    <n v="10809"/>
    <n v="863"/>
    <n v="2055"/>
    <x v="6"/>
    <x v="177"/>
    <x v="84"/>
    <n v="9"/>
    <n v="89"/>
    <x v="0"/>
    <x v="4"/>
    <n v="26.24"/>
    <n v="312.67"/>
    <n v="27827.63"/>
    <x v="3"/>
    <x v="1"/>
    <x v="0"/>
  </r>
  <r>
    <n v="10810"/>
    <n v="685"/>
    <n v="2038"/>
    <x v="8"/>
    <x v="301"/>
    <x v="313"/>
    <n v="5"/>
    <n v="33"/>
    <x v="2"/>
    <x v="4"/>
    <n v="26.62"/>
    <n v="680"/>
    <n v="22440"/>
    <x v="2"/>
    <x v="2"/>
    <x v="1"/>
  </r>
  <r>
    <n v="10811"/>
    <n v="740"/>
    <n v="2024"/>
    <x v="18"/>
    <x v="247"/>
    <x v="134"/>
    <n v="5"/>
    <n v="100"/>
    <x v="3"/>
    <x v="0"/>
    <n v="21.16"/>
    <n v="291.08"/>
    <n v="29108"/>
    <x v="0"/>
    <x v="3"/>
    <x v="0"/>
  </r>
  <r>
    <n v="10812"/>
    <n v="528"/>
    <n v="2032"/>
    <x v="15"/>
    <x v="126"/>
    <x v="274"/>
    <n v="10"/>
    <n v="41"/>
    <x v="3"/>
    <x v="1"/>
    <n v="3.81"/>
    <n v="682.41"/>
    <n v="27978.809999999998"/>
    <x v="2"/>
    <x v="1"/>
    <x v="0"/>
  </r>
  <r>
    <n v="10813"/>
    <n v="854"/>
    <n v="2041"/>
    <x v="12"/>
    <x v="104"/>
    <x v="17"/>
    <n v="6"/>
    <n v="48"/>
    <x v="3"/>
    <x v="2"/>
    <n v="48.2"/>
    <n v="792.77"/>
    <n v="38052.959999999999"/>
    <x v="5"/>
    <x v="2"/>
    <x v="1"/>
  </r>
  <r>
    <n v="10814"/>
    <n v="899"/>
    <n v="2056"/>
    <x v="10"/>
    <x v="45"/>
    <x v="44"/>
    <n v="10"/>
    <n v="38"/>
    <x v="1"/>
    <x v="1"/>
    <n v="18.559999999999999"/>
    <n v="564.01"/>
    <n v="21432.38"/>
    <x v="0"/>
    <x v="2"/>
    <x v="0"/>
  </r>
  <r>
    <n v="10815"/>
    <n v="544"/>
    <n v="2024"/>
    <x v="0"/>
    <x v="329"/>
    <x v="316"/>
    <n v="1"/>
    <n v="94"/>
    <x v="2"/>
    <x v="0"/>
    <n v="21.16"/>
    <n v="291.08"/>
    <n v="27361.519999999997"/>
    <x v="0"/>
    <x v="0"/>
    <x v="0"/>
  </r>
  <r>
    <n v="10816"/>
    <n v="578"/>
    <n v="2046"/>
    <x v="16"/>
    <x v="94"/>
    <x v="88"/>
    <n v="6"/>
    <n v="71"/>
    <x v="2"/>
    <x v="4"/>
    <n v="38.130000000000003"/>
    <n v="649.34"/>
    <n v="46103.14"/>
    <x v="6"/>
    <x v="2"/>
    <x v="2"/>
  </r>
  <r>
    <n v="10817"/>
    <n v="873"/>
    <n v="2054"/>
    <x v="0"/>
    <x v="302"/>
    <x v="35"/>
    <n v="4"/>
    <n v="6"/>
    <x v="2"/>
    <x v="1"/>
    <n v="5.63"/>
    <n v="304.22000000000003"/>
    <n v="1825.3200000000002"/>
    <x v="0"/>
    <x v="0"/>
    <x v="0"/>
  </r>
  <r>
    <n v="10818"/>
    <n v="562"/>
    <n v="2028"/>
    <x v="1"/>
    <x v="85"/>
    <x v="219"/>
    <n v="9"/>
    <n v="33"/>
    <x v="0"/>
    <x v="0"/>
    <n v="30.34"/>
    <n v="630.65"/>
    <n v="20811.45"/>
    <x v="1"/>
    <x v="0"/>
    <x v="1"/>
  </r>
  <r>
    <n v="10819"/>
    <n v="562"/>
    <n v="2084"/>
    <x v="2"/>
    <x v="67"/>
    <x v="223"/>
    <n v="6"/>
    <n v="19"/>
    <x v="3"/>
    <x v="3"/>
    <n v="14.27"/>
    <n v="223.58"/>
    <n v="4248.0200000000004"/>
    <x v="2"/>
    <x v="1"/>
    <x v="2"/>
  </r>
  <r>
    <n v="10820"/>
    <n v="750"/>
    <n v="2078"/>
    <x v="14"/>
    <x v="75"/>
    <x v="239"/>
    <n v="1"/>
    <n v="55"/>
    <x v="0"/>
    <x v="3"/>
    <n v="14.85"/>
    <n v="517.03"/>
    <n v="28436.649999999998"/>
    <x v="6"/>
    <x v="2"/>
    <x v="1"/>
  </r>
  <r>
    <n v="10821"/>
    <n v="800"/>
    <n v="2015"/>
    <x v="1"/>
    <x v="34"/>
    <x v="58"/>
    <n v="10"/>
    <n v="9"/>
    <x v="0"/>
    <x v="0"/>
    <n v="35.520000000000003"/>
    <n v="638.11"/>
    <n v="5742.99"/>
    <x v="1"/>
    <x v="0"/>
    <x v="1"/>
  </r>
  <r>
    <n v="10822"/>
    <n v="585"/>
    <n v="2047"/>
    <x v="16"/>
    <x v="239"/>
    <x v="263"/>
    <n v="3"/>
    <n v="84"/>
    <x v="0"/>
    <x v="4"/>
    <n v="31.72"/>
    <n v="210.46"/>
    <n v="17678.64"/>
    <x v="6"/>
    <x v="2"/>
    <x v="2"/>
  </r>
  <r>
    <n v="10823"/>
    <n v="540"/>
    <n v="2049"/>
    <x v="19"/>
    <x v="307"/>
    <x v="301"/>
    <n v="9"/>
    <n v="91"/>
    <x v="2"/>
    <x v="4"/>
    <n v="17.52"/>
    <n v="832.77"/>
    <n v="75782.069999999992"/>
    <x v="7"/>
    <x v="3"/>
    <x v="1"/>
  </r>
  <r>
    <n v="10824"/>
    <n v="541"/>
    <n v="2016"/>
    <x v="9"/>
    <x v="293"/>
    <x v="317"/>
    <n v="1"/>
    <n v="48"/>
    <x v="3"/>
    <x v="0"/>
    <n v="12.52"/>
    <n v="709.8"/>
    <n v="34070.399999999994"/>
    <x v="3"/>
    <x v="1"/>
    <x v="2"/>
  </r>
  <r>
    <n v="10825"/>
    <n v="746"/>
    <n v="2056"/>
    <x v="16"/>
    <x v="262"/>
    <x v="26"/>
    <n v="6"/>
    <n v="15"/>
    <x v="0"/>
    <x v="1"/>
    <n v="18.559999999999999"/>
    <n v="564.01"/>
    <n v="8460.15"/>
    <x v="6"/>
    <x v="2"/>
    <x v="2"/>
  </r>
  <r>
    <n v="10826"/>
    <n v="882"/>
    <n v="2004"/>
    <x v="7"/>
    <x v="87"/>
    <x v="264"/>
    <n v="8"/>
    <n v="39"/>
    <x v="1"/>
    <x v="1"/>
    <n v="4.34"/>
    <n v="52.14"/>
    <n v="2033.46"/>
    <x v="4"/>
    <x v="3"/>
    <x v="0"/>
  </r>
  <r>
    <n v="10827"/>
    <n v="760"/>
    <n v="2019"/>
    <x v="0"/>
    <x v="217"/>
    <x v="81"/>
    <n v="6"/>
    <n v="9"/>
    <x v="1"/>
    <x v="2"/>
    <n v="27.65"/>
    <n v="89.85"/>
    <n v="808.65"/>
    <x v="0"/>
    <x v="0"/>
    <x v="0"/>
  </r>
  <r>
    <n v="10828"/>
    <n v="875"/>
    <n v="2088"/>
    <x v="18"/>
    <x v="98"/>
    <x v="286"/>
    <n v="1"/>
    <n v="99"/>
    <x v="0"/>
    <x v="0"/>
    <n v="27.71"/>
    <n v="820.21"/>
    <n v="81200.790000000008"/>
    <x v="0"/>
    <x v="3"/>
    <x v="0"/>
  </r>
  <r>
    <n v="10829"/>
    <n v="639"/>
    <n v="2060"/>
    <x v="19"/>
    <x v="123"/>
    <x v="44"/>
    <n v="6"/>
    <n v="40"/>
    <x v="0"/>
    <x v="3"/>
    <n v="3.65"/>
    <n v="173.1"/>
    <n v="6924"/>
    <x v="7"/>
    <x v="3"/>
    <x v="1"/>
  </r>
  <r>
    <n v="10830"/>
    <n v="559"/>
    <n v="2016"/>
    <x v="14"/>
    <x v="308"/>
    <x v="318"/>
    <n v="10"/>
    <n v="82"/>
    <x v="1"/>
    <x v="0"/>
    <n v="12.52"/>
    <n v="709.8"/>
    <n v="58203.6"/>
    <x v="6"/>
    <x v="2"/>
    <x v="1"/>
  </r>
  <r>
    <n v="10831"/>
    <n v="681"/>
    <n v="2007"/>
    <x v="9"/>
    <x v="251"/>
    <x v="183"/>
    <n v="5"/>
    <n v="95"/>
    <x v="2"/>
    <x v="3"/>
    <n v="48.07"/>
    <n v="759.78"/>
    <n v="72179.099999999991"/>
    <x v="3"/>
    <x v="1"/>
    <x v="2"/>
  </r>
  <r>
    <n v="10832"/>
    <n v="659"/>
    <n v="2031"/>
    <x v="9"/>
    <x v="302"/>
    <x v="6"/>
    <n v="2"/>
    <n v="88"/>
    <x v="1"/>
    <x v="4"/>
    <n v="24.61"/>
    <n v="342.86"/>
    <n v="30171.68"/>
    <x v="3"/>
    <x v="1"/>
    <x v="2"/>
  </r>
  <r>
    <n v="10833"/>
    <n v="878"/>
    <n v="2081"/>
    <x v="7"/>
    <x v="47"/>
    <x v="236"/>
    <n v="9"/>
    <n v="34"/>
    <x v="0"/>
    <x v="3"/>
    <n v="20.72"/>
    <n v="668.31"/>
    <n v="22722.539999999997"/>
    <x v="4"/>
    <x v="3"/>
    <x v="0"/>
  </r>
  <r>
    <n v="10834"/>
    <n v="642"/>
    <n v="2087"/>
    <x v="9"/>
    <x v="136"/>
    <x v="129"/>
    <n v="3"/>
    <n v="57"/>
    <x v="2"/>
    <x v="1"/>
    <n v="35.82"/>
    <n v="47.38"/>
    <n v="2700.6600000000003"/>
    <x v="3"/>
    <x v="1"/>
    <x v="2"/>
  </r>
  <r>
    <n v="10835"/>
    <n v="757"/>
    <n v="2035"/>
    <x v="6"/>
    <x v="162"/>
    <x v="115"/>
    <n v="3"/>
    <n v="52"/>
    <x v="1"/>
    <x v="4"/>
    <n v="18.55"/>
    <n v="636.37"/>
    <n v="33091.24"/>
    <x v="3"/>
    <x v="1"/>
    <x v="0"/>
  </r>
  <r>
    <n v="10836"/>
    <n v="631"/>
    <n v="2052"/>
    <x v="16"/>
    <x v="62"/>
    <x v="241"/>
    <n v="2"/>
    <n v="78"/>
    <x v="1"/>
    <x v="4"/>
    <n v="47.35"/>
    <n v="665.2"/>
    <n v="51885.600000000006"/>
    <x v="6"/>
    <x v="2"/>
    <x v="2"/>
  </r>
  <r>
    <n v="10837"/>
    <n v="865"/>
    <n v="2035"/>
    <x v="9"/>
    <x v="246"/>
    <x v="319"/>
    <n v="2"/>
    <n v="25"/>
    <x v="0"/>
    <x v="4"/>
    <n v="18.55"/>
    <n v="636.37"/>
    <n v="15909.25"/>
    <x v="3"/>
    <x v="1"/>
    <x v="2"/>
  </r>
  <r>
    <n v="10838"/>
    <n v="757"/>
    <n v="2093"/>
    <x v="17"/>
    <x v="270"/>
    <x v="168"/>
    <n v="1"/>
    <n v="65"/>
    <x v="2"/>
    <x v="1"/>
    <n v="25.73"/>
    <n v="537.69000000000005"/>
    <n v="34949.850000000006"/>
    <x v="5"/>
    <x v="1"/>
    <x v="1"/>
  </r>
  <r>
    <n v="10839"/>
    <n v="794"/>
    <n v="2078"/>
    <x v="19"/>
    <x v="134"/>
    <x v="140"/>
    <n v="4"/>
    <n v="81"/>
    <x v="1"/>
    <x v="3"/>
    <n v="14.85"/>
    <n v="517.03"/>
    <n v="41879.43"/>
    <x v="7"/>
    <x v="3"/>
    <x v="1"/>
  </r>
  <r>
    <n v="10840"/>
    <n v="533"/>
    <n v="2089"/>
    <x v="15"/>
    <x v="323"/>
    <x v="150"/>
    <n v="7"/>
    <n v="2"/>
    <x v="0"/>
    <x v="2"/>
    <n v="19.170000000000002"/>
    <n v="513.33000000000004"/>
    <n v="1026.6600000000001"/>
    <x v="2"/>
    <x v="1"/>
    <x v="0"/>
  </r>
  <r>
    <n v="10841"/>
    <n v="533"/>
    <n v="2082"/>
    <x v="16"/>
    <x v="143"/>
    <x v="226"/>
    <n v="7"/>
    <n v="44"/>
    <x v="0"/>
    <x v="2"/>
    <n v="41.79"/>
    <n v="352.17"/>
    <n v="15495.480000000001"/>
    <x v="6"/>
    <x v="2"/>
    <x v="2"/>
  </r>
  <r>
    <n v="10842"/>
    <n v="692"/>
    <n v="2068"/>
    <x v="16"/>
    <x v="78"/>
    <x v="320"/>
    <n v="2"/>
    <n v="31"/>
    <x v="3"/>
    <x v="4"/>
    <n v="47.08"/>
    <n v="501.03"/>
    <n v="15531.929999999998"/>
    <x v="6"/>
    <x v="2"/>
    <x v="2"/>
  </r>
  <r>
    <n v="10843"/>
    <n v="702"/>
    <n v="2014"/>
    <x v="7"/>
    <x v="21"/>
    <x v="321"/>
    <n v="7"/>
    <n v="17"/>
    <x v="0"/>
    <x v="4"/>
    <n v="12.2"/>
    <n v="652.53"/>
    <n v="11093.01"/>
    <x v="4"/>
    <x v="3"/>
    <x v="0"/>
  </r>
  <r>
    <n v="10844"/>
    <n v="749"/>
    <n v="2064"/>
    <x v="19"/>
    <x v="23"/>
    <x v="2"/>
    <n v="8"/>
    <n v="87"/>
    <x v="2"/>
    <x v="3"/>
    <n v="15.41"/>
    <n v="203.79"/>
    <n v="17729.73"/>
    <x v="7"/>
    <x v="3"/>
    <x v="1"/>
  </r>
  <r>
    <n v="10845"/>
    <n v="892"/>
    <n v="2064"/>
    <x v="18"/>
    <x v="8"/>
    <x v="3"/>
    <n v="7"/>
    <n v="34"/>
    <x v="2"/>
    <x v="3"/>
    <n v="15.41"/>
    <n v="203.79"/>
    <n v="6928.86"/>
    <x v="0"/>
    <x v="3"/>
    <x v="0"/>
  </r>
  <r>
    <n v="10846"/>
    <n v="510"/>
    <n v="2011"/>
    <x v="1"/>
    <x v="297"/>
    <x v="308"/>
    <n v="6"/>
    <n v="58"/>
    <x v="2"/>
    <x v="3"/>
    <n v="12.75"/>
    <n v="987.99"/>
    <n v="57303.42"/>
    <x v="1"/>
    <x v="0"/>
    <x v="1"/>
  </r>
  <r>
    <n v="10847"/>
    <n v="814"/>
    <n v="2010"/>
    <x v="13"/>
    <x v="286"/>
    <x v="183"/>
    <n v="4"/>
    <n v="11"/>
    <x v="1"/>
    <x v="0"/>
    <n v="9.58"/>
    <n v="440.93"/>
    <n v="4850.2300000000005"/>
    <x v="1"/>
    <x v="1"/>
    <x v="0"/>
  </r>
  <r>
    <n v="10848"/>
    <n v="584"/>
    <n v="2027"/>
    <x v="5"/>
    <x v="71"/>
    <x v="265"/>
    <n v="9"/>
    <n v="83"/>
    <x v="2"/>
    <x v="0"/>
    <n v="45.95"/>
    <n v="454.58"/>
    <n v="37730.14"/>
    <x v="0"/>
    <x v="2"/>
    <x v="1"/>
  </r>
  <r>
    <n v="10849"/>
    <n v="595"/>
    <n v="2040"/>
    <x v="6"/>
    <x v="201"/>
    <x v="322"/>
    <n v="2"/>
    <n v="46"/>
    <x v="3"/>
    <x v="4"/>
    <n v="3.71"/>
    <n v="27.53"/>
    <n v="1266.3800000000001"/>
    <x v="3"/>
    <x v="1"/>
    <x v="0"/>
  </r>
  <r>
    <n v="10850"/>
    <n v="535"/>
    <n v="2064"/>
    <x v="12"/>
    <x v="146"/>
    <x v="24"/>
    <n v="4"/>
    <n v="96"/>
    <x v="2"/>
    <x v="3"/>
    <n v="15.41"/>
    <n v="203.79"/>
    <n v="19563.84"/>
    <x v="5"/>
    <x v="2"/>
    <x v="1"/>
  </r>
  <r>
    <n v="10851"/>
    <n v="740"/>
    <n v="2008"/>
    <x v="15"/>
    <x v="214"/>
    <x v="42"/>
    <n v="2"/>
    <n v="75"/>
    <x v="0"/>
    <x v="3"/>
    <n v="8.5"/>
    <n v="899.21"/>
    <n v="67440.75"/>
    <x v="2"/>
    <x v="1"/>
    <x v="0"/>
  </r>
  <r>
    <n v="10852"/>
    <n v="653"/>
    <n v="2074"/>
    <x v="3"/>
    <x v="12"/>
    <x v="37"/>
    <n v="3"/>
    <n v="54"/>
    <x v="0"/>
    <x v="0"/>
    <n v="41.45"/>
    <n v="650.42999999999995"/>
    <n v="35123.219999999994"/>
    <x v="2"/>
    <x v="2"/>
    <x v="2"/>
  </r>
  <r>
    <n v="10853"/>
    <n v="695"/>
    <n v="2014"/>
    <x v="2"/>
    <x v="292"/>
    <x v="114"/>
    <n v="4"/>
    <n v="28"/>
    <x v="0"/>
    <x v="4"/>
    <n v="12.2"/>
    <n v="652.53"/>
    <n v="18270.84"/>
    <x v="2"/>
    <x v="1"/>
    <x v="2"/>
  </r>
  <r>
    <n v="10854"/>
    <n v="886"/>
    <n v="2083"/>
    <x v="14"/>
    <x v="122"/>
    <x v="9"/>
    <n v="9"/>
    <n v="65"/>
    <x v="3"/>
    <x v="2"/>
    <n v="13.79"/>
    <n v="843.82"/>
    <n v="54848.3"/>
    <x v="6"/>
    <x v="2"/>
    <x v="1"/>
  </r>
  <r>
    <n v="10855"/>
    <n v="509"/>
    <n v="2097"/>
    <x v="15"/>
    <x v="32"/>
    <x v="115"/>
    <n v="9"/>
    <n v="38"/>
    <x v="2"/>
    <x v="4"/>
    <n v="30.63"/>
    <n v="828.74"/>
    <n v="31492.12"/>
    <x v="2"/>
    <x v="1"/>
    <x v="0"/>
  </r>
  <r>
    <n v="10856"/>
    <n v="629"/>
    <n v="2017"/>
    <x v="17"/>
    <x v="282"/>
    <x v="168"/>
    <n v="10"/>
    <n v="97"/>
    <x v="1"/>
    <x v="2"/>
    <n v="38.24"/>
    <n v="788.08"/>
    <n v="76443.760000000009"/>
    <x v="5"/>
    <x v="1"/>
    <x v="1"/>
  </r>
  <r>
    <n v="10857"/>
    <n v="748"/>
    <n v="2017"/>
    <x v="14"/>
    <x v="320"/>
    <x v="323"/>
    <n v="9"/>
    <n v="3"/>
    <x v="3"/>
    <x v="2"/>
    <n v="38.24"/>
    <n v="788.08"/>
    <n v="2364.2400000000002"/>
    <x v="6"/>
    <x v="2"/>
    <x v="1"/>
  </r>
  <r>
    <n v="10858"/>
    <n v="579"/>
    <n v="2053"/>
    <x v="2"/>
    <x v="244"/>
    <x v="224"/>
    <n v="4"/>
    <n v="46"/>
    <x v="3"/>
    <x v="2"/>
    <n v="34.54"/>
    <n v="162.21"/>
    <n v="7461.6600000000008"/>
    <x v="2"/>
    <x v="1"/>
    <x v="2"/>
  </r>
  <r>
    <n v="10859"/>
    <n v="651"/>
    <n v="2071"/>
    <x v="19"/>
    <x v="330"/>
    <x v="32"/>
    <n v="3"/>
    <n v="44"/>
    <x v="3"/>
    <x v="4"/>
    <n v="47.19"/>
    <n v="711.14"/>
    <n v="31290.16"/>
    <x v="7"/>
    <x v="3"/>
    <x v="1"/>
  </r>
  <r>
    <n v="10860"/>
    <n v="585"/>
    <n v="2049"/>
    <x v="15"/>
    <x v="38"/>
    <x v="241"/>
    <n v="10"/>
    <n v="23"/>
    <x v="1"/>
    <x v="4"/>
    <n v="17.52"/>
    <n v="832.77"/>
    <n v="19153.71"/>
    <x v="2"/>
    <x v="1"/>
    <x v="0"/>
  </r>
  <r>
    <n v="10861"/>
    <n v="540"/>
    <n v="2059"/>
    <x v="4"/>
    <x v="61"/>
    <x v="6"/>
    <n v="10"/>
    <n v="76"/>
    <x v="1"/>
    <x v="1"/>
    <n v="17.760000000000002"/>
    <n v="279.55"/>
    <n v="21245.8"/>
    <x v="1"/>
    <x v="2"/>
    <x v="0"/>
  </r>
  <r>
    <n v="10862"/>
    <n v="823"/>
    <n v="2030"/>
    <x v="8"/>
    <x v="131"/>
    <x v="218"/>
    <n v="4"/>
    <n v="4"/>
    <x v="3"/>
    <x v="0"/>
    <n v="27.52"/>
    <n v="537.03"/>
    <n v="2148.12"/>
    <x v="2"/>
    <x v="2"/>
    <x v="1"/>
  </r>
  <r>
    <n v="10863"/>
    <n v="547"/>
    <n v="2087"/>
    <x v="1"/>
    <x v="290"/>
    <x v="223"/>
    <n v="8"/>
    <n v="48"/>
    <x v="2"/>
    <x v="1"/>
    <n v="35.82"/>
    <n v="47.38"/>
    <n v="2274.2400000000002"/>
    <x v="1"/>
    <x v="0"/>
    <x v="1"/>
  </r>
  <r>
    <n v="10864"/>
    <n v="658"/>
    <n v="2085"/>
    <x v="2"/>
    <x v="28"/>
    <x v="28"/>
    <n v="7"/>
    <n v="78"/>
    <x v="0"/>
    <x v="2"/>
    <n v="47.56"/>
    <n v="131.63"/>
    <n v="10267.14"/>
    <x v="2"/>
    <x v="1"/>
    <x v="2"/>
  </r>
  <r>
    <n v="10865"/>
    <n v="705"/>
    <n v="2061"/>
    <x v="0"/>
    <x v="60"/>
    <x v="84"/>
    <n v="5"/>
    <n v="11"/>
    <x v="2"/>
    <x v="0"/>
    <n v="46.64"/>
    <n v="620.16999999999996"/>
    <n v="6821.87"/>
    <x v="0"/>
    <x v="0"/>
    <x v="0"/>
  </r>
  <r>
    <n v="10866"/>
    <n v="589"/>
    <n v="2042"/>
    <x v="10"/>
    <x v="24"/>
    <x v="102"/>
    <n v="2"/>
    <n v="34"/>
    <x v="1"/>
    <x v="4"/>
    <n v="46.87"/>
    <n v="313.88"/>
    <n v="10671.92"/>
    <x v="0"/>
    <x v="2"/>
    <x v="0"/>
  </r>
  <r>
    <n v="10867"/>
    <n v="675"/>
    <n v="2017"/>
    <x v="2"/>
    <x v="252"/>
    <x v="79"/>
    <n v="10"/>
    <n v="43"/>
    <x v="2"/>
    <x v="2"/>
    <n v="38.24"/>
    <n v="788.08"/>
    <n v="33887.440000000002"/>
    <x v="2"/>
    <x v="1"/>
    <x v="2"/>
  </r>
  <r>
    <n v="10868"/>
    <n v="873"/>
    <n v="2043"/>
    <x v="9"/>
    <x v="163"/>
    <x v="303"/>
    <n v="9"/>
    <n v="19"/>
    <x v="2"/>
    <x v="4"/>
    <n v="14.98"/>
    <n v="375.85"/>
    <n v="7141.1500000000005"/>
    <x v="3"/>
    <x v="1"/>
    <x v="2"/>
  </r>
  <r>
    <n v="10869"/>
    <n v="746"/>
    <n v="2081"/>
    <x v="9"/>
    <x v="331"/>
    <x v="138"/>
    <n v="3"/>
    <n v="29"/>
    <x v="3"/>
    <x v="3"/>
    <n v="20.72"/>
    <n v="668.31"/>
    <n v="19380.989999999998"/>
    <x v="3"/>
    <x v="1"/>
    <x v="2"/>
  </r>
  <r>
    <n v="10870"/>
    <n v="870"/>
    <n v="2089"/>
    <x v="13"/>
    <x v="283"/>
    <x v="287"/>
    <n v="5"/>
    <n v="71"/>
    <x v="1"/>
    <x v="2"/>
    <n v="19.170000000000002"/>
    <n v="513.33000000000004"/>
    <n v="36446.43"/>
    <x v="1"/>
    <x v="1"/>
    <x v="0"/>
  </r>
  <r>
    <n v="10871"/>
    <n v="830"/>
    <n v="2027"/>
    <x v="16"/>
    <x v="278"/>
    <x v="304"/>
    <n v="6"/>
    <n v="33"/>
    <x v="3"/>
    <x v="0"/>
    <n v="45.95"/>
    <n v="454.58"/>
    <n v="15001.14"/>
    <x v="6"/>
    <x v="2"/>
    <x v="2"/>
  </r>
  <r>
    <n v="10872"/>
    <n v="509"/>
    <n v="2061"/>
    <x v="17"/>
    <x v="168"/>
    <x v="73"/>
    <n v="1"/>
    <n v="25"/>
    <x v="0"/>
    <x v="0"/>
    <n v="46.64"/>
    <n v="620.16999999999996"/>
    <n v="15504.249999999998"/>
    <x v="5"/>
    <x v="1"/>
    <x v="1"/>
  </r>
  <r>
    <n v="10873"/>
    <n v="715"/>
    <n v="2073"/>
    <x v="13"/>
    <x v="193"/>
    <x v="16"/>
    <n v="9"/>
    <n v="36"/>
    <x v="3"/>
    <x v="1"/>
    <n v="11.78"/>
    <n v="416.74"/>
    <n v="15002.64"/>
    <x v="1"/>
    <x v="1"/>
    <x v="0"/>
  </r>
  <r>
    <n v="10874"/>
    <n v="800"/>
    <n v="2059"/>
    <x v="4"/>
    <x v="271"/>
    <x v="132"/>
    <n v="3"/>
    <n v="76"/>
    <x v="2"/>
    <x v="1"/>
    <n v="17.760000000000002"/>
    <n v="279.55"/>
    <n v="21245.8"/>
    <x v="1"/>
    <x v="2"/>
    <x v="0"/>
  </r>
  <r>
    <n v="10875"/>
    <n v="795"/>
    <n v="2001"/>
    <x v="15"/>
    <x v="231"/>
    <x v="2"/>
    <n v="3"/>
    <n v="99"/>
    <x v="0"/>
    <x v="1"/>
    <n v="49.85"/>
    <n v="471.41"/>
    <n v="46669.590000000004"/>
    <x v="2"/>
    <x v="1"/>
    <x v="0"/>
  </r>
  <r>
    <n v="10876"/>
    <n v="730"/>
    <n v="2074"/>
    <x v="12"/>
    <x v="185"/>
    <x v="323"/>
    <n v="10"/>
    <n v="62"/>
    <x v="1"/>
    <x v="0"/>
    <n v="41.45"/>
    <n v="650.42999999999995"/>
    <n v="40326.659999999996"/>
    <x v="5"/>
    <x v="2"/>
    <x v="1"/>
  </r>
  <r>
    <n v="10877"/>
    <n v="757"/>
    <n v="2028"/>
    <x v="14"/>
    <x v="248"/>
    <x v="286"/>
    <n v="4"/>
    <n v="60"/>
    <x v="3"/>
    <x v="0"/>
    <n v="30.34"/>
    <n v="630.65"/>
    <n v="37839"/>
    <x v="6"/>
    <x v="2"/>
    <x v="1"/>
  </r>
  <r>
    <n v="10878"/>
    <n v="738"/>
    <n v="2036"/>
    <x v="4"/>
    <x v="332"/>
    <x v="51"/>
    <n v="10"/>
    <n v="74"/>
    <x v="0"/>
    <x v="2"/>
    <n v="39.39"/>
    <n v="745.86"/>
    <n v="55193.64"/>
    <x v="1"/>
    <x v="2"/>
    <x v="0"/>
  </r>
  <r>
    <n v="10879"/>
    <n v="897"/>
    <n v="2048"/>
    <x v="13"/>
    <x v="308"/>
    <x v="270"/>
    <n v="4"/>
    <n v="70"/>
    <x v="1"/>
    <x v="2"/>
    <n v="6.74"/>
    <n v="864.57"/>
    <n v="60519.9"/>
    <x v="1"/>
    <x v="1"/>
    <x v="0"/>
  </r>
  <r>
    <n v="10880"/>
    <n v="529"/>
    <n v="2051"/>
    <x v="17"/>
    <x v="136"/>
    <x v="218"/>
    <n v="7"/>
    <n v="34"/>
    <x v="1"/>
    <x v="1"/>
    <n v="47.82"/>
    <n v="376.19"/>
    <n v="12790.46"/>
    <x v="5"/>
    <x v="1"/>
    <x v="1"/>
  </r>
  <r>
    <n v="10881"/>
    <n v="763"/>
    <n v="2091"/>
    <x v="14"/>
    <x v="133"/>
    <x v="309"/>
    <n v="1"/>
    <n v="84"/>
    <x v="2"/>
    <x v="3"/>
    <n v="10.41"/>
    <n v="271.61"/>
    <n v="22815.24"/>
    <x v="6"/>
    <x v="2"/>
    <x v="1"/>
  </r>
  <r>
    <n v="10882"/>
    <n v="804"/>
    <n v="2038"/>
    <x v="9"/>
    <x v="22"/>
    <x v="23"/>
    <n v="6"/>
    <n v="28"/>
    <x v="2"/>
    <x v="4"/>
    <n v="26.62"/>
    <n v="680"/>
    <n v="19040"/>
    <x v="3"/>
    <x v="1"/>
    <x v="2"/>
  </r>
  <r>
    <n v="10883"/>
    <n v="863"/>
    <n v="2070"/>
    <x v="16"/>
    <x v="228"/>
    <x v="239"/>
    <n v="4"/>
    <n v="4"/>
    <x v="1"/>
    <x v="2"/>
    <n v="22.6"/>
    <n v="196.67"/>
    <n v="786.68"/>
    <x v="6"/>
    <x v="2"/>
    <x v="2"/>
  </r>
  <r>
    <n v="10884"/>
    <n v="646"/>
    <n v="2081"/>
    <x v="2"/>
    <x v="181"/>
    <x v="305"/>
    <n v="1"/>
    <n v="61"/>
    <x v="2"/>
    <x v="3"/>
    <n v="20.72"/>
    <n v="668.31"/>
    <n v="40766.909999999996"/>
    <x v="2"/>
    <x v="1"/>
    <x v="2"/>
  </r>
  <r>
    <n v="10885"/>
    <n v="647"/>
    <n v="2078"/>
    <x v="15"/>
    <x v="192"/>
    <x v="278"/>
    <n v="8"/>
    <n v="15"/>
    <x v="2"/>
    <x v="3"/>
    <n v="14.85"/>
    <n v="517.03"/>
    <n v="7755.45"/>
    <x v="2"/>
    <x v="1"/>
    <x v="0"/>
  </r>
  <r>
    <n v="10886"/>
    <n v="585"/>
    <n v="2078"/>
    <x v="11"/>
    <x v="132"/>
    <x v="244"/>
    <n v="7"/>
    <n v="52"/>
    <x v="3"/>
    <x v="3"/>
    <n v="14.85"/>
    <n v="517.03"/>
    <n v="26885.559999999998"/>
    <x v="2"/>
    <x v="1"/>
    <x v="1"/>
  </r>
  <r>
    <n v="10887"/>
    <n v="701"/>
    <n v="2057"/>
    <x v="13"/>
    <x v="272"/>
    <x v="87"/>
    <n v="10"/>
    <n v="1"/>
    <x v="1"/>
    <x v="2"/>
    <n v="34.299999999999997"/>
    <n v="40.43"/>
    <n v="40.43"/>
    <x v="1"/>
    <x v="1"/>
    <x v="0"/>
  </r>
  <r>
    <n v="10888"/>
    <n v="625"/>
    <n v="2071"/>
    <x v="13"/>
    <x v="36"/>
    <x v="159"/>
    <n v="2"/>
    <n v="67"/>
    <x v="2"/>
    <x v="4"/>
    <n v="47.19"/>
    <n v="711.14"/>
    <n v="47646.38"/>
    <x v="1"/>
    <x v="1"/>
    <x v="0"/>
  </r>
  <r>
    <n v="10889"/>
    <n v="621"/>
    <n v="2100"/>
    <x v="9"/>
    <x v="333"/>
    <x v="324"/>
    <n v="5"/>
    <n v="78"/>
    <x v="3"/>
    <x v="4"/>
    <n v="2.2799999999999998"/>
    <n v="813.8"/>
    <n v="63476.399999999994"/>
    <x v="3"/>
    <x v="1"/>
    <x v="2"/>
  </r>
  <r>
    <n v="10890"/>
    <n v="646"/>
    <n v="2064"/>
    <x v="10"/>
    <x v="81"/>
    <x v="116"/>
    <n v="1"/>
    <n v="4"/>
    <x v="1"/>
    <x v="3"/>
    <n v="15.41"/>
    <n v="203.79"/>
    <n v="815.16"/>
    <x v="0"/>
    <x v="2"/>
    <x v="0"/>
  </r>
  <r>
    <n v="10891"/>
    <n v="876"/>
    <n v="2041"/>
    <x v="8"/>
    <x v="79"/>
    <x v="286"/>
    <n v="5"/>
    <n v="65"/>
    <x v="3"/>
    <x v="2"/>
    <n v="48.2"/>
    <n v="792.77"/>
    <n v="51530.049999999996"/>
    <x v="2"/>
    <x v="2"/>
    <x v="1"/>
  </r>
  <r>
    <n v="10892"/>
    <n v="518"/>
    <n v="2010"/>
    <x v="19"/>
    <x v="305"/>
    <x v="292"/>
    <n v="2"/>
    <n v="28"/>
    <x v="3"/>
    <x v="0"/>
    <n v="9.58"/>
    <n v="440.93"/>
    <n v="12346.04"/>
    <x v="7"/>
    <x v="3"/>
    <x v="1"/>
  </r>
  <r>
    <n v="10893"/>
    <n v="743"/>
    <n v="2042"/>
    <x v="8"/>
    <x v="292"/>
    <x v="23"/>
    <n v="10"/>
    <n v="11"/>
    <x v="2"/>
    <x v="4"/>
    <n v="46.87"/>
    <n v="313.88"/>
    <n v="3452.68"/>
    <x v="2"/>
    <x v="2"/>
    <x v="1"/>
  </r>
  <r>
    <n v="10894"/>
    <n v="610"/>
    <n v="2087"/>
    <x v="8"/>
    <x v="192"/>
    <x v="191"/>
    <n v="3"/>
    <n v="43"/>
    <x v="3"/>
    <x v="1"/>
    <n v="35.82"/>
    <n v="47.38"/>
    <n v="2037.3400000000001"/>
    <x v="2"/>
    <x v="2"/>
    <x v="1"/>
  </r>
  <r>
    <n v="10895"/>
    <n v="713"/>
    <n v="2027"/>
    <x v="12"/>
    <x v="293"/>
    <x v="194"/>
    <n v="3"/>
    <n v="54"/>
    <x v="3"/>
    <x v="0"/>
    <n v="45.95"/>
    <n v="454.58"/>
    <n v="24547.32"/>
    <x v="5"/>
    <x v="2"/>
    <x v="1"/>
  </r>
  <r>
    <n v="10896"/>
    <n v="526"/>
    <n v="2015"/>
    <x v="7"/>
    <x v="37"/>
    <x v="37"/>
    <n v="7"/>
    <n v="1"/>
    <x v="3"/>
    <x v="0"/>
    <n v="35.520000000000003"/>
    <n v="638.11"/>
    <n v="638.11"/>
    <x v="4"/>
    <x v="3"/>
    <x v="0"/>
  </r>
  <r>
    <n v="10897"/>
    <n v="749"/>
    <n v="2012"/>
    <x v="2"/>
    <x v="270"/>
    <x v="208"/>
    <n v="10"/>
    <n v="44"/>
    <x v="2"/>
    <x v="3"/>
    <n v="34.93"/>
    <n v="327.92"/>
    <n v="14428.480000000001"/>
    <x v="2"/>
    <x v="1"/>
    <x v="2"/>
  </r>
  <r>
    <n v="10898"/>
    <n v="586"/>
    <n v="2068"/>
    <x v="5"/>
    <x v="195"/>
    <x v="193"/>
    <n v="4"/>
    <n v="63"/>
    <x v="1"/>
    <x v="4"/>
    <n v="47.08"/>
    <n v="501.03"/>
    <n v="31564.89"/>
    <x v="0"/>
    <x v="2"/>
    <x v="1"/>
  </r>
  <r>
    <n v="10899"/>
    <n v="762"/>
    <n v="2050"/>
    <x v="18"/>
    <x v="27"/>
    <x v="297"/>
    <n v="4"/>
    <n v="81"/>
    <x v="3"/>
    <x v="3"/>
    <n v="36.43"/>
    <n v="507.16"/>
    <n v="41079.96"/>
    <x v="0"/>
    <x v="3"/>
    <x v="0"/>
  </r>
  <r>
    <n v="10900"/>
    <n v="808"/>
    <n v="2090"/>
    <x v="4"/>
    <x v="233"/>
    <x v="70"/>
    <n v="10"/>
    <n v="82"/>
    <x v="0"/>
    <x v="2"/>
    <n v="38.729999999999997"/>
    <n v="913.68"/>
    <n v="74921.759999999995"/>
    <x v="1"/>
    <x v="2"/>
    <x v="0"/>
  </r>
  <r>
    <n v="10901"/>
    <n v="671"/>
    <n v="2072"/>
    <x v="8"/>
    <x v="170"/>
    <x v="219"/>
    <n v="7"/>
    <n v="93"/>
    <x v="3"/>
    <x v="1"/>
    <n v="26.22"/>
    <n v="576.57000000000005"/>
    <n v="53621.01"/>
    <x v="2"/>
    <x v="2"/>
    <x v="1"/>
  </r>
  <r>
    <n v="10902"/>
    <n v="797"/>
    <n v="2028"/>
    <x v="14"/>
    <x v="178"/>
    <x v="279"/>
    <n v="9"/>
    <n v="62"/>
    <x v="0"/>
    <x v="0"/>
    <n v="30.34"/>
    <n v="630.65"/>
    <n v="39100.299999999996"/>
    <x v="6"/>
    <x v="2"/>
    <x v="1"/>
  </r>
  <r>
    <n v="10903"/>
    <n v="697"/>
    <n v="2085"/>
    <x v="15"/>
    <x v="249"/>
    <x v="106"/>
    <n v="1"/>
    <n v="47"/>
    <x v="3"/>
    <x v="2"/>
    <n v="47.56"/>
    <n v="131.63"/>
    <n v="6186.61"/>
    <x v="2"/>
    <x v="1"/>
    <x v="0"/>
  </r>
  <r>
    <n v="10904"/>
    <n v="806"/>
    <n v="2086"/>
    <x v="16"/>
    <x v="95"/>
    <x v="268"/>
    <n v="2"/>
    <n v="18"/>
    <x v="3"/>
    <x v="4"/>
    <n v="27.73"/>
    <n v="417.42"/>
    <n v="7513.56"/>
    <x v="6"/>
    <x v="2"/>
    <x v="2"/>
  </r>
  <r>
    <n v="10905"/>
    <n v="895"/>
    <n v="2054"/>
    <x v="11"/>
    <x v="143"/>
    <x v="226"/>
    <n v="7"/>
    <n v="49"/>
    <x v="1"/>
    <x v="1"/>
    <n v="5.63"/>
    <n v="304.22000000000003"/>
    <n v="14906.78"/>
    <x v="2"/>
    <x v="1"/>
    <x v="1"/>
  </r>
  <r>
    <n v="10906"/>
    <n v="805"/>
    <n v="2095"/>
    <x v="13"/>
    <x v="207"/>
    <x v="240"/>
    <n v="7"/>
    <n v="14"/>
    <x v="1"/>
    <x v="0"/>
    <n v="38.81"/>
    <n v="761.63"/>
    <n v="10662.82"/>
    <x v="1"/>
    <x v="1"/>
    <x v="0"/>
  </r>
  <r>
    <n v="10907"/>
    <n v="662"/>
    <n v="2042"/>
    <x v="8"/>
    <x v="39"/>
    <x v="209"/>
    <n v="8"/>
    <n v="73"/>
    <x v="2"/>
    <x v="4"/>
    <n v="46.87"/>
    <n v="313.88"/>
    <n v="22913.239999999998"/>
    <x v="2"/>
    <x v="2"/>
    <x v="1"/>
  </r>
  <r>
    <n v="10908"/>
    <n v="670"/>
    <n v="2023"/>
    <x v="18"/>
    <x v="118"/>
    <x v="113"/>
    <n v="2"/>
    <n v="11"/>
    <x v="1"/>
    <x v="0"/>
    <n v="39.520000000000003"/>
    <n v="618.29999999999995"/>
    <n v="6801.2999999999993"/>
    <x v="0"/>
    <x v="3"/>
    <x v="0"/>
  </r>
  <r>
    <n v="10909"/>
    <n v="862"/>
    <n v="2087"/>
    <x v="14"/>
    <x v="254"/>
    <x v="311"/>
    <n v="1"/>
    <n v="52"/>
    <x v="1"/>
    <x v="1"/>
    <n v="35.82"/>
    <n v="47.38"/>
    <n v="2463.7600000000002"/>
    <x v="6"/>
    <x v="2"/>
    <x v="1"/>
  </r>
  <r>
    <n v="10910"/>
    <n v="762"/>
    <n v="2078"/>
    <x v="2"/>
    <x v="334"/>
    <x v="22"/>
    <n v="4"/>
    <n v="98"/>
    <x v="0"/>
    <x v="3"/>
    <n v="14.85"/>
    <n v="517.03"/>
    <n v="50668.939999999995"/>
    <x v="2"/>
    <x v="1"/>
    <x v="2"/>
  </r>
  <r>
    <n v="10911"/>
    <n v="820"/>
    <n v="2074"/>
    <x v="14"/>
    <x v="27"/>
    <x v="135"/>
    <n v="1"/>
    <n v="44"/>
    <x v="0"/>
    <x v="0"/>
    <n v="41.45"/>
    <n v="650.42999999999995"/>
    <n v="28618.92"/>
    <x v="6"/>
    <x v="2"/>
    <x v="1"/>
  </r>
  <r>
    <n v="10912"/>
    <n v="714"/>
    <n v="2035"/>
    <x v="19"/>
    <x v="282"/>
    <x v="41"/>
    <n v="4"/>
    <n v="77"/>
    <x v="1"/>
    <x v="4"/>
    <n v="18.55"/>
    <n v="636.37"/>
    <n v="49000.49"/>
    <x v="7"/>
    <x v="3"/>
    <x v="1"/>
  </r>
  <r>
    <n v="10913"/>
    <n v="823"/>
    <n v="2061"/>
    <x v="9"/>
    <x v="43"/>
    <x v="311"/>
    <n v="7"/>
    <n v="5"/>
    <x v="0"/>
    <x v="0"/>
    <n v="46.64"/>
    <n v="620.16999999999996"/>
    <n v="3100.85"/>
    <x v="3"/>
    <x v="1"/>
    <x v="2"/>
  </r>
  <r>
    <n v="10914"/>
    <n v="560"/>
    <n v="2057"/>
    <x v="19"/>
    <x v="31"/>
    <x v="39"/>
    <n v="9"/>
    <n v="72"/>
    <x v="1"/>
    <x v="2"/>
    <n v="34.299999999999997"/>
    <n v="40.43"/>
    <n v="2910.96"/>
    <x v="7"/>
    <x v="3"/>
    <x v="1"/>
  </r>
  <r>
    <n v="10915"/>
    <n v="874"/>
    <n v="2081"/>
    <x v="10"/>
    <x v="128"/>
    <x v="146"/>
    <n v="1"/>
    <n v="96"/>
    <x v="2"/>
    <x v="3"/>
    <n v="20.72"/>
    <n v="668.31"/>
    <n v="64157.759999999995"/>
    <x v="0"/>
    <x v="2"/>
    <x v="0"/>
  </r>
  <r>
    <n v="10916"/>
    <n v="802"/>
    <n v="2020"/>
    <x v="14"/>
    <x v="204"/>
    <x v="313"/>
    <n v="8"/>
    <n v="38"/>
    <x v="2"/>
    <x v="4"/>
    <n v="35.94"/>
    <n v="44.04"/>
    <n v="1673.52"/>
    <x v="6"/>
    <x v="2"/>
    <x v="1"/>
  </r>
  <r>
    <n v="10917"/>
    <n v="654"/>
    <n v="2050"/>
    <x v="9"/>
    <x v="26"/>
    <x v="63"/>
    <n v="8"/>
    <n v="61"/>
    <x v="2"/>
    <x v="3"/>
    <n v="36.43"/>
    <n v="507.16"/>
    <n v="30936.760000000002"/>
    <x v="3"/>
    <x v="1"/>
    <x v="2"/>
  </r>
  <r>
    <n v="10918"/>
    <n v="873"/>
    <n v="2013"/>
    <x v="15"/>
    <x v="35"/>
    <x v="60"/>
    <n v="1"/>
    <n v="19"/>
    <x v="1"/>
    <x v="0"/>
    <n v="19.53"/>
    <n v="563.69000000000005"/>
    <n v="10710.11"/>
    <x v="2"/>
    <x v="1"/>
    <x v="0"/>
  </r>
  <r>
    <n v="10919"/>
    <n v="609"/>
    <n v="2100"/>
    <x v="5"/>
    <x v="192"/>
    <x v="278"/>
    <n v="8"/>
    <n v="67"/>
    <x v="0"/>
    <x v="4"/>
    <n v="2.2799999999999998"/>
    <n v="813.8"/>
    <n v="54524.6"/>
    <x v="0"/>
    <x v="2"/>
    <x v="1"/>
  </r>
  <r>
    <n v="10920"/>
    <n v="549"/>
    <n v="2057"/>
    <x v="6"/>
    <x v="289"/>
    <x v="214"/>
    <n v="2"/>
    <n v="100"/>
    <x v="1"/>
    <x v="2"/>
    <n v="34.299999999999997"/>
    <n v="40.43"/>
    <n v="4043"/>
    <x v="3"/>
    <x v="1"/>
    <x v="0"/>
  </r>
  <r>
    <n v="10921"/>
    <n v="899"/>
    <n v="2062"/>
    <x v="12"/>
    <x v="304"/>
    <x v="325"/>
    <n v="8"/>
    <n v="16"/>
    <x v="3"/>
    <x v="1"/>
    <n v="32.479999999999997"/>
    <n v="409.49"/>
    <n v="6551.84"/>
    <x v="5"/>
    <x v="2"/>
    <x v="1"/>
  </r>
  <r>
    <n v="10922"/>
    <n v="862"/>
    <n v="2060"/>
    <x v="1"/>
    <x v="335"/>
    <x v="300"/>
    <n v="6"/>
    <n v="31"/>
    <x v="2"/>
    <x v="3"/>
    <n v="3.65"/>
    <n v="173.1"/>
    <n v="5366.0999999999995"/>
    <x v="1"/>
    <x v="0"/>
    <x v="1"/>
  </r>
  <r>
    <n v="10923"/>
    <n v="802"/>
    <n v="2059"/>
    <x v="11"/>
    <x v="246"/>
    <x v="202"/>
    <n v="5"/>
    <n v="96"/>
    <x v="1"/>
    <x v="1"/>
    <n v="17.760000000000002"/>
    <n v="279.55"/>
    <n v="26836.800000000003"/>
    <x v="2"/>
    <x v="1"/>
    <x v="1"/>
  </r>
  <r>
    <n v="10924"/>
    <n v="699"/>
    <n v="2056"/>
    <x v="17"/>
    <x v="74"/>
    <x v="255"/>
    <n v="2"/>
    <n v="49"/>
    <x v="2"/>
    <x v="1"/>
    <n v="18.559999999999999"/>
    <n v="564.01"/>
    <n v="27636.489999999998"/>
    <x v="5"/>
    <x v="1"/>
    <x v="1"/>
  </r>
  <r>
    <n v="10925"/>
    <n v="533"/>
    <n v="2014"/>
    <x v="6"/>
    <x v="229"/>
    <x v="255"/>
    <n v="5"/>
    <n v="43"/>
    <x v="2"/>
    <x v="4"/>
    <n v="12.2"/>
    <n v="652.53"/>
    <n v="28058.789999999997"/>
    <x v="3"/>
    <x v="1"/>
    <x v="0"/>
  </r>
  <r>
    <n v="10926"/>
    <n v="834"/>
    <n v="2042"/>
    <x v="11"/>
    <x v="336"/>
    <x v="202"/>
    <n v="1"/>
    <n v="97"/>
    <x v="3"/>
    <x v="4"/>
    <n v="46.87"/>
    <n v="313.88"/>
    <n v="30446.36"/>
    <x v="2"/>
    <x v="1"/>
    <x v="1"/>
  </r>
  <r>
    <n v="10927"/>
    <n v="721"/>
    <n v="2018"/>
    <x v="16"/>
    <x v="291"/>
    <x v="215"/>
    <n v="9"/>
    <n v="88"/>
    <x v="1"/>
    <x v="3"/>
    <n v="16.739999999999998"/>
    <n v="103.05"/>
    <n v="9068.4"/>
    <x v="6"/>
    <x v="2"/>
    <x v="2"/>
  </r>
  <r>
    <n v="10928"/>
    <n v="872"/>
    <n v="2059"/>
    <x v="7"/>
    <x v="332"/>
    <x v="38"/>
    <n v="1"/>
    <n v="44"/>
    <x v="1"/>
    <x v="1"/>
    <n v="17.760000000000002"/>
    <n v="279.55"/>
    <n v="12300.2"/>
    <x v="4"/>
    <x v="3"/>
    <x v="0"/>
  </r>
  <r>
    <n v="10929"/>
    <n v="800"/>
    <n v="2022"/>
    <x v="12"/>
    <x v="290"/>
    <x v="70"/>
    <n v="7"/>
    <n v="91"/>
    <x v="0"/>
    <x v="0"/>
    <n v="47.91"/>
    <n v="756.92"/>
    <n v="68879.72"/>
    <x v="5"/>
    <x v="2"/>
    <x v="1"/>
  </r>
  <r>
    <n v="10930"/>
    <n v="677"/>
    <n v="2001"/>
    <x v="3"/>
    <x v="310"/>
    <x v="87"/>
    <n v="9"/>
    <n v="74"/>
    <x v="2"/>
    <x v="1"/>
    <n v="49.85"/>
    <n v="471.41"/>
    <n v="34884.340000000004"/>
    <x v="2"/>
    <x v="2"/>
    <x v="2"/>
  </r>
  <r>
    <n v="10931"/>
    <n v="531"/>
    <n v="2028"/>
    <x v="13"/>
    <x v="199"/>
    <x v="283"/>
    <n v="2"/>
    <n v="86"/>
    <x v="0"/>
    <x v="0"/>
    <n v="30.34"/>
    <n v="630.65"/>
    <n v="54235.9"/>
    <x v="1"/>
    <x v="1"/>
    <x v="0"/>
  </r>
  <r>
    <n v="10932"/>
    <n v="684"/>
    <n v="2070"/>
    <x v="10"/>
    <x v="287"/>
    <x v="76"/>
    <n v="9"/>
    <n v="69"/>
    <x v="0"/>
    <x v="2"/>
    <n v="22.6"/>
    <n v="196.67"/>
    <n v="13570.23"/>
    <x v="0"/>
    <x v="2"/>
    <x v="0"/>
  </r>
  <r>
    <n v="10933"/>
    <n v="590"/>
    <n v="2029"/>
    <x v="12"/>
    <x v="103"/>
    <x v="104"/>
    <n v="5"/>
    <n v="35"/>
    <x v="1"/>
    <x v="3"/>
    <n v="9.19"/>
    <n v="357.06"/>
    <n v="12497.1"/>
    <x v="5"/>
    <x v="2"/>
    <x v="1"/>
  </r>
  <r>
    <n v="10934"/>
    <n v="782"/>
    <n v="2065"/>
    <x v="8"/>
    <x v="253"/>
    <x v="3"/>
    <n v="2"/>
    <n v="73"/>
    <x v="2"/>
    <x v="0"/>
    <n v="26.94"/>
    <n v="155.15"/>
    <n v="11325.95"/>
    <x v="2"/>
    <x v="2"/>
    <x v="1"/>
  </r>
  <r>
    <n v="10935"/>
    <n v="746"/>
    <n v="2027"/>
    <x v="14"/>
    <x v="4"/>
    <x v="125"/>
    <n v="8"/>
    <n v="2"/>
    <x v="0"/>
    <x v="0"/>
    <n v="45.95"/>
    <n v="454.58"/>
    <n v="909.16"/>
    <x v="6"/>
    <x v="2"/>
    <x v="1"/>
  </r>
  <r>
    <n v="10936"/>
    <n v="652"/>
    <n v="2054"/>
    <x v="6"/>
    <x v="96"/>
    <x v="235"/>
    <n v="7"/>
    <n v="17"/>
    <x v="1"/>
    <x v="1"/>
    <n v="5.63"/>
    <n v="304.22000000000003"/>
    <n v="5171.7400000000007"/>
    <x v="3"/>
    <x v="1"/>
    <x v="0"/>
  </r>
  <r>
    <n v="10937"/>
    <n v="758"/>
    <n v="2006"/>
    <x v="8"/>
    <x v="168"/>
    <x v="298"/>
    <n v="10"/>
    <n v="95"/>
    <x v="2"/>
    <x v="2"/>
    <n v="41.47"/>
    <n v="541.85"/>
    <n v="51475.75"/>
    <x v="2"/>
    <x v="2"/>
    <x v="1"/>
  </r>
  <r>
    <n v="10938"/>
    <n v="845"/>
    <n v="2074"/>
    <x v="16"/>
    <x v="42"/>
    <x v="207"/>
    <n v="3"/>
    <n v="29"/>
    <x v="3"/>
    <x v="0"/>
    <n v="41.45"/>
    <n v="650.42999999999995"/>
    <n v="18862.469999999998"/>
    <x v="6"/>
    <x v="2"/>
    <x v="2"/>
  </r>
  <r>
    <n v="10939"/>
    <n v="741"/>
    <n v="2065"/>
    <x v="2"/>
    <x v="125"/>
    <x v="134"/>
    <n v="1"/>
    <n v="98"/>
    <x v="1"/>
    <x v="0"/>
    <n v="26.94"/>
    <n v="155.15"/>
    <n v="15204.7"/>
    <x v="2"/>
    <x v="1"/>
    <x v="2"/>
  </r>
  <r>
    <n v="10940"/>
    <n v="779"/>
    <n v="2053"/>
    <x v="0"/>
    <x v="201"/>
    <x v="322"/>
    <n v="2"/>
    <n v="16"/>
    <x v="1"/>
    <x v="2"/>
    <n v="34.54"/>
    <n v="162.21"/>
    <n v="2595.36"/>
    <x v="0"/>
    <x v="0"/>
    <x v="0"/>
  </r>
  <r>
    <n v="10941"/>
    <n v="762"/>
    <n v="2016"/>
    <x v="18"/>
    <x v="114"/>
    <x v="45"/>
    <n v="3"/>
    <n v="46"/>
    <x v="1"/>
    <x v="0"/>
    <n v="12.52"/>
    <n v="709.8"/>
    <n v="32650.799999999999"/>
    <x v="0"/>
    <x v="3"/>
    <x v="0"/>
  </r>
  <r>
    <n v="10942"/>
    <n v="694"/>
    <n v="2069"/>
    <x v="3"/>
    <x v="189"/>
    <x v="235"/>
    <n v="5"/>
    <n v="40"/>
    <x v="3"/>
    <x v="2"/>
    <n v="2.94"/>
    <n v="494.92"/>
    <n v="19796.8"/>
    <x v="2"/>
    <x v="2"/>
    <x v="2"/>
  </r>
  <r>
    <n v="10943"/>
    <n v="530"/>
    <n v="2048"/>
    <x v="12"/>
    <x v="337"/>
    <x v="154"/>
    <n v="10"/>
    <n v="100"/>
    <x v="0"/>
    <x v="2"/>
    <n v="6.74"/>
    <n v="864.57"/>
    <n v="86457"/>
    <x v="5"/>
    <x v="2"/>
    <x v="1"/>
  </r>
  <r>
    <n v="10944"/>
    <n v="605"/>
    <n v="2004"/>
    <x v="14"/>
    <x v="1"/>
    <x v="307"/>
    <n v="5"/>
    <n v="67"/>
    <x v="2"/>
    <x v="1"/>
    <n v="4.34"/>
    <n v="52.14"/>
    <n v="3493.38"/>
    <x v="6"/>
    <x v="2"/>
    <x v="1"/>
  </r>
  <r>
    <n v="10945"/>
    <n v="661"/>
    <n v="2031"/>
    <x v="8"/>
    <x v="24"/>
    <x v="55"/>
    <n v="8"/>
    <n v="38"/>
    <x v="2"/>
    <x v="4"/>
    <n v="24.61"/>
    <n v="342.86"/>
    <n v="13028.68"/>
    <x v="2"/>
    <x v="2"/>
    <x v="1"/>
  </r>
  <r>
    <n v="10946"/>
    <n v="511"/>
    <n v="2088"/>
    <x v="11"/>
    <x v="113"/>
    <x v="53"/>
    <n v="5"/>
    <n v="13"/>
    <x v="1"/>
    <x v="0"/>
    <n v="27.71"/>
    <n v="820.21"/>
    <n v="10662.73"/>
    <x v="2"/>
    <x v="1"/>
    <x v="1"/>
  </r>
  <r>
    <n v="10947"/>
    <n v="835"/>
    <n v="2034"/>
    <x v="14"/>
    <x v="73"/>
    <x v="255"/>
    <n v="4"/>
    <n v="95"/>
    <x v="3"/>
    <x v="4"/>
    <n v="26.17"/>
    <n v="540.23"/>
    <n v="51321.85"/>
    <x v="6"/>
    <x v="2"/>
    <x v="1"/>
  </r>
  <r>
    <n v="10948"/>
    <n v="621"/>
    <n v="2026"/>
    <x v="1"/>
    <x v="338"/>
    <x v="232"/>
    <n v="1"/>
    <n v="40"/>
    <x v="0"/>
    <x v="2"/>
    <n v="23.02"/>
    <n v="858.57"/>
    <n v="34342.800000000003"/>
    <x v="1"/>
    <x v="0"/>
    <x v="1"/>
  </r>
  <r>
    <n v="10949"/>
    <n v="690"/>
    <n v="2055"/>
    <x v="0"/>
    <x v="266"/>
    <x v="235"/>
    <n v="9"/>
    <n v="9"/>
    <x v="1"/>
    <x v="4"/>
    <n v="26.24"/>
    <n v="312.67"/>
    <n v="2814.03"/>
    <x v="0"/>
    <x v="0"/>
    <x v="0"/>
  </r>
  <r>
    <n v="10950"/>
    <n v="632"/>
    <n v="2064"/>
    <x v="19"/>
    <x v="61"/>
    <x v="326"/>
    <n v="4"/>
    <n v="32"/>
    <x v="1"/>
    <x v="3"/>
    <n v="15.41"/>
    <n v="203.79"/>
    <n v="6521.28"/>
    <x v="7"/>
    <x v="3"/>
    <x v="1"/>
  </r>
  <r>
    <n v="10951"/>
    <n v="668"/>
    <n v="2022"/>
    <x v="11"/>
    <x v="285"/>
    <x v="137"/>
    <n v="5"/>
    <n v="50"/>
    <x v="1"/>
    <x v="0"/>
    <n v="47.91"/>
    <n v="756.92"/>
    <n v="37846"/>
    <x v="2"/>
    <x v="1"/>
    <x v="1"/>
  </r>
  <r>
    <n v="10952"/>
    <n v="541"/>
    <n v="2045"/>
    <x v="12"/>
    <x v="260"/>
    <x v="182"/>
    <n v="4"/>
    <n v="27"/>
    <x v="0"/>
    <x v="1"/>
    <n v="41.3"/>
    <n v="652.61"/>
    <n v="17620.47"/>
    <x v="5"/>
    <x v="2"/>
    <x v="1"/>
  </r>
  <r>
    <n v="10953"/>
    <n v="814"/>
    <n v="2047"/>
    <x v="16"/>
    <x v="132"/>
    <x v="67"/>
    <n v="4"/>
    <n v="76"/>
    <x v="2"/>
    <x v="4"/>
    <n v="31.72"/>
    <n v="210.46"/>
    <n v="15994.960000000001"/>
    <x v="6"/>
    <x v="2"/>
    <x v="2"/>
  </r>
  <r>
    <n v="10954"/>
    <n v="795"/>
    <n v="2008"/>
    <x v="15"/>
    <x v="197"/>
    <x v="34"/>
    <n v="2"/>
    <n v="80"/>
    <x v="0"/>
    <x v="3"/>
    <n v="8.5"/>
    <n v="899.21"/>
    <n v="71936.800000000003"/>
    <x v="2"/>
    <x v="1"/>
    <x v="0"/>
  </r>
  <r>
    <n v="10955"/>
    <n v="579"/>
    <n v="2047"/>
    <x v="12"/>
    <x v="39"/>
    <x v="156"/>
    <n v="5"/>
    <n v="38"/>
    <x v="1"/>
    <x v="4"/>
    <n v="31.72"/>
    <n v="210.46"/>
    <n v="7997.4800000000005"/>
    <x v="5"/>
    <x v="2"/>
    <x v="1"/>
  </r>
  <r>
    <n v="10956"/>
    <n v="752"/>
    <n v="2046"/>
    <x v="13"/>
    <x v="46"/>
    <x v="113"/>
    <n v="7"/>
    <n v="73"/>
    <x v="1"/>
    <x v="4"/>
    <n v="38.130000000000003"/>
    <n v="649.34"/>
    <n v="47401.82"/>
    <x v="1"/>
    <x v="1"/>
    <x v="0"/>
  </r>
  <r>
    <n v="10957"/>
    <n v="666"/>
    <n v="2024"/>
    <x v="19"/>
    <x v="39"/>
    <x v="156"/>
    <n v="5"/>
    <n v="24"/>
    <x v="0"/>
    <x v="0"/>
    <n v="21.16"/>
    <n v="291.08"/>
    <n v="6985.92"/>
    <x v="7"/>
    <x v="3"/>
    <x v="1"/>
  </r>
  <r>
    <n v="10958"/>
    <n v="514"/>
    <n v="2079"/>
    <x v="16"/>
    <x v="57"/>
    <x v="255"/>
    <n v="7"/>
    <n v="84"/>
    <x v="3"/>
    <x v="2"/>
    <n v="12.3"/>
    <n v="99.7"/>
    <n v="8374.8000000000011"/>
    <x v="6"/>
    <x v="2"/>
    <x v="2"/>
  </r>
  <r>
    <n v="10959"/>
    <n v="723"/>
    <n v="2032"/>
    <x v="13"/>
    <x v="23"/>
    <x v="105"/>
    <n v="4"/>
    <n v="97"/>
    <x v="1"/>
    <x v="1"/>
    <n v="3.81"/>
    <n v="682.41"/>
    <n v="66193.77"/>
    <x v="1"/>
    <x v="1"/>
    <x v="0"/>
  </r>
  <r>
    <n v="10960"/>
    <n v="841"/>
    <n v="2020"/>
    <x v="12"/>
    <x v="49"/>
    <x v="50"/>
    <n v="1"/>
    <n v="9"/>
    <x v="1"/>
    <x v="4"/>
    <n v="35.94"/>
    <n v="44.04"/>
    <n v="396.36"/>
    <x v="5"/>
    <x v="2"/>
    <x v="1"/>
  </r>
  <r>
    <n v="10961"/>
    <n v="756"/>
    <n v="2044"/>
    <x v="8"/>
    <x v="256"/>
    <x v="194"/>
    <n v="7"/>
    <n v="87"/>
    <x v="1"/>
    <x v="3"/>
    <n v="11.44"/>
    <n v="939.99"/>
    <n v="81779.13"/>
    <x v="2"/>
    <x v="2"/>
    <x v="1"/>
  </r>
  <r>
    <n v="10962"/>
    <n v="732"/>
    <n v="2053"/>
    <x v="18"/>
    <x v="275"/>
    <x v="92"/>
    <n v="4"/>
    <n v="13"/>
    <x v="1"/>
    <x v="2"/>
    <n v="34.54"/>
    <n v="162.21"/>
    <n v="2108.73"/>
    <x v="0"/>
    <x v="3"/>
    <x v="0"/>
  </r>
  <r>
    <n v="10963"/>
    <n v="548"/>
    <n v="2090"/>
    <x v="3"/>
    <x v="333"/>
    <x v="320"/>
    <n v="1"/>
    <n v="7"/>
    <x v="2"/>
    <x v="2"/>
    <n v="38.729999999999997"/>
    <n v="913.68"/>
    <n v="6395.7599999999993"/>
    <x v="2"/>
    <x v="2"/>
    <x v="2"/>
  </r>
  <r>
    <n v="10964"/>
    <n v="867"/>
    <n v="2026"/>
    <x v="12"/>
    <x v="68"/>
    <x v="198"/>
    <n v="4"/>
    <n v="91"/>
    <x v="2"/>
    <x v="2"/>
    <n v="23.02"/>
    <n v="858.57"/>
    <n v="78129.87000000001"/>
    <x v="5"/>
    <x v="2"/>
    <x v="1"/>
  </r>
  <r>
    <n v="10965"/>
    <n v="537"/>
    <n v="2022"/>
    <x v="9"/>
    <x v="35"/>
    <x v="35"/>
    <n v="7"/>
    <n v="97"/>
    <x v="3"/>
    <x v="0"/>
    <n v="47.91"/>
    <n v="756.92"/>
    <n v="73421.239999999991"/>
    <x v="3"/>
    <x v="1"/>
    <x v="2"/>
  </r>
  <r>
    <n v="10966"/>
    <n v="807"/>
    <n v="2021"/>
    <x v="7"/>
    <x v="187"/>
    <x v="210"/>
    <n v="4"/>
    <n v="34"/>
    <x v="3"/>
    <x v="1"/>
    <n v="18.77"/>
    <n v="259.72000000000003"/>
    <n v="8830.4800000000014"/>
    <x v="4"/>
    <x v="3"/>
    <x v="0"/>
  </r>
  <r>
    <n v="10967"/>
    <n v="831"/>
    <n v="2002"/>
    <x v="9"/>
    <x v="339"/>
    <x v="233"/>
    <n v="6"/>
    <n v="58"/>
    <x v="2"/>
    <x v="0"/>
    <n v="30.78"/>
    <n v="646.99"/>
    <n v="37525.42"/>
    <x v="3"/>
    <x v="1"/>
    <x v="2"/>
  </r>
  <r>
    <n v="10968"/>
    <n v="667"/>
    <n v="2073"/>
    <x v="6"/>
    <x v="91"/>
    <x v="135"/>
    <n v="10"/>
    <n v="63"/>
    <x v="0"/>
    <x v="1"/>
    <n v="11.78"/>
    <n v="416.74"/>
    <n v="26254.62"/>
    <x v="3"/>
    <x v="1"/>
    <x v="0"/>
  </r>
  <r>
    <n v="10969"/>
    <n v="869"/>
    <n v="2038"/>
    <x v="15"/>
    <x v="72"/>
    <x v="69"/>
    <n v="10"/>
    <n v="41"/>
    <x v="2"/>
    <x v="4"/>
    <n v="26.62"/>
    <n v="680"/>
    <n v="27880"/>
    <x v="2"/>
    <x v="1"/>
    <x v="0"/>
  </r>
  <r>
    <n v="10970"/>
    <n v="592"/>
    <n v="2049"/>
    <x v="0"/>
    <x v="329"/>
    <x v="327"/>
    <n v="10"/>
    <n v="20"/>
    <x v="0"/>
    <x v="4"/>
    <n v="17.52"/>
    <n v="832.77"/>
    <n v="16655.400000000001"/>
    <x v="0"/>
    <x v="0"/>
    <x v="0"/>
  </r>
  <r>
    <n v="10971"/>
    <n v="571"/>
    <n v="2052"/>
    <x v="0"/>
    <x v="308"/>
    <x v="250"/>
    <n v="9"/>
    <n v="94"/>
    <x v="0"/>
    <x v="4"/>
    <n v="47.35"/>
    <n v="665.2"/>
    <n v="62528.800000000003"/>
    <x v="0"/>
    <x v="0"/>
    <x v="0"/>
  </r>
  <r>
    <n v="10972"/>
    <n v="764"/>
    <n v="2025"/>
    <x v="0"/>
    <x v="106"/>
    <x v="328"/>
    <n v="6"/>
    <n v="33"/>
    <x v="1"/>
    <x v="0"/>
    <n v="3.39"/>
    <n v="303.87"/>
    <n v="10027.710000000001"/>
    <x v="0"/>
    <x v="0"/>
    <x v="0"/>
  </r>
  <r>
    <n v="10973"/>
    <n v="656"/>
    <n v="2079"/>
    <x v="3"/>
    <x v="320"/>
    <x v="187"/>
    <n v="6"/>
    <n v="15"/>
    <x v="2"/>
    <x v="2"/>
    <n v="12.3"/>
    <n v="99.7"/>
    <n v="1495.5"/>
    <x v="2"/>
    <x v="2"/>
    <x v="2"/>
  </r>
  <r>
    <n v="10974"/>
    <n v="647"/>
    <n v="2068"/>
    <x v="16"/>
    <x v="340"/>
    <x v="45"/>
    <n v="10"/>
    <n v="56"/>
    <x v="3"/>
    <x v="4"/>
    <n v="47.08"/>
    <n v="501.03"/>
    <n v="28057.68"/>
    <x v="6"/>
    <x v="2"/>
    <x v="2"/>
  </r>
  <r>
    <n v="10975"/>
    <n v="549"/>
    <n v="2054"/>
    <x v="13"/>
    <x v="296"/>
    <x v="253"/>
    <n v="4"/>
    <n v="63"/>
    <x v="0"/>
    <x v="1"/>
    <n v="5.63"/>
    <n v="304.22000000000003"/>
    <n v="19165.86"/>
    <x v="1"/>
    <x v="1"/>
    <x v="0"/>
  </r>
  <r>
    <n v="10976"/>
    <n v="723"/>
    <n v="2075"/>
    <x v="12"/>
    <x v="191"/>
    <x v="199"/>
    <n v="3"/>
    <n v="66"/>
    <x v="2"/>
    <x v="4"/>
    <n v="16.57"/>
    <n v="429.9"/>
    <n v="28373.399999999998"/>
    <x v="5"/>
    <x v="2"/>
    <x v="1"/>
  </r>
  <r>
    <n v="10977"/>
    <n v="551"/>
    <n v="2100"/>
    <x v="15"/>
    <x v="162"/>
    <x v="128"/>
    <n v="7"/>
    <n v="80"/>
    <x v="3"/>
    <x v="4"/>
    <n v="2.2799999999999998"/>
    <n v="813.8"/>
    <n v="65104"/>
    <x v="2"/>
    <x v="1"/>
    <x v="0"/>
  </r>
  <r>
    <n v="10978"/>
    <n v="898"/>
    <n v="2071"/>
    <x v="10"/>
    <x v="330"/>
    <x v="306"/>
    <n v="2"/>
    <n v="26"/>
    <x v="3"/>
    <x v="4"/>
    <n v="47.19"/>
    <n v="711.14"/>
    <n v="18489.64"/>
    <x v="0"/>
    <x v="2"/>
    <x v="0"/>
  </r>
  <r>
    <n v="10979"/>
    <n v="529"/>
    <n v="2073"/>
    <x v="9"/>
    <x v="223"/>
    <x v="121"/>
    <n v="6"/>
    <n v="18"/>
    <x v="2"/>
    <x v="1"/>
    <n v="11.78"/>
    <n v="416.74"/>
    <n v="7501.32"/>
    <x v="3"/>
    <x v="1"/>
    <x v="2"/>
  </r>
  <r>
    <n v="10980"/>
    <n v="606"/>
    <n v="2004"/>
    <x v="16"/>
    <x v="43"/>
    <x v="204"/>
    <n v="9"/>
    <n v="50"/>
    <x v="2"/>
    <x v="1"/>
    <n v="4.34"/>
    <n v="52.14"/>
    <n v="2607"/>
    <x v="6"/>
    <x v="2"/>
    <x v="2"/>
  </r>
  <r>
    <n v="10981"/>
    <n v="778"/>
    <n v="2100"/>
    <x v="6"/>
    <x v="170"/>
    <x v="88"/>
    <n v="5"/>
    <n v="35"/>
    <x v="3"/>
    <x v="4"/>
    <n v="2.2799999999999998"/>
    <n v="813.8"/>
    <n v="28483"/>
    <x v="3"/>
    <x v="1"/>
    <x v="0"/>
  </r>
  <r>
    <n v="10982"/>
    <n v="551"/>
    <n v="2099"/>
    <x v="10"/>
    <x v="157"/>
    <x v="2"/>
    <n v="6"/>
    <n v="85"/>
    <x v="1"/>
    <x v="3"/>
    <n v="31.62"/>
    <n v="652.77"/>
    <n v="55485.45"/>
    <x v="0"/>
    <x v="2"/>
    <x v="0"/>
  </r>
  <r>
    <n v="10983"/>
    <n v="775"/>
    <n v="2098"/>
    <x v="18"/>
    <x v="341"/>
    <x v="329"/>
    <n v="8"/>
    <n v="55"/>
    <x v="3"/>
    <x v="0"/>
    <n v="25.35"/>
    <n v="571.58000000000004"/>
    <n v="31436.9"/>
    <x v="0"/>
    <x v="3"/>
    <x v="0"/>
  </r>
  <r>
    <n v="10984"/>
    <n v="655"/>
    <n v="2092"/>
    <x v="8"/>
    <x v="78"/>
    <x v="320"/>
    <n v="2"/>
    <n v="80"/>
    <x v="0"/>
    <x v="2"/>
    <n v="30.97"/>
    <n v="521.23"/>
    <n v="41698.400000000001"/>
    <x v="2"/>
    <x v="2"/>
    <x v="1"/>
  </r>
  <r>
    <n v="10985"/>
    <n v="774"/>
    <n v="2097"/>
    <x v="4"/>
    <x v="51"/>
    <x v="330"/>
    <n v="9"/>
    <n v="33"/>
    <x v="2"/>
    <x v="4"/>
    <n v="30.63"/>
    <n v="828.74"/>
    <n v="27348.420000000002"/>
    <x v="1"/>
    <x v="2"/>
    <x v="0"/>
  </r>
  <r>
    <n v="10986"/>
    <n v="509"/>
    <n v="2038"/>
    <x v="17"/>
    <x v="248"/>
    <x v="223"/>
    <n v="3"/>
    <n v="98"/>
    <x v="1"/>
    <x v="4"/>
    <n v="26.62"/>
    <n v="680"/>
    <n v="66640"/>
    <x v="5"/>
    <x v="1"/>
    <x v="1"/>
  </r>
  <r>
    <n v="10987"/>
    <n v="600"/>
    <n v="2096"/>
    <x v="17"/>
    <x v="314"/>
    <x v="153"/>
    <n v="3"/>
    <n v="65"/>
    <x v="0"/>
    <x v="2"/>
    <n v="20.04"/>
    <n v="70.19"/>
    <n v="4562.3499999999995"/>
    <x v="5"/>
    <x v="1"/>
    <x v="1"/>
  </r>
  <r>
    <n v="10988"/>
    <n v="546"/>
    <n v="2020"/>
    <x v="10"/>
    <x v="249"/>
    <x v="300"/>
    <n v="3"/>
    <n v="66"/>
    <x v="0"/>
    <x v="4"/>
    <n v="35.94"/>
    <n v="44.04"/>
    <n v="2906.64"/>
    <x v="0"/>
    <x v="2"/>
    <x v="0"/>
  </r>
  <r>
    <n v="10989"/>
    <n v="622"/>
    <n v="2099"/>
    <x v="6"/>
    <x v="59"/>
    <x v="268"/>
    <n v="10"/>
    <n v="25"/>
    <x v="1"/>
    <x v="3"/>
    <n v="31.62"/>
    <n v="652.77"/>
    <n v="16319.25"/>
    <x v="3"/>
    <x v="1"/>
    <x v="0"/>
  </r>
  <r>
    <n v="10990"/>
    <n v="738"/>
    <n v="2058"/>
    <x v="4"/>
    <x v="342"/>
    <x v="236"/>
    <n v="10"/>
    <n v="24"/>
    <x v="0"/>
    <x v="4"/>
    <n v="28.48"/>
    <n v="13.34"/>
    <n v="320.15999999999997"/>
    <x v="1"/>
    <x v="2"/>
    <x v="0"/>
  </r>
  <r>
    <n v="10991"/>
    <n v="755"/>
    <n v="2023"/>
    <x v="0"/>
    <x v="94"/>
    <x v="109"/>
    <n v="3"/>
    <n v="90"/>
    <x v="2"/>
    <x v="0"/>
    <n v="39.520000000000003"/>
    <n v="618.29999999999995"/>
    <n v="55646.999999999993"/>
    <x v="0"/>
    <x v="0"/>
    <x v="0"/>
  </r>
  <r>
    <n v="10992"/>
    <n v="880"/>
    <n v="2039"/>
    <x v="2"/>
    <x v="23"/>
    <x v="113"/>
    <n v="1"/>
    <n v="46"/>
    <x v="3"/>
    <x v="4"/>
    <n v="2.69"/>
    <n v="350.51"/>
    <n v="16123.46"/>
    <x v="2"/>
    <x v="1"/>
    <x v="2"/>
  </r>
  <r>
    <n v="10993"/>
    <n v="889"/>
    <n v="2034"/>
    <x v="16"/>
    <x v="274"/>
    <x v="252"/>
    <n v="5"/>
    <n v="15"/>
    <x v="1"/>
    <x v="4"/>
    <n v="26.17"/>
    <n v="540.23"/>
    <n v="8103.4500000000007"/>
    <x v="6"/>
    <x v="2"/>
    <x v="2"/>
  </r>
  <r>
    <n v="10994"/>
    <n v="550"/>
    <n v="2041"/>
    <x v="14"/>
    <x v="130"/>
    <x v="110"/>
    <n v="5"/>
    <n v="98"/>
    <x v="1"/>
    <x v="2"/>
    <n v="48.2"/>
    <n v="792.77"/>
    <n v="77691.459999999992"/>
    <x v="6"/>
    <x v="2"/>
    <x v="1"/>
  </r>
  <r>
    <n v="10995"/>
    <n v="503"/>
    <n v="2064"/>
    <x v="8"/>
    <x v="119"/>
    <x v="259"/>
    <n v="6"/>
    <n v="64"/>
    <x v="3"/>
    <x v="3"/>
    <n v="15.41"/>
    <n v="203.79"/>
    <n v="13042.56"/>
    <x v="2"/>
    <x v="2"/>
    <x v="1"/>
  </r>
  <r>
    <n v="10996"/>
    <n v="709"/>
    <n v="2037"/>
    <x v="8"/>
    <x v="149"/>
    <x v="37"/>
    <n v="8"/>
    <n v="20"/>
    <x v="3"/>
    <x v="3"/>
    <n v="29.23"/>
    <n v="491.44"/>
    <n v="9828.7999999999993"/>
    <x v="2"/>
    <x v="2"/>
    <x v="1"/>
  </r>
  <r>
    <n v="10997"/>
    <n v="509"/>
    <n v="2022"/>
    <x v="15"/>
    <x v="117"/>
    <x v="171"/>
    <n v="10"/>
    <n v="28"/>
    <x v="2"/>
    <x v="0"/>
    <n v="47.91"/>
    <n v="756.92"/>
    <n v="21193.759999999998"/>
    <x v="2"/>
    <x v="1"/>
    <x v="0"/>
  </r>
  <r>
    <n v="10998"/>
    <n v="551"/>
    <n v="2076"/>
    <x v="15"/>
    <x v="313"/>
    <x v="331"/>
    <n v="3"/>
    <n v="37"/>
    <x v="0"/>
    <x v="0"/>
    <n v="14.63"/>
    <n v="638.11"/>
    <n v="23610.07"/>
    <x v="2"/>
    <x v="1"/>
    <x v="0"/>
  </r>
  <r>
    <n v="10999"/>
    <n v="878"/>
    <n v="2028"/>
    <x v="5"/>
    <x v="83"/>
    <x v="56"/>
    <n v="8"/>
    <n v="73"/>
    <x v="1"/>
    <x v="0"/>
    <n v="30.34"/>
    <n v="630.65"/>
    <n v="46037.45"/>
    <x v="0"/>
    <x v="2"/>
    <x v="1"/>
  </r>
  <r>
    <n v="11000"/>
    <n v="547"/>
    <n v="2006"/>
    <x v="2"/>
    <x v="272"/>
    <x v="332"/>
    <n v="5"/>
    <n v="76"/>
    <x v="1"/>
    <x v="2"/>
    <n v="41.47"/>
    <n v="541.85"/>
    <n v="41180.6"/>
    <x v="2"/>
    <x v="1"/>
    <x v="2"/>
  </r>
  <r>
    <n v="11001"/>
    <n v="871"/>
    <n v="2050"/>
    <x v="18"/>
    <x v="47"/>
    <x v="48"/>
    <n v="8"/>
    <n v="2"/>
    <x v="1"/>
    <x v="3"/>
    <n v="36.43"/>
    <n v="507.16"/>
    <n v="1014.32"/>
    <x v="0"/>
    <x v="3"/>
    <x v="0"/>
  </r>
  <r>
    <n v="11002"/>
    <n v="693"/>
    <n v="2085"/>
    <x v="4"/>
    <x v="85"/>
    <x v="109"/>
    <n v="4"/>
    <n v="50"/>
    <x v="2"/>
    <x v="2"/>
    <n v="47.56"/>
    <n v="131.63"/>
    <n v="6581.5"/>
    <x v="1"/>
    <x v="2"/>
    <x v="0"/>
  </r>
  <r>
    <n v="11003"/>
    <n v="880"/>
    <n v="2006"/>
    <x v="3"/>
    <x v="251"/>
    <x v="33"/>
    <n v="10"/>
    <n v="12"/>
    <x v="1"/>
    <x v="2"/>
    <n v="41.47"/>
    <n v="541.85"/>
    <n v="6502.2000000000007"/>
    <x v="2"/>
    <x v="2"/>
    <x v="2"/>
  </r>
  <r>
    <n v="11004"/>
    <n v="856"/>
    <n v="2078"/>
    <x v="13"/>
    <x v="277"/>
    <x v="333"/>
    <n v="1"/>
    <n v="19"/>
    <x v="1"/>
    <x v="3"/>
    <n v="14.85"/>
    <n v="517.03"/>
    <n v="9823.57"/>
    <x v="1"/>
    <x v="1"/>
    <x v="0"/>
  </r>
  <r>
    <n v="11005"/>
    <n v="873"/>
    <n v="2085"/>
    <x v="5"/>
    <x v="216"/>
    <x v="237"/>
    <n v="3"/>
    <n v="5"/>
    <x v="0"/>
    <x v="2"/>
    <n v="47.56"/>
    <n v="131.63"/>
    <n v="658.15"/>
    <x v="0"/>
    <x v="2"/>
    <x v="1"/>
  </r>
  <r>
    <n v="11006"/>
    <n v="796"/>
    <n v="2060"/>
    <x v="8"/>
    <x v="176"/>
    <x v="236"/>
    <n v="7"/>
    <n v="18"/>
    <x v="1"/>
    <x v="3"/>
    <n v="3.65"/>
    <n v="173.1"/>
    <n v="3115.7999999999997"/>
    <x v="2"/>
    <x v="2"/>
    <x v="1"/>
  </r>
  <r>
    <n v="11007"/>
    <n v="563"/>
    <n v="2085"/>
    <x v="7"/>
    <x v="141"/>
    <x v="125"/>
    <n v="10"/>
    <n v="12"/>
    <x v="2"/>
    <x v="2"/>
    <n v="47.56"/>
    <n v="131.63"/>
    <n v="1579.56"/>
    <x v="4"/>
    <x v="3"/>
    <x v="0"/>
  </r>
  <r>
    <n v="11008"/>
    <n v="655"/>
    <n v="2078"/>
    <x v="15"/>
    <x v="246"/>
    <x v="327"/>
    <n v="3"/>
    <n v="42"/>
    <x v="0"/>
    <x v="3"/>
    <n v="14.85"/>
    <n v="517.03"/>
    <n v="21715.26"/>
    <x v="2"/>
    <x v="1"/>
    <x v="0"/>
  </r>
  <r>
    <n v="11009"/>
    <n v="899"/>
    <n v="2056"/>
    <x v="13"/>
    <x v="306"/>
    <x v="334"/>
    <n v="7"/>
    <n v="78"/>
    <x v="3"/>
    <x v="1"/>
    <n v="18.559999999999999"/>
    <n v="564.01"/>
    <n v="43992.78"/>
    <x v="1"/>
    <x v="1"/>
    <x v="0"/>
  </r>
  <r>
    <n v="11010"/>
    <n v="863"/>
    <n v="2064"/>
    <x v="10"/>
    <x v="38"/>
    <x v="241"/>
    <n v="10"/>
    <n v="83"/>
    <x v="1"/>
    <x v="3"/>
    <n v="15.41"/>
    <n v="203.79"/>
    <n v="16914.57"/>
    <x v="0"/>
    <x v="2"/>
    <x v="0"/>
  </r>
  <r>
    <n v="11011"/>
    <n v="581"/>
    <n v="2089"/>
    <x v="12"/>
    <x v="11"/>
    <x v="335"/>
    <n v="9"/>
    <n v="23"/>
    <x v="2"/>
    <x v="2"/>
    <n v="19.170000000000002"/>
    <n v="513.33000000000004"/>
    <n v="11806.59"/>
    <x v="5"/>
    <x v="2"/>
    <x v="1"/>
  </r>
  <r>
    <n v="11012"/>
    <n v="820"/>
    <n v="2047"/>
    <x v="19"/>
    <x v="224"/>
    <x v="245"/>
    <n v="7"/>
    <n v="58"/>
    <x v="2"/>
    <x v="4"/>
    <n v="31.72"/>
    <n v="210.46"/>
    <n v="12206.68"/>
    <x v="7"/>
    <x v="3"/>
    <x v="1"/>
  </r>
  <r>
    <n v="11013"/>
    <n v="855"/>
    <n v="2071"/>
    <x v="7"/>
    <x v="142"/>
    <x v="295"/>
    <n v="6"/>
    <n v="31"/>
    <x v="0"/>
    <x v="4"/>
    <n v="47.19"/>
    <n v="711.14"/>
    <n v="22045.34"/>
    <x v="4"/>
    <x v="3"/>
    <x v="0"/>
  </r>
  <r>
    <n v="11014"/>
    <n v="584"/>
    <n v="2025"/>
    <x v="3"/>
    <x v="129"/>
    <x v="141"/>
    <n v="3"/>
    <n v="22"/>
    <x v="2"/>
    <x v="0"/>
    <n v="3.39"/>
    <n v="303.87"/>
    <n v="6685.14"/>
    <x v="2"/>
    <x v="2"/>
    <x v="2"/>
  </r>
  <r>
    <n v="11015"/>
    <n v="617"/>
    <n v="2100"/>
    <x v="5"/>
    <x v="247"/>
    <x v="336"/>
    <n v="1"/>
    <n v="100"/>
    <x v="1"/>
    <x v="4"/>
    <n v="2.2799999999999998"/>
    <n v="813.8"/>
    <n v="81380"/>
    <x v="0"/>
    <x v="2"/>
    <x v="1"/>
  </r>
  <r>
    <n v="11016"/>
    <n v="801"/>
    <n v="2098"/>
    <x v="3"/>
    <x v="40"/>
    <x v="103"/>
    <n v="4"/>
    <n v="16"/>
    <x v="3"/>
    <x v="0"/>
    <n v="25.35"/>
    <n v="571.58000000000004"/>
    <n v="9145.2800000000007"/>
    <x v="2"/>
    <x v="2"/>
    <x v="2"/>
  </r>
  <r>
    <n v="11017"/>
    <n v="784"/>
    <n v="2016"/>
    <x v="1"/>
    <x v="161"/>
    <x v="36"/>
    <n v="10"/>
    <n v="97"/>
    <x v="2"/>
    <x v="0"/>
    <n v="12.52"/>
    <n v="709.8"/>
    <n v="68850.599999999991"/>
    <x v="1"/>
    <x v="0"/>
    <x v="1"/>
  </r>
  <r>
    <n v="11018"/>
    <n v="624"/>
    <n v="2082"/>
    <x v="17"/>
    <x v="210"/>
    <x v="208"/>
    <n v="7"/>
    <n v="72"/>
    <x v="3"/>
    <x v="2"/>
    <n v="41.79"/>
    <n v="352.17"/>
    <n v="25356.240000000002"/>
    <x v="5"/>
    <x v="1"/>
    <x v="1"/>
  </r>
  <r>
    <n v="11019"/>
    <n v="658"/>
    <n v="2096"/>
    <x v="10"/>
    <x v="295"/>
    <x v="90"/>
    <n v="4"/>
    <n v="38"/>
    <x v="3"/>
    <x v="2"/>
    <n v="20.04"/>
    <n v="70.19"/>
    <n v="2667.22"/>
    <x v="0"/>
    <x v="2"/>
    <x v="0"/>
  </r>
  <r>
    <n v="11020"/>
    <n v="894"/>
    <n v="2055"/>
    <x v="8"/>
    <x v="280"/>
    <x v="65"/>
    <n v="1"/>
    <n v="65"/>
    <x v="2"/>
    <x v="4"/>
    <n v="26.24"/>
    <n v="312.67"/>
    <n v="20323.55"/>
    <x v="2"/>
    <x v="2"/>
    <x v="1"/>
  </r>
  <r>
    <n v="11021"/>
    <n v="721"/>
    <n v="2035"/>
    <x v="12"/>
    <x v="233"/>
    <x v="95"/>
    <n v="6"/>
    <n v="60"/>
    <x v="0"/>
    <x v="4"/>
    <n v="18.55"/>
    <n v="636.37"/>
    <n v="38182.199999999997"/>
    <x v="5"/>
    <x v="2"/>
    <x v="1"/>
  </r>
  <r>
    <n v="11022"/>
    <n v="870"/>
    <n v="2002"/>
    <x v="13"/>
    <x v="116"/>
    <x v="120"/>
    <n v="9"/>
    <n v="14"/>
    <x v="0"/>
    <x v="0"/>
    <n v="30.78"/>
    <n v="646.99"/>
    <n v="9057.86"/>
    <x v="1"/>
    <x v="1"/>
    <x v="0"/>
  </r>
  <r>
    <n v="11023"/>
    <n v="650"/>
    <n v="2052"/>
    <x v="4"/>
    <x v="155"/>
    <x v="242"/>
    <n v="2"/>
    <n v="97"/>
    <x v="1"/>
    <x v="4"/>
    <n v="47.35"/>
    <n v="665.2"/>
    <n v="64524.4"/>
    <x v="1"/>
    <x v="2"/>
    <x v="0"/>
  </r>
  <r>
    <n v="11024"/>
    <n v="874"/>
    <n v="2026"/>
    <x v="7"/>
    <x v="192"/>
    <x v="172"/>
    <n v="9"/>
    <n v="14"/>
    <x v="3"/>
    <x v="2"/>
    <n v="23.02"/>
    <n v="858.57"/>
    <n v="12019.980000000001"/>
    <x v="4"/>
    <x v="3"/>
    <x v="0"/>
  </r>
  <r>
    <n v="11025"/>
    <n v="577"/>
    <n v="2041"/>
    <x v="0"/>
    <x v="206"/>
    <x v="248"/>
    <n v="2"/>
    <n v="1"/>
    <x v="3"/>
    <x v="2"/>
    <n v="48.2"/>
    <n v="792.77"/>
    <n v="792.77"/>
    <x v="0"/>
    <x v="0"/>
    <x v="0"/>
  </r>
  <r>
    <n v="11026"/>
    <n v="826"/>
    <n v="2072"/>
    <x v="13"/>
    <x v="148"/>
    <x v="230"/>
    <n v="3"/>
    <n v="93"/>
    <x v="0"/>
    <x v="1"/>
    <n v="26.22"/>
    <n v="576.57000000000005"/>
    <n v="53621.01"/>
    <x v="1"/>
    <x v="1"/>
    <x v="0"/>
  </r>
  <r>
    <n v="11027"/>
    <n v="680"/>
    <n v="2090"/>
    <x v="2"/>
    <x v="324"/>
    <x v="248"/>
    <n v="10"/>
    <n v="19"/>
    <x v="2"/>
    <x v="2"/>
    <n v="38.729999999999997"/>
    <n v="913.68"/>
    <n v="17359.919999999998"/>
    <x v="2"/>
    <x v="1"/>
    <x v="2"/>
  </r>
  <r>
    <n v="11028"/>
    <n v="847"/>
    <n v="2095"/>
    <x v="16"/>
    <x v="321"/>
    <x v="35"/>
    <n v="3"/>
    <n v="62"/>
    <x v="2"/>
    <x v="0"/>
    <n v="38.81"/>
    <n v="761.63"/>
    <n v="47221.06"/>
    <x v="6"/>
    <x v="2"/>
    <x v="2"/>
  </r>
  <r>
    <n v="11029"/>
    <n v="809"/>
    <n v="2073"/>
    <x v="10"/>
    <x v="248"/>
    <x v="99"/>
    <n v="5"/>
    <n v="70"/>
    <x v="2"/>
    <x v="1"/>
    <n v="11.78"/>
    <n v="416.74"/>
    <n v="29171.8"/>
    <x v="0"/>
    <x v="2"/>
    <x v="0"/>
  </r>
  <r>
    <n v="11030"/>
    <n v="620"/>
    <n v="2083"/>
    <x v="4"/>
    <x v="324"/>
    <x v="8"/>
    <n v="7"/>
    <n v="36"/>
    <x v="3"/>
    <x v="2"/>
    <n v="13.79"/>
    <n v="843.82"/>
    <n v="30377.52"/>
    <x v="1"/>
    <x v="2"/>
    <x v="0"/>
  </r>
  <r>
    <n v="11031"/>
    <n v="606"/>
    <n v="2064"/>
    <x v="1"/>
    <x v="171"/>
    <x v="194"/>
    <n v="6"/>
    <n v="16"/>
    <x v="0"/>
    <x v="3"/>
    <n v="15.41"/>
    <n v="203.79"/>
    <n v="3260.64"/>
    <x v="1"/>
    <x v="0"/>
    <x v="1"/>
  </r>
  <r>
    <n v="11032"/>
    <n v="665"/>
    <n v="2076"/>
    <x v="3"/>
    <x v="245"/>
    <x v="270"/>
    <n v="10"/>
    <n v="81"/>
    <x v="2"/>
    <x v="0"/>
    <n v="14.63"/>
    <n v="638.11"/>
    <n v="51686.91"/>
    <x v="2"/>
    <x v="2"/>
    <x v="2"/>
  </r>
  <r>
    <n v="11033"/>
    <n v="794"/>
    <n v="2012"/>
    <x v="12"/>
    <x v="2"/>
    <x v="160"/>
    <n v="8"/>
    <n v="45"/>
    <x v="2"/>
    <x v="3"/>
    <n v="34.93"/>
    <n v="327.92"/>
    <n v="14756.400000000001"/>
    <x v="5"/>
    <x v="2"/>
    <x v="1"/>
  </r>
  <r>
    <n v="11034"/>
    <n v="755"/>
    <n v="2085"/>
    <x v="11"/>
    <x v="281"/>
    <x v="282"/>
    <n v="2"/>
    <n v="90"/>
    <x v="2"/>
    <x v="2"/>
    <n v="47.56"/>
    <n v="131.63"/>
    <n v="11846.699999999999"/>
    <x v="2"/>
    <x v="1"/>
    <x v="1"/>
  </r>
  <r>
    <n v="11035"/>
    <n v="734"/>
    <n v="2055"/>
    <x v="8"/>
    <x v="115"/>
    <x v="30"/>
    <n v="1"/>
    <n v="78"/>
    <x v="2"/>
    <x v="4"/>
    <n v="26.24"/>
    <n v="312.67"/>
    <n v="24388.260000000002"/>
    <x v="2"/>
    <x v="2"/>
    <x v="1"/>
  </r>
  <r>
    <n v="11036"/>
    <n v="785"/>
    <n v="2013"/>
    <x v="5"/>
    <x v="135"/>
    <x v="266"/>
    <n v="7"/>
    <n v="4"/>
    <x v="1"/>
    <x v="0"/>
    <n v="19.53"/>
    <n v="563.69000000000005"/>
    <n v="2254.7600000000002"/>
    <x v="0"/>
    <x v="2"/>
    <x v="1"/>
  </r>
  <r>
    <n v="11037"/>
    <n v="601"/>
    <n v="2078"/>
    <x v="18"/>
    <x v="247"/>
    <x v="89"/>
    <n v="6"/>
    <n v="91"/>
    <x v="3"/>
    <x v="3"/>
    <n v="14.85"/>
    <n v="517.03"/>
    <n v="47049.729999999996"/>
    <x v="0"/>
    <x v="3"/>
    <x v="0"/>
  </r>
  <r>
    <n v="11038"/>
    <n v="738"/>
    <n v="2009"/>
    <x v="6"/>
    <x v="35"/>
    <x v="337"/>
    <n v="10"/>
    <n v="92"/>
    <x v="2"/>
    <x v="3"/>
    <n v="16.82"/>
    <n v="376.01"/>
    <n v="34592.92"/>
    <x v="3"/>
    <x v="1"/>
    <x v="0"/>
  </r>
  <r>
    <n v="11039"/>
    <n v="730"/>
    <n v="2053"/>
    <x v="19"/>
    <x v="343"/>
    <x v="200"/>
    <n v="10"/>
    <n v="93"/>
    <x v="0"/>
    <x v="2"/>
    <n v="34.54"/>
    <n v="162.21"/>
    <n v="15085.53"/>
    <x v="7"/>
    <x v="3"/>
    <x v="1"/>
  </r>
  <r>
    <n v="11040"/>
    <n v="615"/>
    <n v="2084"/>
    <x v="4"/>
    <x v="344"/>
    <x v="242"/>
    <n v="1"/>
    <n v="37"/>
    <x v="3"/>
    <x v="3"/>
    <n v="14.27"/>
    <n v="223.58"/>
    <n v="8272.4600000000009"/>
    <x v="1"/>
    <x v="2"/>
    <x v="0"/>
  </r>
  <r>
    <n v="11041"/>
    <n v="838"/>
    <n v="2068"/>
    <x v="13"/>
    <x v="79"/>
    <x v="99"/>
    <n v="6"/>
    <n v="96"/>
    <x v="2"/>
    <x v="4"/>
    <n v="47.08"/>
    <n v="501.03"/>
    <n v="48098.879999999997"/>
    <x v="1"/>
    <x v="1"/>
    <x v="0"/>
  </r>
  <r>
    <n v="11042"/>
    <n v="656"/>
    <n v="2060"/>
    <x v="9"/>
    <x v="252"/>
    <x v="246"/>
    <n v="7"/>
    <n v="43"/>
    <x v="0"/>
    <x v="3"/>
    <n v="3.65"/>
    <n v="173.1"/>
    <n v="7443.3"/>
    <x v="3"/>
    <x v="1"/>
    <x v="2"/>
  </r>
  <r>
    <n v="11043"/>
    <n v="653"/>
    <n v="2033"/>
    <x v="16"/>
    <x v="10"/>
    <x v="74"/>
    <n v="8"/>
    <n v="59"/>
    <x v="1"/>
    <x v="2"/>
    <n v="8.33"/>
    <n v="629.69000000000005"/>
    <n v="37151.710000000006"/>
    <x v="6"/>
    <x v="2"/>
    <x v="2"/>
  </r>
  <r>
    <n v="11044"/>
    <n v="859"/>
    <n v="2072"/>
    <x v="2"/>
    <x v="214"/>
    <x v="66"/>
    <n v="3"/>
    <n v="43"/>
    <x v="3"/>
    <x v="1"/>
    <n v="26.22"/>
    <n v="576.57000000000005"/>
    <n v="24792.510000000002"/>
    <x v="2"/>
    <x v="1"/>
    <x v="2"/>
  </r>
  <r>
    <n v="11045"/>
    <n v="773"/>
    <n v="2067"/>
    <x v="18"/>
    <x v="68"/>
    <x v="67"/>
    <n v="9"/>
    <n v="87"/>
    <x v="2"/>
    <x v="1"/>
    <n v="24.79"/>
    <n v="48.68"/>
    <n v="4235.16"/>
    <x v="0"/>
    <x v="3"/>
    <x v="0"/>
  </r>
  <r>
    <n v="11046"/>
    <n v="507"/>
    <n v="2042"/>
    <x v="16"/>
    <x v="282"/>
    <x v="9"/>
    <n v="6"/>
    <n v="83"/>
    <x v="0"/>
    <x v="4"/>
    <n v="46.87"/>
    <n v="313.88"/>
    <n v="26052.04"/>
    <x v="6"/>
    <x v="2"/>
    <x v="2"/>
  </r>
  <r>
    <n v="11047"/>
    <n v="881"/>
    <n v="2026"/>
    <x v="4"/>
    <x v="320"/>
    <x v="331"/>
    <n v="4"/>
    <n v="30"/>
    <x v="0"/>
    <x v="2"/>
    <n v="23.02"/>
    <n v="858.57"/>
    <n v="25757.100000000002"/>
    <x v="1"/>
    <x v="2"/>
    <x v="0"/>
  </r>
  <r>
    <n v="11048"/>
    <n v="790"/>
    <n v="2036"/>
    <x v="19"/>
    <x v="256"/>
    <x v="296"/>
    <n v="1"/>
    <n v="46"/>
    <x v="3"/>
    <x v="2"/>
    <n v="39.39"/>
    <n v="745.86"/>
    <n v="34309.56"/>
    <x v="7"/>
    <x v="3"/>
    <x v="1"/>
  </r>
  <r>
    <n v="11049"/>
    <n v="641"/>
    <n v="2021"/>
    <x v="3"/>
    <x v="56"/>
    <x v="26"/>
    <n v="4"/>
    <n v="40"/>
    <x v="3"/>
    <x v="1"/>
    <n v="18.77"/>
    <n v="259.72000000000003"/>
    <n v="10388.800000000001"/>
    <x v="2"/>
    <x v="2"/>
    <x v="2"/>
  </r>
  <r>
    <n v="11050"/>
    <n v="623"/>
    <n v="2086"/>
    <x v="3"/>
    <x v="50"/>
    <x v="0"/>
    <n v="3"/>
    <n v="64"/>
    <x v="1"/>
    <x v="4"/>
    <n v="27.73"/>
    <n v="417.42"/>
    <n v="26714.880000000001"/>
    <x v="2"/>
    <x v="2"/>
    <x v="2"/>
  </r>
  <r>
    <n v="11051"/>
    <n v="749"/>
    <n v="2035"/>
    <x v="5"/>
    <x v="332"/>
    <x v="72"/>
    <n v="2"/>
    <n v="83"/>
    <x v="2"/>
    <x v="4"/>
    <n v="18.55"/>
    <n v="636.37"/>
    <n v="52818.71"/>
    <x v="0"/>
    <x v="2"/>
    <x v="1"/>
  </r>
  <r>
    <n v="11052"/>
    <n v="683"/>
    <n v="2013"/>
    <x v="15"/>
    <x v="160"/>
    <x v="219"/>
    <n v="2"/>
    <n v="44"/>
    <x v="1"/>
    <x v="0"/>
    <n v="19.53"/>
    <n v="563.69000000000005"/>
    <n v="24802.36"/>
    <x v="2"/>
    <x v="1"/>
    <x v="0"/>
  </r>
  <r>
    <n v="11053"/>
    <n v="718"/>
    <n v="2090"/>
    <x v="13"/>
    <x v="96"/>
    <x v="235"/>
    <n v="7"/>
    <n v="79"/>
    <x v="3"/>
    <x v="2"/>
    <n v="38.729999999999997"/>
    <n v="913.68"/>
    <n v="72180.72"/>
    <x v="1"/>
    <x v="1"/>
    <x v="0"/>
  </r>
  <r>
    <n v="11054"/>
    <n v="609"/>
    <n v="2028"/>
    <x v="18"/>
    <x v="170"/>
    <x v="141"/>
    <n v="10"/>
    <n v="97"/>
    <x v="0"/>
    <x v="0"/>
    <n v="30.34"/>
    <n v="630.65"/>
    <n v="61173.049999999996"/>
    <x v="0"/>
    <x v="3"/>
    <x v="0"/>
  </r>
  <r>
    <n v="11055"/>
    <n v="747"/>
    <n v="2088"/>
    <x v="1"/>
    <x v="332"/>
    <x v="51"/>
    <n v="10"/>
    <n v="88"/>
    <x v="3"/>
    <x v="0"/>
    <n v="27.71"/>
    <n v="820.21"/>
    <n v="72178.48000000001"/>
    <x v="1"/>
    <x v="0"/>
    <x v="1"/>
  </r>
  <r>
    <n v="11056"/>
    <n v="762"/>
    <n v="2100"/>
    <x v="11"/>
    <x v="288"/>
    <x v="56"/>
    <n v="7"/>
    <n v="77"/>
    <x v="0"/>
    <x v="4"/>
    <n v="2.2799999999999998"/>
    <n v="813.8"/>
    <n v="62662.6"/>
    <x v="2"/>
    <x v="1"/>
    <x v="1"/>
  </r>
  <r>
    <n v="11057"/>
    <n v="874"/>
    <n v="2096"/>
    <x v="9"/>
    <x v="20"/>
    <x v="338"/>
    <n v="6"/>
    <n v="43"/>
    <x v="1"/>
    <x v="2"/>
    <n v="20.04"/>
    <n v="70.19"/>
    <n v="3018.17"/>
    <x v="3"/>
    <x v="1"/>
    <x v="2"/>
  </r>
  <r>
    <n v="11058"/>
    <n v="768"/>
    <n v="2009"/>
    <x v="5"/>
    <x v="178"/>
    <x v="245"/>
    <n v="8"/>
    <n v="47"/>
    <x v="0"/>
    <x v="3"/>
    <n v="16.82"/>
    <n v="376.01"/>
    <n v="17672.47"/>
    <x v="0"/>
    <x v="2"/>
    <x v="1"/>
  </r>
  <r>
    <n v="11059"/>
    <n v="663"/>
    <n v="2048"/>
    <x v="18"/>
    <x v="345"/>
    <x v="272"/>
    <n v="7"/>
    <n v="67"/>
    <x v="3"/>
    <x v="2"/>
    <n v="6.74"/>
    <n v="864.57"/>
    <n v="57926.19"/>
    <x v="0"/>
    <x v="3"/>
    <x v="0"/>
  </r>
  <r>
    <n v="11060"/>
    <n v="566"/>
    <n v="2024"/>
    <x v="17"/>
    <x v="63"/>
    <x v="141"/>
    <n v="7"/>
    <n v="81"/>
    <x v="0"/>
    <x v="0"/>
    <n v="21.16"/>
    <n v="291.08"/>
    <n v="23577.48"/>
    <x v="5"/>
    <x v="1"/>
    <x v="1"/>
  </r>
  <r>
    <n v="11061"/>
    <n v="771"/>
    <n v="2051"/>
    <x v="12"/>
    <x v="309"/>
    <x v="58"/>
    <n v="2"/>
    <n v="80"/>
    <x v="2"/>
    <x v="1"/>
    <n v="47.82"/>
    <n v="376.19"/>
    <n v="30095.200000000001"/>
    <x v="5"/>
    <x v="2"/>
    <x v="1"/>
  </r>
  <r>
    <n v="11062"/>
    <n v="697"/>
    <n v="2056"/>
    <x v="6"/>
    <x v="346"/>
    <x v="339"/>
    <n v="7"/>
    <n v="67"/>
    <x v="1"/>
    <x v="1"/>
    <n v="18.559999999999999"/>
    <n v="564.01"/>
    <n v="37788.67"/>
    <x v="3"/>
    <x v="1"/>
    <x v="0"/>
  </r>
  <r>
    <n v="11063"/>
    <n v="560"/>
    <n v="2087"/>
    <x v="14"/>
    <x v="72"/>
    <x v="121"/>
    <n v="2"/>
    <n v="71"/>
    <x v="1"/>
    <x v="1"/>
    <n v="35.82"/>
    <n v="47.38"/>
    <n v="3363.98"/>
    <x v="6"/>
    <x v="2"/>
    <x v="1"/>
  </r>
  <r>
    <n v="11064"/>
    <n v="776"/>
    <n v="2048"/>
    <x v="18"/>
    <x v="218"/>
    <x v="216"/>
    <n v="8"/>
    <n v="1"/>
    <x v="3"/>
    <x v="2"/>
    <n v="6.74"/>
    <n v="864.57"/>
    <n v="864.57"/>
    <x v="0"/>
    <x v="3"/>
    <x v="0"/>
  </r>
  <r>
    <n v="11065"/>
    <n v="777"/>
    <n v="2100"/>
    <x v="17"/>
    <x v="154"/>
    <x v="109"/>
    <n v="10"/>
    <n v="56"/>
    <x v="1"/>
    <x v="4"/>
    <n v="2.2799999999999998"/>
    <n v="813.8"/>
    <n v="45572.799999999996"/>
    <x v="5"/>
    <x v="1"/>
    <x v="1"/>
  </r>
  <r>
    <n v="11066"/>
    <n v="547"/>
    <n v="2083"/>
    <x v="15"/>
    <x v="54"/>
    <x v="38"/>
    <n v="7"/>
    <n v="85"/>
    <x v="1"/>
    <x v="2"/>
    <n v="13.79"/>
    <n v="843.82"/>
    <n v="71724.7"/>
    <x v="2"/>
    <x v="1"/>
    <x v="0"/>
  </r>
  <r>
    <n v="11067"/>
    <n v="584"/>
    <n v="2029"/>
    <x v="16"/>
    <x v="259"/>
    <x v="90"/>
    <n v="2"/>
    <n v="68"/>
    <x v="3"/>
    <x v="3"/>
    <n v="9.19"/>
    <n v="357.06"/>
    <n v="24280.080000000002"/>
    <x v="6"/>
    <x v="2"/>
    <x v="2"/>
  </r>
  <r>
    <n v="11068"/>
    <n v="539"/>
    <n v="2074"/>
    <x v="16"/>
    <x v="228"/>
    <x v="239"/>
    <n v="4"/>
    <n v="81"/>
    <x v="1"/>
    <x v="0"/>
    <n v="41.45"/>
    <n v="650.42999999999995"/>
    <n v="52684.829999999994"/>
    <x v="6"/>
    <x v="2"/>
    <x v="2"/>
  </r>
  <r>
    <n v="11069"/>
    <n v="861"/>
    <n v="2001"/>
    <x v="14"/>
    <x v="52"/>
    <x v="103"/>
    <n v="6"/>
    <n v="39"/>
    <x v="3"/>
    <x v="1"/>
    <n v="49.85"/>
    <n v="471.41"/>
    <n v="18384.990000000002"/>
    <x v="6"/>
    <x v="2"/>
    <x v="1"/>
  </r>
  <r>
    <n v="11070"/>
    <n v="533"/>
    <n v="2034"/>
    <x v="12"/>
    <x v="347"/>
    <x v="86"/>
    <n v="10"/>
    <n v="74"/>
    <x v="3"/>
    <x v="4"/>
    <n v="26.17"/>
    <n v="540.23"/>
    <n v="39977.020000000004"/>
    <x v="5"/>
    <x v="2"/>
    <x v="1"/>
  </r>
  <r>
    <n v="11071"/>
    <n v="709"/>
    <n v="2081"/>
    <x v="5"/>
    <x v="329"/>
    <x v="319"/>
    <n v="9"/>
    <n v="26"/>
    <x v="3"/>
    <x v="3"/>
    <n v="20.72"/>
    <n v="668.31"/>
    <n v="17376.059999999998"/>
    <x v="0"/>
    <x v="2"/>
    <x v="1"/>
  </r>
  <r>
    <n v="11072"/>
    <n v="669"/>
    <n v="2026"/>
    <x v="19"/>
    <x v="203"/>
    <x v="157"/>
    <n v="1"/>
    <n v="80"/>
    <x v="2"/>
    <x v="2"/>
    <n v="23.02"/>
    <n v="858.57"/>
    <n v="68685.600000000006"/>
    <x v="7"/>
    <x v="3"/>
    <x v="1"/>
  </r>
  <r>
    <n v="11073"/>
    <n v="847"/>
    <n v="2024"/>
    <x v="7"/>
    <x v="206"/>
    <x v="306"/>
    <n v="9"/>
    <n v="19"/>
    <x v="1"/>
    <x v="0"/>
    <n v="21.16"/>
    <n v="291.08"/>
    <n v="5530.5199999999995"/>
    <x v="4"/>
    <x v="3"/>
    <x v="0"/>
  </r>
  <r>
    <n v="11074"/>
    <n v="846"/>
    <n v="2008"/>
    <x v="14"/>
    <x v="318"/>
    <x v="206"/>
    <n v="6"/>
    <n v="87"/>
    <x v="1"/>
    <x v="3"/>
    <n v="8.5"/>
    <n v="899.21"/>
    <n v="78231.27"/>
    <x v="6"/>
    <x v="2"/>
    <x v="1"/>
  </r>
  <r>
    <n v="11075"/>
    <n v="514"/>
    <n v="2020"/>
    <x v="1"/>
    <x v="287"/>
    <x v="340"/>
    <n v="7"/>
    <n v="38"/>
    <x v="1"/>
    <x v="4"/>
    <n v="35.94"/>
    <n v="44.04"/>
    <n v="1673.52"/>
    <x v="1"/>
    <x v="0"/>
    <x v="1"/>
  </r>
  <r>
    <n v="11076"/>
    <n v="839"/>
    <n v="2009"/>
    <x v="1"/>
    <x v="23"/>
    <x v="105"/>
    <n v="4"/>
    <n v="34"/>
    <x v="2"/>
    <x v="3"/>
    <n v="16.82"/>
    <n v="376.01"/>
    <n v="12784.34"/>
    <x v="1"/>
    <x v="0"/>
    <x v="1"/>
  </r>
  <r>
    <n v="11077"/>
    <n v="754"/>
    <n v="2085"/>
    <x v="7"/>
    <x v="163"/>
    <x v="269"/>
    <n v="2"/>
    <n v="86"/>
    <x v="2"/>
    <x v="2"/>
    <n v="47.56"/>
    <n v="131.63"/>
    <n v="11320.18"/>
    <x v="4"/>
    <x v="3"/>
    <x v="0"/>
  </r>
  <r>
    <n v="11078"/>
    <n v="547"/>
    <n v="2074"/>
    <x v="16"/>
    <x v="103"/>
    <x v="134"/>
    <n v="3"/>
    <n v="84"/>
    <x v="0"/>
    <x v="0"/>
    <n v="41.45"/>
    <n v="650.42999999999995"/>
    <n v="54636.119999999995"/>
    <x v="6"/>
    <x v="2"/>
    <x v="2"/>
  </r>
  <r>
    <n v="11079"/>
    <n v="668"/>
    <n v="2021"/>
    <x v="6"/>
    <x v="92"/>
    <x v="7"/>
    <n v="2"/>
    <n v="73"/>
    <x v="1"/>
    <x v="1"/>
    <n v="18.77"/>
    <n v="259.72000000000003"/>
    <n v="18959.560000000001"/>
    <x v="3"/>
    <x v="1"/>
    <x v="0"/>
  </r>
  <r>
    <n v="11080"/>
    <n v="715"/>
    <n v="2032"/>
    <x v="5"/>
    <x v="278"/>
    <x v="183"/>
    <n v="9"/>
    <n v="67"/>
    <x v="0"/>
    <x v="1"/>
    <n v="3.81"/>
    <n v="682.41"/>
    <n v="45721.47"/>
    <x v="0"/>
    <x v="2"/>
    <x v="1"/>
  </r>
  <r>
    <n v="11081"/>
    <n v="763"/>
    <n v="2030"/>
    <x v="9"/>
    <x v="249"/>
    <x v="263"/>
    <n v="2"/>
    <n v="31"/>
    <x v="2"/>
    <x v="0"/>
    <n v="27.52"/>
    <n v="537.03"/>
    <n v="16647.93"/>
    <x v="3"/>
    <x v="1"/>
    <x v="2"/>
  </r>
  <r>
    <n v="11082"/>
    <n v="539"/>
    <n v="2087"/>
    <x v="15"/>
    <x v="10"/>
    <x v="305"/>
    <n v="7"/>
    <n v="19"/>
    <x v="0"/>
    <x v="1"/>
    <n v="35.82"/>
    <n v="47.38"/>
    <n v="900.22"/>
    <x v="2"/>
    <x v="1"/>
    <x v="0"/>
  </r>
  <r>
    <n v="11083"/>
    <n v="800"/>
    <n v="2026"/>
    <x v="11"/>
    <x v="187"/>
    <x v="154"/>
    <n v="5"/>
    <n v="83"/>
    <x v="3"/>
    <x v="2"/>
    <n v="23.02"/>
    <n v="858.57"/>
    <n v="71261.31"/>
    <x v="2"/>
    <x v="1"/>
    <x v="1"/>
  </r>
  <r>
    <n v="11084"/>
    <n v="790"/>
    <n v="2048"/>
    <x v="4"/>
    <x v="240"/>
    <x v="247"/>
    <n v="6"/>
    <n v="82"/>
    <x v="0"/>
    <x v="2"/>
    <n v="6.74"/>
    <n v="864.57"/>
    <n v="70894.740000000005"/>
    <x v="1"/>
    <x v="2"/>
    <x v="0"/>
  </r>
  <r>
    <n v="11085"/>
    <n v="764"/>
    <n v="2091"/>
    <x v="12"/>
    <x v="165"/>
    <x v="102"/>
    <n v="4"/>
    <n v="53"/>
    <x v="3"/>
    <x v="3"/>
    <n v="10.41"/>
    <n v="271.61"/>
    <n v="14395.33"/>
    <x v="5"/>
    <x v="2"/>
    <x v="1"/>
  </r>
  <r>
    <n v="11086"/>
    <n v="806"/>
    <n v="2034"/>
    <x v="11"/>
    <x v="116"/>
    <x v="237"/>
    <n v="10"/>
    <n v="47"/>
    <x v="1"/>
    <x v="4"/>
    <n v="26.17"/>
    <n v="540.23"/>
    <n v="25390.81"/>
    <x v="2"/>
    <x v="1"/>
    <x v="1"/>
  </r>
  <r>
    <n v="11087"/>
    <n v="765"/>
    <n v="2035"/>
    <x v="6"/>
    <x v="11"/>
    <x v="341"/>
    <n v="7"/>
    <n v="85"/>
    <x v="2"/>
    <x v="4"/>
    <n v="18.55"/>
    <n v="636.37"/>
    <n v="54091.45"/>
    <x v="3"/>
    <x v="1"/>
    <x v="0"/>
  </r>
  <r>
    <n v="11088"/>
    <n v="687"/>
    <n v="2046"/>
    <x v="18"/>
    <x v="184"/>
    <x v="227"/>
    <n v="10"/>
    <n v="46"/>
    <x v="3"/>
    <x v="4"/>
    <n v="38.130000000000003"/>
    <n v="649.34"/>
    <n v="29869.640000000003"/>
    <x v="0"/>
    <x v="3"/>
    <x v="0"/>
  </r>
  <r>
    <n v="11089"/>
    <n v="733"/>
    <n v="2086"/>
    <x v="8"/>
    <x v="229"/>
    <x v="79"/>
    <n v="4"/>
    <n v="7"/>
    <x v="1"/>
    <x v="4"/>
    <n v="27.73"/>
    <n v="417.42"/>
    <n v="2921.94"/>
    <x v="2"/>
    <x v="2"/>
    <x v="1"/>
  </r>
  <r>
    <n v="11090"/>
    <n v="804"/>
    <n v="2081"/>
    <x v="5"/>
    <x v="337"/>
    <x v="44"/>
    <n v="5"/>
    <n v="10"/>
    <x v="3"/>
    <x v="3"/>
    <n v="20.72"/>
    <n v="668.31"/>
    <n v="6683.0999999999995"/>
    <x v="0"/>
    <x v="2"/>
    <x v="1"/>
  </r>
  <r>
    <n v="11091"/>
    <n v="537"/>
    <n v="2059"/>
    <x v="5"/>
    <x v="348"/>
    <x v="28"/>
    <n v="2"/>
    <n v="19"/>
    <x v="2"/>
    <x v="1"/>
    <n v="17.760000000000002"/>
    <n v="279.55"/>
    <n v="5311.45"/>
    <x v="0"/>
    <x v="2"/>
    <x v="1"/>
  </r>
  <r>
    <n v="11092"/>
    <n v="563"/>
    <n v="2075"/>
    <x v="6"/>
    <x v="304"/>
    <x v="17"/>
    <n v="4"/>
    <n v="56"/>
    <x v="1"/>
    <x v="4"/>
    <n v="16.57"/>
    <n v="429.9"/>
    <n v="24074.399999999998"/>
    <x v="3"/>
    <x v="1"/>
    <x v="0"/>
  </r>
  <r>
    <n v="11093"/>
    <n v="634"/>
    <n v="2078"/>
    <x v="5"/>
    <x v="216"/>
    <x v="120"/>
    <n v="2"/>
    <n v="33"/>
    <x v="0"/>
    <x v="3"/>
    <n v="14.85"/>
    <n v="517.03"/>
    <n v="17061.989999999998"/>
    <x v="0"/>
    <x v="2"/>
    <x v="1"/>
  </r>
  <r>
    <n v="11094"/>
    <n v="889"/>
    <n v="2006"/>
    <x v="10"/>
    <x v="82"/>
    <x v="152"/>
    <n v="6"/>
    <n v="85"/>
    <x v="1"/>
    <x v="2"/>
    <n v="41.47"/>
    <n v="541.85"/>
    <n v="46057.25"/>
    <x v="0"/>
    <x v="2"/>
    <x v="0"/>
  </r>
  <r>
    <n v="11095"/>
    <n v="884"/>
    <n v="2044"/>
    <x v="2"/>
    <x v="349"/>
    <x v="288"/>
    <n v="9"/>
    <n v="53"/>
    <x v="0"/>
    <x v="3"/>
    <n v="11.44"/>
    <n v="939.99"/>
    <n v="49819.47"/>
    <x v="2"/>
    <x v="1"/>
    <x v="2"/>
  </r>
  <r>
    <n v="11096"/>
    <n v="528"/>
    <n v="2066"/>
    <x v="4"/>
    <x v="223"/>
    <x v="16"/>
    <n v="7"/>
    <n v="46"/>
    <x v="3"/>
    <x v="1"/>
    <n v="43.64"/>
    <n v="832.31"/>
    <n v="38286.259999999995"/>
    <x v="1"/>
    <x v="2"/>
    <x v="0"/>
  </r>
  <r>
    <n v="11097"/>
    <n v="538"/>
    <n v="2097"/>
    <x v="7"/>
    <x v="256"/>
    <x v="181"/>
    <n v="6"/>
    <n v="22"/>
    <x v="2"/>
    <x v="4"/>
    <n v="30.63"/>
    <n v="828.74"/>
    <n v="18232.28"/>
    <x v="4"/>
    <x v="3"/>
    <x v="0"/>
  </r>
  <r>
    <n v="11098"/>
    <n v="602"/>
    <n v="2081"/>
    <x v="14"/>
    <x v="221"/>
    <x v="236"/>
    <n v="4"/>
    <n v="96"/>
    <x v="2"/>
    <x v="3"/>
    <n v="20.72"/>
    <n v="668.31"/>
    <n v="64157.759999999995"/>
    <x v="6"/>
    <x v="2"/>
    <x v="1"/>
  </r>
  <r>
    <n v="11099"/>
    <n v="862"/>
    <n v="2073"/>
    <x v="8"/>
    <x v="126"/>
    <x v="27"/>
    <n v="5"/>
    <n v="80"/>
    <x v="3"/>
    <x v="1"/>
    <n v="11.78"/>
    <n v="416.74"/>
    <n v="33339.199999999997"/>
    <x v="2"/>
    <x v="2"/>
    <x v="1"/>
  </r>
  <r>
    <n v="11100"/>
    <n v="671"/>
    <n v="2025"/>
    <x v="7"/>
    <x v="237"/>
    <x v="316"/>
    <n v="6"/>
    <n v="77"/>
    <x v="1"/>
    <x v="0"/>
    <n v="3.39"/>
    <n v="303.87"/>
    <n v="23397.99"/>
    <x v="4"/>
    <x v="3"/>
    <x v="0"/>
  </r>
  <r>
    <n v="11101"/>
    <n v="701"/>
    <n v="2047"/>
    <x v="4"/>
    <x v="97"/>
    <x v="179"/>
    <n v="9"/>
    <n v="89"/>
    <x v="0"/>
    <x v="4"/>
    <n v="31.72"/>
    <n v="210.46"/>
    <n v="18730.940000000002"/>
    <x v="1"/>
    <x v="2"/>
    <x v="0"/>
  </r>
  <r>
    <n v="11102"/>
    <n v="539"/>
    <n v="2087"/>
    <x v="9"/>
    <x v="27"/>
    <x v="191"/>
    <n v="5"/>
    <n v="88"/>
    <x v="2"/>
    <x v="1"/>
    <n v="35.82"/>
    <n v="47.38"/>
    <n v="4169.4400000000005"/>
    <x v="3"/>
    <x v="1"/>
    <x v="2"/>
  </r>
  <r>
    <n v="11103"/>
    <n v="575"/>
    <n v="2062"/>
    <x v="2"/>
    <x v="350"/>
    <x v="71"/>
    <n v="9"/>
    <n v="68"/>
    <x v="1"/>
    <x v="1"/>
    <n v="32.479999999999997"/>
    <n v="409.49"/>
    <n v="27845.32"/>
    <x v="2"/>
    <x v="1"/>
    <x v="2"/>
  </r>
  <r>
    <n v="11104"/>
    <n v="579"/>
    <n v="2030"/>
    <x v="1"/>
    <x v="59"/>
    <x v="172"/>
    <n v="1"/>
    <n v="26"/>
    <x v="0"/>
    <x v="0"/>
    <n v="27.52"/>
    <n v="537.03"/>
    <n v="13962.779999999999"/>
    <x v="1"/>
    <x v="0"/>
    <x v="1"/>
  </r>
  <r>
    <n v="11105"/>
    <n v="731"/>
    <n v="2026"/>
    <x v="3"/>
    <x v="116"/>
    <x v="31"/>
    <n v="3"/>
    <n v="98"/>
    <x v="0"/>
    <x v="2"/>
    <n v="23.02"/>
    <n v="858.57"/>
    <n v="84139.86"/>
    <x v="2"/>
    <x v="2"/>
    <x v="2"/>
  </r>
  <r>
    <n v="11106"/>
    <n v="684"/>
    <n v="2053"/>
    <x v="7"/>
    <x v="158"/>
    <x v="164"/>
    <n v="1"/>
    <n v="5"/>
    <x v="2"/>
    <x v="2"/>
    <n v="34.54"/>
    <n v="162.21"/>
    <n v="811.05000000000007"/>
    <x v="4"/>
    <x v="3"/>
    <x v="0"/>
  </r>
  <r>
    <n v="11107"/>
    <n v="724"/>
    <n v="2060"/>
    <x v="18"/>
    <x v="123"/>
    <x v="210"/>
    <n v="10"/>
    <n v="93"/>
    <x v="3"/>
    <x v="3"/>
    <n v="3.65"/>
    <n v="173.1"/>
    <n v="16098.3"/>
    <x v="0"/>
    <x v="3"/>
    <x v="0"/>
  </r>
  <r>
    <n v="11108"/>
    <n v="746"/>
    <n v="2021"/>
    <x v="12"/>
    <x v="266"/>
    <x v="111"/>
    <n v="5"/>
    <n v="44"/>
    <x v="0"/>
    <x v="1"/>
    <n v="18.77"/>
    <n v="259.72000000000003"/>
    <n v="11427.68"/>
    <x v="5"/>
    <x v="2"/>
    <x v="1"/>
  </r>
  <r>
    <n v="11109"/>
    <n v="620"/>
    <n v="2028"/>
    <x v="13"/>
    <x v="348"/>
    <x v="18"/>
    <n v="8"/>
    <n v="56"/>
    <x v="0"/>
    <x v="0"/>
    <n v="30.34"/>
    <n v="630.65"/>
    <n v="35316.400000000001"/>
    <x v="1"/>
    <x v="1"/>
    <x v="0"/>
  </r>
  <r>
    <n v="11110"/>
    <n v="792"/>
    <n v="2098"/>
    <x v="5"/>
    <x v="154"/>
    <x v="323"/>
    <n v="3"/>
    <n v="99"/>
    <x v="2"/>
    <x v="0"/>
    <n v="25.35"/>
    <n v="571.58000000000004"/>
    <n v="56586.420000000006"/>
    <x v="0"/>
    <x v="2"/>
    <x v="1"/>
  </r>
  <r>
    <n v="11111"/>
    <n v="697"/>
    <n v="2058"/>
    <x v="5"/>
    <x v="351"/>
    <x v="221"/>
    <n v="7"/>
    <n v="15"/>
    <x v="2"/>
    <x v="4"/>
    <n v="28.48"/>
    <n v="13.34"/>
    <n v="200.1"/>
    <x v="0"/>
    <x v="2"/>
    <x v="1"/>
  </r>
  <r>
    <n v="11112"/>
    <n v="665"/>
    <n v="2080"/>
    <x v="8"/>
    <x v="349"/>
    <x v="228"/>
    <n v="1"/>
    <n v="90"/>
    <x v="1"/>
    <x v="1"/>
    <n v="29.56"/>
    <n v="143.84"/>
    <n v="12945.6"/>
    <x v="2"/>
    <x v="2"/>
    <x v="1"/>
  </r>
  <r>
    <n v="11113"/>
    <n v="840"/>
    <n v="2053"/>
    <x v="16"/>
    <x v="339"/>
    <x v="37"/>
    <n v="2"/>
    <n v="73"/>
    <x v="0"/>
    <x v="2"/>
    <n v="34.54"/>
    <n v="162.21"/>
    <n v="11841.33"/>
    <x v="6"/>
    <x v="2"/>
    <x v="2"/>
  </r>
  <r>
    <n v="11114"/>
    <n v="883"/>
    <n v="2004"/>
    <x v="9"/>
    <x v="352"/>
    <x v="81"/>
    <n v="9"/>
    <n v="47"/>
    <x v="1"/>
    <x v="1"/>
    <n v="4.34"/>
    <n v="52.14"/>
    <n v="2450.58"/>
    <x v="3"/>
    <x v="1"/>
    <x v="2"/>
  </r>
  <r>
    <n v="11115"/>
    <n v="763"/>
    <n v="2031"/>
    <x v="15"/>
    <x v="324"/>
    <x v="87"/>
    <n v="4"/>
    <n v="10"/>
    <x v="3"/>
    <x v="4"/>
    <n v="24.61"/>
    <n v="342.86"/>
    <n v="3428.6000000000004"/>
    <x v="2"/>
    <x v="1"/>
    <x v="0"/>
  </r>
  <r>
    <n v="11116"/>
    <n v="810"/>
    <n v="2008"/>
    <x v="6"/>
    <x v="132"/>
    <x v="244"/>
    <n v="7"/>
    <n v="6"/>
    <x v="0"/>
    <x v="3"/>
    <n v="8.5"/>
    <n v="899.21"/>
    <n v="5395.26"/>
    <x v="3"/>
    <x v="1"/>
    <x v="0"/>
  </r>
  <r>
    <n v="11117"/>
    <n v="613"/>
    <n v="2094"/>
    <x v="12"/>
    <x v="66"/>
    <x v="259"/>
    <n v="7"/>
    <n v="51"/>
    <x v="2"/>
    <x v="4"/>
    <n v="22.56"/>
    <n v="393.53"/>
    <n v="20070.03"/>
    <x v="5"/>
    <x v="2"/>
    <x v="1"/>
  </r>
  <r>
    <n v="11118"/>
    <n v="725"/>
    <n v="2030"/>
    <x v="16"/>
    <x v="316"/>
    <x v="72"/>
    <n v="5"/>
    <n v="89"/>
    <x v="1"/>
    <x v="0"/>
    <n v="27.52"/>
    <n v="537.03"/>
    <n v="47795.67"/>
    <x v="6"/>
    <x v="2"/>
    <x v="2"/>
  </r>
  <r>
    <n v="11119"/>
    <n v="823"/>
    <n v="2010"/>
    <x v="9"/>
    <x v="171"/>
    <x v="183"/>
    <n v="2"/>
    <n v="63"/>
    <x v="3"/>
    <x v="0"/>
    <n v="9.58"/>
    <n v="440.93"/>
    <n v="27778.59"/>
    <x v="3"/>
    <x v="1"/>
    <x v="2"/>
  </r>
  <r>
    <n v="11120"/>
    <n v="717"/>
    <n v="2064"/>
    <x v="13"/>
    <x v="245"/>
    <x v="276"/>
    <n v="3"/>
    <n v="10"/>
    <x v="2"/>
    <x v="3"/>
    <n v="15.41"/>
    <n v="203.79"/>
    <n v="2037.8999999999999"/>
    <x v="1"/>
    <x v="1"/>
    <x v="0"/>
  </r>
  <r>
    <n v="11121"/>
    <n v="865"/>
    <n v="2084"/>
    <x v="8"/>
    <x v="246"/>
    <x v="327"/>
    <n v="3"/>
    <n v="83"/>
    <x v="0"/>
    <x v="3"/>
    <n v="14.27"/>
    <n v="223.58"/>
    <n v="18557.14"/>
    <x v="2"/>
    <x v="2"/>
    <x v="1"/>
  </r>
  <r>
    <n v="11122"/>
    <n v="686"/>
    <n v="2085"/>
    <x v="2"/>
    <x v="57"/>
    <x v="212"/>
    <n v="10"/>
    <n v="18"/>
    <x v="2"/>
    <x v="2"/>
    <n v="47.56"/>
    <n v="131.63"/>
    <n v="2369.34"/>
    <x v="2"/>
    <x v="1"/>
    <x v="2"/>
  </r>
  <r>
    <n v="11123"/>
    <n v="723"/>
    <n v="2064"/>
    <x v="16"/>
    <x v="75"/>
    <x v="299"/>
    <n v="3"/>
    <n v="66"/>
    <x v="3"/>
    <x v="3"/>
    <n v="15.41"/>
    <n v="203.79"/>
    <n v="13450.14"/>
    <x v="6"/>
    <x v="2"/>
    <x v="2"/>
  </r>
  <r>
    <n v="11124"/>
    <n v="890"/>
    <n v="2031"/>
    <x v="10"/>
    <x v="216"/>
    <x v="282"/>
    <n v="9"/>
    <n v="48"/>
    <x v="0"/>
    <x v="4"/>
    <n v="24.61"/>
    <n v="342.86"/>
    <n v="16457.28"/>
    <x v="0"/>
    <x v="2"/>
    <x v="0"/>
  </r>
  <r>
    <n v="11125"/>
    <n v="768"/>
    <n v="2048"/>
    <x v="2"/>
    <x v="57"/>
    <x v="79"/>
    <n v="6"/>
    <n v="20"/>
    <x v="2"/>
    <x v="2"/>
    <n v="6.74"/>
    <n v="864.57"/>
    <n v="17291.400000000001"/>
    <x v="2"/>
    <x v="1"/>
    <x v="2"/>
  </r>
  <r>
    <n v="11126"/>
    <n v="505"/>
    <n v="2095"/>
    <x v="4"/>
    <x v="110"/>
    <x v="143"/>
    <n v="8"/>
    <n v="96"/>
    <x v="1"/>
    <x v="0"/>
    <n v="38.81"/>
    <n v="761.63"/>
    <n v="73116.479999999996"/>
    <x v="1"/>
    <x v="2"/>
    <x v="0"/>
  </r>
  <r>
    <n v="11127"/>
    <n v="879"/>
    <n v="2063"/>
    <x v="12"/>
    <x v="200"/>
    <x v="12"/>
    <n v="1"/>
    <n v="97"/>
    <x v="1"/>
    <x v="1"/>
    <n v="13.23"/>
    <n v="151.69999999999999"/>
    <n v="14714.9"/>
    <x v="5"/>
    <x v="2"/>
    <x v="1"/>
  </r>
  <r>
    <n v="11128"/>
    <n v="675"/>
    <n v="2082"/>
    <x v="7"/>
    <x v="179"/>
    <x v="229"/>
    <n v="4"/>
    <n v="73"/>
    <x v="0"/>
    <x v="2"/>
    <n v="41.79"/>
    <n v="352.17"/>
    <n v="25708.41"/>
    <x v="4"/>
    <x v="3"/>
    <x v="0"/>
  </r>
  <r>
    <n v="11129"/>
    <n v="865"/>
    <n v="2044"/>
    <x v="3"/>
    <x v="255"/>
    <x v="341"/>
    <n v="8"/>
    <n v="22"/>
    <x v="1"/>
    <x v="3"/>
    <n v="11.44"/>
    <n v="939.99"/>
    <n v="20679.78"/>
    <x v="2"/>
    <x v="2"/>
    <x v="2"/>
  </r>
  <r>
    <n v="11130"/>
    <n v="716"/>
    <n v="2006"/>
    <x v="5"/>
    <x v="349"/>
    <x v="342"/>
    <n v="6"/>
    <n v="92"/>
    <x v="2"/>
    <x v="2"/>
    <n v="41.47"/>
    <n v="541.85"/>
    <n v="49850.200000000004"/>
    <x v="0"/>
    <x v="2"/>
    <x v="1"/>
  </r>
  <r>
    <n v="11131"/>
    <n v="625"/>
    <n v="2042"/>
    <x v="8"/>
    <x v="265"/>
    <x v="50"/>
    <n v="9"/>
    <n v="20"/>
    <x v="3"/>
    <x v="4"/>
    <n v="46.87"/>
    <n v="313.88"/>
    <n v="6277.6"/>
    <x v="2"/>
    <x v="2"/>
    <x v="1"/>
  </r>
  <r>
    <n v="11132"/>
    <n v="866"/>
    <n v="2041"/>
    <x v="13"/>
    <x v="25"/>
    <x v="252"/>
    <n v="10"/>
    <n v="44"/>
    <x v="1"/>
    <x v="2"/>
    <n v="48.2"/>
    <n v="792.77"/>
    <n v="34881.879999999997"/>
    <x v="1"/>
    <x v="1"/>
    <x v="0"/>
  </r>
  <r>
    <n v="11133"/>
    <n v="608"/>
    <n v="2073"/>
    <x v="12"/>
    <x v="265"/>
    <x v="24"/>
    <n v="1"/>
    <n v="51"/>
    <x v="0"/>
    <x v="1"/>
    <n v="11.78"/>
    <n v="416.74"/>
    <n v="21253.74"/>
    <x v="5"/>
    <x v="2"/>
    <x v="1"/>
  </r>
  <r>
    <n v="11134"/>
    <n v="555"/>
    <n v="2055"/>
    <x v="5"/>
    <x v="139"/>
    <x v="318"/>
    <n v="8"/>
    <n v="20"/>
    <x v="3"/>
    <x v="4"/>
    <n v="26.24"/>
    <n v="312.67"/>
    <n v="6253.4000000000005"/>
    <x v="0"/>
    <x v="2"/>
    <x v="1"/>
  </r>
  <r>
    <n v="11135"/>
    <n v="652"/>
    <n v="2072"/>
    <x v="7"/>
    <x v="258"/>
    <x v="343"/>
    <n v="3"/>
    <n v="82"/>
    <x v="2"/>
    <x v="1"/>
    <n v="26.22"/>
    <n v="576.57000000000005"/>
    <n v="47278.740000000005"/>
    <x v="4"/>
    <x v="3"/>
    <x v="0"/>
  </r>
  <r>
    <n v="11136"/>
    <n v="524"/>
    <n v="2083"/>
    <x v="17"/>
    <x v="214"/>
    <x v="133"/>
    <n v="1"/>
    <n v="12"/>
    <x v="3"/>
    <x v="2"/>
    <n v="13.79"/>
    <n v="843.82"/>
    <n v="10125.84"/>
    <x v="5"/>
    <x v="1"/>
    <x v="1"/>
  </r>
  <r>
    <n v="11137"/>
    <n v="805"/>
    <n v="2061"/>
    <x v="17"/>
    <x v="104"/>
    <x v="344"/>
    <n v="1"/>
    <n v="52"/>
    <x v="2"/>
    <x v="0"/>
    <n v="46.64"/>
    <n v="620.16999999999996"/>
    <n v="32248.839999999997"/>
    <x v="5"/>
    <x v="1"/>
    <x v="1"/>
  </r>
  <r>
    <n v="11138"/>
    <n v="845"/>
    <n v="2018"/>
    <x v="15"/>
    <x v="353"/>
    <x v="299"/>
    <n v="1"/>
    <n v="16"/>
    <x v="0"/>
    <x v="3"/>
    <n v="16.739999999999998"/>
    <n v="103.05"/>
    <n v="1648.8"/>
    <x v="2"/>
    <x v="1"/>
    <x v="0"/>
  </r>
  <r>
    <n v="11139"/>
    <n v="828"/>
    <n v="2083"/>
    <x v="16"/>
    <x v="114"/>
    <x v="222"/>
    <n v="7"/>
    <n v="12"/>
    <x v="1"/>
    <x v="2"/>
    <n v="13.79"/>
    <n v="843.82"/>
    <n v="10125.84"/>
    <x v="6"/>
    <x v="2"/>
    <x v="2"/>
  </r>
  <r>
    <n v="11140"/>
    <n v="843"/>
    <n v="2038"/>
    <x v="9"/>
    <x v="133"/>
    <x v="142"/>
    <n v="9"/>
    <n v="63"/>
    <x v="3"/>
    <x v="4"/>
    <n v="26.62"/>
    <n v="680"/>
    <n v="42840"/>
    <x v="3"/>
    <x v="1"/>
    <x v="2"/>
  </r>
  <r>
    <n v="11141"/>
    <n v="522"/>
    <n v="2083"/>
    <x v="10"/>
    <x v="23"/>
    <x v="113"/>
    <n v="1"/>
    <n v="12"/>
    <x v="3"/>
    <x v="2"/>
    <n v="13.79"/>
    <n v="843.82"/>
    <n v="10125.84"/>
    <x v="0"/>
    <x v="2"/>
    <x v="0"/>
  </r>
  <r>
    <n v="11142"/>
    <n v="757"/>
    <n v="2095"/>
    <x v="11"/>
    <x v="313"/>
    <x v="187"/>
    <n v="5"/>
    <n v="18"/>
    <x v="0"/>
    <x v="0"/>
    <n v="38.81"/>
    <n v="761.63"/>
    <n v="13709.34"/>
    <x v="2"/>
    <x v="1"/>
    <x v="1"/>
  </r>
  <r>
    <n v="11143"/>
    <n v="813"/>
    <n v="2087"/>
    <x v="6"/>
    <x v="354"/>
    <x v="212"/>
    <n v="1"/>
    <n v="4"/>
    <x v="0"/>
    <x v="1"/>
    <n v="35.82"/>
    <n v="47.38"/>
    <n v="189.52"/>
    <x v="3"/>
    <x v="1"/>
    <x v="0"/>
  </r>
  <r>
    <n v="11144"/>
    <n v="636"/>
    <n v="2078"/>
    <x v="5"/>
    <x v="296"/>
    <x v="145"/>
    <n v="8"/>
    <n v="41"/>
    <x v="1"/>
    <x v="3"/>
    <n v="14.85"/>
    <n v="517.03"/>
    <n v="21198.23"/>
    <x v="0"/>
    <x v="2"/>
    <x v="1"/>
  </r>
  <r>
    <n v="11145"/>
    <n v="853"/>
    <n v="2040"/>
    <x v="19"/>
    <x v="135"/>
    <x v="157"/>
    <n v="10"/>
    <n v="32"/>
    <x v="2"/>
    <x v="4"/>
    <n v="3.71"/>
    <n v="27.53"/>
    <n v="880.96"/>
    <x v="7"/>
    <x v="3"/>
    <x v="1"/>
  </r>
  <r>
    <n v="11146"/>
    <n v="586"/>
    <n v="2029"/>
    <x v="13"/>
    <x v="319"/>
    <x v="260"/>
    <n v="10"/>
    <n v="27"/>
    <x v="0"/>
    <x v="3"/>
    <n v="9.19"/>
    <n v="357.06"/>
    <n v="9640.6200000000008"/>
    <x v="1"/>
    <x v="1"/>
    <x v="0"/>
  </r>
  <r>
    <n v="11147"/>
    <n v="543"/>
    <n v="2095"/>
    <x v="3"/>
    <x v="355"/>
    <x v="152"/>
    <n v="3"/>
    <n v="8"/>
    <x v="0"/>
    <x v="0"/>
    <n v="38.81"/>
    <n v="761.63"/>
    <n v="6093.04"/>
    <x v="2"/>
    <x v="2"/>
    <x v="2"/>
  </r>
  <r>
    <n v="11148"/>
    <n v="851"/>
    <n v="2036"/>
    <x v="2"/>
    <x v="13"/>
    <x v="267"/>
    <n v="5"/>
    <n v="39"/>
    <x v="0"/>
    <x v="2"/>
    <n v="39.39"/>
    <n v="745.86"/>
    <n v="29088.54"/>
    <x v="2"/>
    <x v="1"/>
    <x v="2"/>
  </r>
  <r>
    <n v="11149"/>
    <n v="800"/>
    <n v="2071"/>
    <x v="1"/>
    <x v="280"/>
    <x v="227"/>
    <n v="2"/>
    <n v="63"/>
    <x v="0"/>
    <x v="4"/>
    <n v="47.19"/>
    <n v="711.14"/>
    <n v="44801.82"/>
    <x v="1"/>
    <x v="0"/>
    <x v="1"/>
  </r>
  <r>
    <n v="11150"/>
    <n v="531"/>
    <n v="2047"/>
    <x v="5"/>
    <x v="20"/>
    <x v="251"/>
    <n v="10"/>
    <n v="61"/>
    <x v="0"/>
    <x v="4"/>
    <n v="31.72"/>
    <n v="210.46"/>
    <n v="12838.060000000001"/>
    <x v="0"/>
    <x v="2"/>
    <x v="1"/>
  </r>
  <r>
    <n v="11151"/>
    <n v="746"/>
    <n v="2084"/>
    <x v="0"/>
    <x v="156"/>
    <x v="186"/>
    <n v="8"/>
    <n v="29"/>
    <x v="0"/>
    <x v="3"/>
    <n v="14.27"/>
    <n v="223.58"/>
    <n v="6483.8200000000006"/>
    <x v="0"/>
    <x v="0"/>
    <x v="0"/>
  </r>
  <r>
    <n v="11152"/>
    <n v="597"/>
    <n v="2075"/>
    <x v="16"/>
    <x v="170"/>
    <x v="219"/>
    <n v="7"/>
    <n v="18"/>
    <x v="1"/>
    <x v="4"/>
    <n v="16.57"/>
    <n v="429.9"/>
    <n v="7738.2"/>
    <x v="6"/>
    <x v="2"/>
    <x v="2"/>
  </r>
  <r>
    <n v="11153"/>
    <n v="650"/>
    <n v="2069"/>
    <x v="15"/>
    <x v="54"/>
    <x v="34"/>
    <n v="3"/>
    <n v="38"/>
    <x v="1"/>
    <x v="2"/>
    <n v="2.94"/>
    <n v="494.92"/>
    <n v="18806.96"/>
    <x v="2"/>
    <x v="1"/>
    <x v="0"/>
  </r>
  <r>
    <n v="11154"/>
    <n v="540"/>
    <n v="2056"/>
    <x v="2"/>
    <x v="225"/>
    <x v="243"/>
    <n v="8"/>
    <n v="41"/>
    <x v="0"/>
    <x v="1"/>
    <n v="18.559999999999999"/>
    <n v="564.01"/>
    <n v="23124.41"/>
    <x v="2"/>
    <x v="1"/>
    <x v="2"/>
  </r>
  <r>
    <n v="11155"/>
    <n v="838"/>
    <n v="2025"/>
    <x v="11"/>
    <x v="229"/>
    <x v="126"/>
    <n v="6"/>
    <n v="55"/>
    <x v="2"/>
    <x v="0"/>
    <n v="3.39"/>
    <n v="303.87"/>
    <n v="16712.849999999999"/>
    <x v="2"/>
    <x v="1"/>
    <x v="1"/>
  </r>
  <r>
    <n v="11156"/>
    <n v="626"/>
    <n v="2025"/>
    <x v="3"/>
    <x v="339"/>
    <x v="12"/>
    <n v="9"/>
    <n v="12"/>
    <x v="1"/>
    <x v="0"/>
    <n v="3.39"/>
    <n v="303.87"/>
    <n v="3646.44"/>
    <x v="2"/>
    <x v="2"/>
    <x v="2"/>
  </r>
  <r>
    <n v="11157"/>
    <n v="699"/>
    <n v="2006"/>
    <x v="1"/>
    <x v="87"/>
    <x v="345"/>
    <n v="5"/>
    <n v="58"/>
    <x v="2"/>
    <x v="2"/>
    <n v="41.47"/>
    <n v="541.85"/>
    <n v="31427.300000000003"/>
    <x v="1"/>
    <x v="0"/>
    <x v="1"/>
  </r>
  <r>
    <n v="11158"/>
    <n v="726"/>
    <n v="2017"/>
    <x v="19"/>
    <x v="112"/>
    <x v="116"/>
    <n v="3"/>
    <n v="13"/>
    <x v="2"/>
    <x v="2"/>
    <n v="38.24"/>
    <n v="788.08"/>
    <n v="10245.040000000001"/>
    <x v="7"/>
    <x v="3"/>
    <x v="1"/>
  </r>
  <r>
    <n v="11159"/>
    <n v="838"/>
    <n v="2062"/>
    <x v="1"/>
    <x v="122"/>
    <x v="164"/>
    <n v="10"/>
    <n v="75"/>
    <x v="2"/>
    <x v="1"/>
    <n v="32.479999999999997"/>
    <n v="409.49"/>
    <n v="30711.75"/>
    <x v="1"/>
    <x v="0"/>
    <x v="1"/>
  </r>
  <r>
    <n v="11160"/>
    <n v="744"/>
    <n v="2051"/>
    <x v="12"/>
    <x v="41"/>
    <x v="277"/>
    <n v="2"/>
    <n v="86"/>
    <x v="3"/>
    <x v="1"/>
    <n v="47.82"/>
    <n v="376.19"/>
    <n v="32352.34"/>
    <x v="5"/>
    <x v="2"/>
    <x v="1"/>
  </r>
  <r>
    <n v="11161"/>
    <n v="855"/>
    <n v="2011"/>
    <x v="0"/>
    <x v="107"/>
    <x v="88"/>
    <n v="9"/>
    <n v="36"/>
    <x v="3"/>
    <x v="3"/>
    <n v="12.75"/>
    <n v="987.99"/>
    <n v="35567.64"/>
    <x v="0"/>
    <x v="0"/>
    <x v="0"/>
  </r>
  <r>
    <n v="11162"/>
    <n v="657"/>
    <n v="2066"/>
    <x v="7"/>
    <x v="7"/>
    <x v="271"/>
    <n v="2"/>
    <n v="64"/>
    <x v="1"/>
    <x v="1"/>
    <n v="43.64"/>
    <n v="832.31"/>
    <n v="53267.839999999997"/>
    <x v="4"/>
    <x v="3"/>
    <x v="0"/>
  </r>
  <r>
    <n v="11163"/>
    <n v="887"/>
    <n v="2093"/>
    <x v="16"/>
    <x v="66"/>
    <x v="346"/>
    <n v="10"/>
    <n v="79"/>
    <x v="2"/>
    <x v="1"/>
    <n v="25.73"/>
    <n v="537.69000000000005"/>
    <n v="42477.51"/>
    <x v="6"/>
    <x v="2"/>
    <x v="2"/>
  </r>
  <r>
    <n v="11164"/>
    <n v="525"/>
    <n v="2094"/>
    <x v="19"/>
    <x v="187"/>
    <x v="347"/>
    <n v="10"/>
    <n v="59"/>
    <x v="1"/>
    <x v="4"/>
    <n v="22.56"/>
    <n v="393.53"/>
    <n v="23218.269999999997"/>
    <x v="7"/>
    <x v="3"/>
    <x v="1"/>
  </r>
  <r>
    <n v="11165"/>
    <n v="579"/>
    <n v="2064"/>
    <x v="17"/>
    <x v="337"/>
    <x v="154"/>
    <n v="10"/>
    <n v="47"/>
    <x v="1"/>
    <x v="3"/>
    <n v="15.41"/>
    <n v="203.79"/>
    <n v="9578.1299999999992"/>
    <x v="5"/>
    <x v="1"/>
    <x v="1"/>
  </r>
  <r>
    <n v="11166"/>
    <n v="754"/>
    <n v="2011"/>
    <x v="0"/>
    <x v="159"/>
    <x v="171"/>
    <n v="1"/>
    <n v="22"/>
    <x v="1"/>
    <x v="3"/>
    <n v="12.75"/>
    <n v="987.99"/>
    <n v="21735.78"/>
    <x v="0"/>
    <x v="0"/>
    <x v="0"/>
  </r>
  <r>
    <n v="11167"/>
    <n v="557"/>
    <n v="2090"/>
    <x v="8"/>
    <x v="137"/>
    <x v="97"/>
    <n v="9"/>
    <n v="59"/>
    <x v="1"/>
    <x v="2"/>
    <n v="38.729999999999997"/>
    <n v="913.68"/>
    <n v="53907.119999999995"/>
    <x v="2"/>
    <x v="2"/>
    <x v="1"/>
  </r>
  <r>
    <n v="11168"/>
    <n v="712"/>
    <n v="2069"/>
    <x v="4"/>
    <x v="113"/>
    <x v="256"/>
    <n v="7"/>
    <n v="42"/>
    <x v="2"/>
    <x v="2"/>
    <n v="2.94"/>
    <n v="494.92"/>
    <n v="20786.64"/>
    <x v="1"/>
    <x v="2"/>
    <x v="0"/>
  </r>
  <r>
    <n v="11169"/>
    <n v="710"/>
    <n v="2009"/>
    <x v="5"/>
    <x v="317"/>
    <x v="265"/>
    <n v="7"/>
    <n v="15"/>
    <x v="0"/>
    <x v="3"/>
    <n v="16.82"/>
    <n v="376.01"/>
    <n v="5640.15"/>
    <x v="0"/>
    <x v="2"/>
    <x v="1"/>
  </r>
  <r>
    <n v="11170"/>
    <n v="619"/>
    <n v="2030"/>
    <x v="8"/>
    <x v="284"/>
    <x v="47"/>
    <n v="2"/>
    <n v="31"/>
    <x v="1"/>
    <x v="0"/>
    <n v="27.52"/>
    <n v="537.03"/>
    <n v="16647.93"/>
    <x v="2"/>
    <x v="2"/>
    <x v="1"/>
  </r>
  <r>
    <n v="11171"/>
    <n v="777"/>
    <n v="2080"/>
    <x v="19"/>
    <x v="98"/>
    <x v="99"/>
    <n v="2"/>
    <n v="85"/>
    <x v="2"/>
    <x v="1"/>
    <n v="29.56"/>
    <n v="143.84"/>
    <n v="12226.4"/>
    <x v="7"/>
    <x v="3"/>
    <x v="1"/>
  </r>
  <r>
    <n v="11172"/>
    <n v="878"/>
    <n v="2042"/>
    <x v="11"/>
    <x v="87"/>
    <x v="264"/>
    <n v="8"/>
    <n v="97"/>
    <x v="2"/>
    <x v="4"/>
    <n v="46.87"/>
    <n v="313.88"/>
    <n v="30446.36"/>
    <x v="2"/>
    <x v="1"/>
    <x v="1"/>
  </r>
  <r>
    <n v="11173"/>
    <n v="678"/>
    <n v="2031"/>
    <x v="11"/>
    <x v="123"/>
    <x v="348"/>
    <n v="5"/>
    <n v="29"/>
    <x v="2"/>
    <x v="4"/>
    <n v="24.61"/>
    <n v="342.86"/>
    <n v="9942.94"/>
    <x v="2"/>
    <x v="1"/>
    <x v="1"/>
  </r>
  <r>
    <n v="11174"/>
    <n v="830"/>
    <n v="2096"/>
    <x v="15"/>
    <x v="61"/>
    <x v="60"/>
    <n v="6"/>
    <n v="54"/>
    <x v="2"/>
    <x v="2"/>
    <n v="20.04"/>
    <n v="70.19"/>
    <n v="3790.2599999999998"/>
    <x v="2"/>
    <x v="1"/>
    <x v="0"/>
  </r>
  <r>
    <n v="11175"/>
    <n v="539"/>
    <n v="2098"/>
    <x v="7"/>
    <x v="171"/>
    <x v="279"/>
    <n v="10"/>
    <n v="100"/>
    <x v="0"/>
    <x v="0"/>
    <n v="25.35"/>
    <n v="571.58000000000004"/>
    <n v="57158.000000000007"/>
    <x v="4"/>
    <x v="3"/>
    <x v="0"/>
  </r>
  <r>
    <n v="11176"/>
    <n v="547"/>
    <n v="2017"/>
    <x v="15"/>
    <x v="110"/>
    <x v="247"/>
    <n v="5"/>
    <n v="33"/>
    <x v="2"/>
    <x v="2"/>
    <n v="38.24"/>
    <n v="788.08"/>
    <n v="26006.640000000003"/>
    <x v="2"/>
    <x v="1"/>
    <x v="0"/>
  </r>
  <r>
    <n v="11177"/>
    <n v="522"/>
    <n v="2048"/>
    <x v="17"/>
    <x v="189"/>
    <x v="195"/>
    <n v="4"/>
    <n v="68"/>
    <x v="2"/>
    <x v="2"/>
    <n v="6.74"/>
    <n v="864.57"/>
    <n v="58790.76"/>
    <x v="5"/>
    <x v="1"/>
    <x v="1"/>
  </r>
  <r>
    <n v="11178"/>
    <n v="670"/>
    <n v="2022"/>
    <x v="5"/>
    <x v="55"/>
    <x v="135"/>
    <n v="4"/>
    <n v="32"/>
    <x v="2"/>
    <x v="0"/>
    <n v="47.91"/>
    <n v="756.92"/>
    <n v="24221.439999999999"/>
    <x v="0"/>
    <x v="2"/>
    <x v="1"/>
  </r>
  <r>
    <n v="11179"/>
    <n v="579"/>
    <n v="2042"/>
    <x v="6"/>
    <x v="55"/>
    <x v="27"/>
    <n v="6"/>
    <n v="14"/>
    <x v="0"/>
    <x v="4"/>
    <n v="46.87"/>
    <n v="313.88"/>
    <n v="4394.32"/>
    <x v="3"/>
    <x v="1"/>
    <x v="0"/>
  </r>
  <r>
    <n v="11180"/>
    <n v="867"/>
    <n v="2025"/>
    <x v="9"/>
    <x v="47"/>
    <x v="48"/>
    <n v="8"/>
    <n v="81"/>
    <x v="3"/>
    <x v="0"/>
    <n v="3.39"/>
    <n v="303.87"/>
    <n v="24613.47"/>
    <x v="3"/>
    <x v="1"/>
    <x v="2"/>
  </r>
  <r>
    <n v="11181"/>
    <n v="661"/>
    <n v="2065"/>
    <x v="4"/>
    <x v="196"/>
    <x v="68"/>
    <n v="4"/>
    <n v="68"/>
    <x v="0"/>
    <x v="0"/>
    <n v="26.94"/>
    <n v="155.15"/>
    <n v="10550.2"/>
    <x v="1"/>
    <x v="2"/>
    <x v="0"/>
  </r>
  <r>
    <n v="11182"/>
    <n v="619"/>
    <n v="2034"/>
    <x v="14"/>
    <x v="184"/>
    <x v="334"/>
    <n v="5"/>
    <n v="87"/>
    <x v="3"/>
    <x v="4"/>
    <n v="26.17"/>
    <n v="540.23"/>
    <n v="47000.01"/>
    <x v="6"/>
    <x v="2"/>
    <x v="1"/>
  </r>
  <r>
    <n v="11183"/>
    <n v="527"/>
    <n v="2080"/>
    <x v="10"/>
    <x v="217"/>
    <x v="81"/>
    <n v="6"/>
    <n v="71"/>
    <x v="1"/>
    <x v="1"/>
    <n v="29.56"/>
    <n v="143.84"/>
    <n v="10212.64"/>
    <x v="0"/>
    <x v="2"/>
    <x v="0"/>
  </r>
  <r>
    <n v="11184"/>
    <n v="896"/>
    <n v="2003"/>
    <x v="18"/>
    <x v="212"/>
    <x v="44"/>
    <n v="3"/>
    <n v="49"/>
    <x v="0"/>
    <x v="0"/>
    <n v="39.74"/>
    <n v="864.17"/>
    <n v="42344.329999999994"/>
    <x v="0"/>
    <x v="3"/>
    <x v="0"/>
  </r>
  <r>
    <n v="11185"/>
    <n v="769"/>
    <n v="2030"/>
    <x v="15"/>
    <x v="64"/>
    <x v="322"/>
    <n v="9"/>
    <n v="62"/>
    <x v="0"/>
    <x v="0"/>
    <n v="27.52"/>
    <n v="537.03"/>
    <n v="33295.86"/>
    <x v="2"/>
    <x v="1"/>
    <x v="0"/>
  </r>
  <r>
    <n v="11186"/>
    <n v="739"/>
    <n v="2078"/>
    <x v="18"/>
    <x v="264"/>
    <x v="349"/>
    <n v="2"/>
    <n v="59"/>
    <x v="0"/>
    <x v="3"/>
    <n v="14.85"/>
    <n v="517.03"/>
    <n v="30504.769999999997"/>
    <x v="0"/>
    <x v="3"/>
    <x v="0"/>
  </r>
  <r>
    <n v="11187"/>
    <n v="897"/>
    <n v="2002"/>
    <x v="6"/>
    <x v="342"/>
    <x v="45"/>
    <n v="8"/>
    <n v="70"/>
    <x v="2"/>
    <x v="0"/>
    <n v="30.78"/>
    <n v="646.99"/>
    <n v="45289.3"/>
    <x v="3"/>
    <x v="1"/>
    <x v="0"/>
  </r>
  <r>
    <n v="11188"/>
    <n v="767"/>
    <n v="2025"/>
    <x v="18"/>
    <x v="12"/>
    <x v="233"/>
    <n v="7"/>
    <n v="44"/>
    <x v="3"/>
    <x v="0"/>
    <n v="3.39"/>
    <n v="303.87"/>
    <n v="13370.28"/>
    <x v="0"/>
    <x v="3"/>
    <x v="0"/>
  </r>
  <r>
    <n v="11189"/>
    <n v="557"/>
    <n v="2019"/>
    <x v="14"/>
    <x v="178"/>
    <x v="221"/>
    <n v="2"/>
    <n v="46"/>
    <x v="2"/>
    <x v="2"/>
    <n v="27.65"/>
    <n v="89.85"/>
    <n v="4133.0999999999995"/>
    <x v="6"/>
    <x v="2"/>
    <x v="1"/>
  </r>
  <r>
    <n v="11190"/>
    <n v="598"/>
    <n v="2094"/>
    <x v="6"/>
    <x v="142"/>
    <x v="316"/>
    <n v="2"/>
    <n v="18"/>
    <x v="2"/>
    <x v="4"/>
    <n v="22.56"/>
    <n v="393.53"/>
    <n v="7083.5399999999991"/>
    <x v="3"/>
    <x v="1"/>
    <x v="0"/>
  </r>
  <r>
    <n v="11191"/>
    <n v="824"/>
    <n v="2044"/>
    <x v="17"/>
    <x v="53"/>
    <x v="26"/>
    <n v="1"/>
    <n v="72"/>
    <x v="1"/>
    <x v="3"/>
    <n v="11.44"/>
    <n v="939.99"/>
    <n v="67679.28"/>
    <x v="5"/>
    <x v="1"/>
    <x v="1"/>
  </r>
  <r>
    <n v="11192"/>
    <n v="535"/>
    <n v="2033"/>
    <x v="7"/>
    <x v="342"/>
    <x v="350"/>
    <n v="6"/>
    <n v="25"/>
    <x v="3"/>
    <x v="2"/>
    <n v="8.33"/>
    <n v="629.69000000000005"/>
    <n v="15742.250000000002"/>
    <x v="4"/>
    <x v="3"/>
    <x v="0"/>
  </r>
  <r>
    <n v="11193"/>
    <n v="717"/>
    <n v="2055"/>
    <x v="15"/>
    <x v="280"/>
    <x v="60"/>
    <n v="5"/>
    <n v="50"/>
    <x v="2"/>
    <x v="4"/>
    <n v="26.24"/>
    <n v="312.67"/>
    <n v="15633.5"/>
    <x v="2"/>
    <x v="1"/>
    <x v="0"/>
  </r>
  <r>
    <n v="11194"/>
    <n v="521"/>
    <n v="2086"/>
    <x v="2"/>
    <x v="303"/>
    <x v="262"/>
    <n v="9"/>
    <n v="61"/>
    <x v="0"/>
    <x v="4"/>
    <n v="27.73"/>
    <n v="417.42"/>
    <n v="25462.620000000003"/>
    <x v="2"/>
    <x v="1"/>
    <x v="2"/>
  </r>
  <r>
    <n v="11195"/>
    <n v="666"/>
    <n v="2057"/>
    <x v="10"/>
    <x v="142"/>
    <x v="150"/>
    <n v="1"/>
    <n v="84"/>
    <x v="3"/>
    <x v="2"/>
    <n v="34.299999999999997"/>
    <n v="40.43"/>
    <n v="3396.12"/>
    <x v="0"/>
    <x v="2"/>
    <x v="0"/>
  </r>
  <r>
    <n v="11196"/>
    <n v="582"/>
    <n v="2003"/>
    <x v="16"/>
    <x v="20"/>
    <x v="237"/>
    <n v="2"/>
    <n v="17"/>
    <x v="0"/>
    <x v="0"/>
    <n v="39.74"/>
    <n v="864.17"/>
    <n v="14690.89"/>
    <x v="6"/>
    <x v="2"/>
    <x v="2"/>
  </r>
  <r>
    <n v="11197"/>
    <n v="771"/>
    <n v="2099"/>
    <x v="5"/>
    <x v="235"/>
    <x v="287"/>
    <n v="10"/>
    <n v="9"/>
    <x v="0"/>
    <x v="3"/>
    <n v="31.62"/>
    <n v="652.77"/>
    <n v="5874.93"/>
    <x v="0"/>
    <x v="2"/>
    <x v="1"/>
  </r>
  <r>
    <n v="11198"/>
    <n v="554"/>
    <n v="2026"/>
    <x v="13"/>
    <x v="282"/>
    <x v="249"/>
    <n v="3"/>
    <n v="72"/>
    <x v="1"/>
    <x v="2"/>
    <n v="23.02"/>
    <n v="858.57"/>
    <n v="61817.04"/>
    <x v="1"/>
    <x v="1"/>
    <x v="0"/>
  </r>
  <r>
    <n v="11199"/>
    <n v="817"/>
    <n v="2064"/>
    <x v="14"/>
    <x v="338"/>
    <x v="297"/>
    <n v="5"/>
    <n v="61"/>
    <x v="0"/>
    <x v="3"/>
    <n v="15.41"/>
    <n v="203.79"/>
    <n v="12431.189999999999"/>
    <x v="6"/>
    <x v="2"/>
    <x v="1"/>
  </r>
  <r>
    <n v="11200"/>
    <n v="503"/>
    <n v="2063"/>
    <x v="7"/>
    <x v="3"/>
    <x v="238"/>
    <n v="9"/>
    <n v="93"/>
    <x v="3"/>
    <x v="1"/>
    <n v="13.23"/>
    <n v="151.69999999999999"/>
    <n v="14108.099999999999"/>
    <x v="4"/>
    <x v="3"/>
    <x v="0"/>
  </r>
  <r>
    <n v="11201"/>
    <n v="600"/>
    <n v="2021"/>
    <x v="19"/>
    <x v="179"/>
    <x v="117"/>
    <n v="9"/>
    <n v="4"/>
    <x v="2"/>
    <x v="1"/>
    <n v="18.77"/>
    <n v="259.72000000000003"/>
    <n v="1038.8800000000001"/>
    <x v="7"/>
    <x v="3"/>
    <x v="1"/>
  </r>
  <r>
    <n v="11202"/>
    <n v="819"/>
    <n v="2008"/>
    <x v="9"/>
    <x v="138"/>
    <x v="189"/>
    <n v="4"/>
    <n v="62"/>
    <x v="1"/>
    <x v="3"/>
    <n v="8.5"/>
    <n v="899.21"/>
    <n v="55751.020000000004"/>
    <x v="3"/>
    <x v="1"/>
    <x v="2"/>
  </r>
  <r>
    <n v="11203"/>
    <n v="546"/>
    <n v="2045"/>
    <x v="17"/>
    <x v="51"/>
    <x v="73"/>
    <n v="3"/>
    <n v="41"/>
    <x v="0"/>
    <x v="1"/>
    <n v="41.3"/>
    <n v="652.61"/>
    <n v="26757.010000000002"/>
    <x v="5"/>
    <x v="1"/>
    <x v="1"/>
  </r>
  <r>
    <n v="11204"/>
    <n v="560"/>
    <n v="2091"/>
    <x v="0"/>
    <x v="244"/>
    <x v="351"/>
    <n v="6"/>
    <n v="12"/>
    <x v="0"/>
    <x v="3"/>
    <n v="10.41"/>
    <n v="271.61"/>
    <n v="3259.32"/>
    <x v="0"/>
    <x v="0"/>
    <x v="0"/>
  </r>
  <r>
    <n v="11205"/>
    <n v="807"/>
    <n v="2039"/>
    <x v="11"/>
    <x v="134"/>
    <x v="168"/>
    <n v="3"/>
    <n v="97"/>
    <x v="3"/>
    <x v="4"/>
    <n v="2.69"/>
    <n v="350.51"/>
    <n v="33999.47"/>
    <x v="2"/>
    <x v="1"/>
    <x v="1"/>
  </r>
  <r>
    <n v="11206"/>
    <n v="841"/>
    <n v="2054"/>
    <x v="11"/>
    <x v="295"/>
    <x v="231"/>
    <n v="6"/>
    <n v="52"/>
    <x v="2"/>
    <x v="1"/>
    <n v="5.63"/>
    <n v="304.22000000000003"/>
    <n v="15819.440000000002"/>
    <x v="2"/>
    <x v="1"/>
    <x v="1"/>
  </r>
  <r>
    <n v="11207"/>
    <n v="637"/>
    <n v="2086"/>
    <x v="10"/>
    <x v="160"/>
    <x v="244"/>
    <n v="4"/>
    <n v="74"/>
    <x v="1"/>
    <x v="4"/>
    <n v="27.73"/>
    <n v="417.42"/>
    <n v="30889.08"/>
    <x v="0"/>
    <x v="2"/>
    <x v="0"/>
  </r>
  <r>
    <n v="11208"/>
    <n v="792"/>
    <n v="2058"/>
    <x v="15"/>
    <x v="67"/>
    <x v="225"/>
    <n v="4"/>
    <n v="41"/>
    <x v="1"/>
    <x v="4"/>
    <n v="28.48"/>
    <n v="13.34"/>
    <n v="546.93999999999994"/>
    <x v="2"/>
    <x v="1"/>
    <x v="0"/>
  </r>
  <r>
    <n v="11209"/>
    <n v="574"/>
    <n v="2063"/>
    <x v="9"/>
    <x v="29"/>
    <x v="46"/>
    <n v="1"/>
    <n v="86"/>
    <x v="0"/>
    <x v="1"/>
    <n v="13.23"/>
    <n v="151.69999999999999"/>
    <n v="13046.199999999999"/>
    <x v="3"/>
    <x v="1"/>
    <x v="2"/>
  </r>
  <r>
    <n v="11210"/>
    <n v="740"/>
    <n v="2083"/>
    <x v="12"/>
    <x v="305"/>
    <x v="89"/>
    <n v="10"/>
    <n v="21"/>
    <x v="3"/>
    <x v="2"/>
    <n v="13.79"/>
    <n v="843.82"/>
    <n v="17720.22"/>
    <x v="5"/>
    <x v="2"/>
    <x v="1"/>
  </r>
  <r>
    <n v="11211"/>
    <n v="690"/>
    <n v="2044"/>
    <x v="19"/>
    <x v="33"/>
    <x v="90"/>
    <n v="9"/>
    <n v="75"/>
    <x v="1"/>
    <x v="3"/>
    <n v="11.44"/>
    <n v="939.99"/>
    <n v="70499.25"/>
    <x v="7"/>
    <x v="3"/>
    <x v="1"/>
  </r>
  <r>
    <n v="11212"/>
    <n v="676"/>
    <n v="2033"/>
    <x v="16"/>
    <x v="311"/>
    <x v="248"/>
    <n v="3"/>
    <n v="58"/>
    <x v="0"/>
    <x v="2"/>
    <n v="8.33"/>
    <n v="629.69000000000005"/>
    <n v="36522.020000000004"/>
    <x v="6"/>
    <x v="2"/>
    <x v="2"/>
  </r>
  <r>
    <n v="11213"/>
    <n v="778"/>
    <n v="2048"/>
    <x v="17"/>
    <x v="118"/>
    <x v="24"/>
    <n v="8"/>
    <n v="12"/>
    <x v="1"/>
    <x v="2"/>
    <n v="6.74"/>
    <n v="864.57"/>
    <n v="10374.84"/>
    <x v="5"/>
    <x v="1"/>
    <x v="1"/>
  </r>
  <r>
    <n v="11214"/>
    <n v="757"/>
    <n v="2013"/>
    <x v="13"/>
    <x v="14"/>
    <x v="222"/>
    <n v="3"/>
    <n v="1"/>
    <x v="1"/>
    <x v="0"/>
    <n v="19.53"/>
    <n v="563.69000000000005"/>
    <n v="563.69000000000005"/>
    <x v="1"/>
    <x v="1"/>
    <x v="0"/>
  </r>
  <r>
    <n v="11215"/>
    <n v="672"/>
    <n v="2088"/>
    <x v="17"/>
    <x v="272"/>
    <x v="231"/>
    <n v="8"/>
    <n v="80"/>
    <x v="3"/>
    <x v="0"/>
    <n v="27.71"/>
    <n v="820.21"/>
    <n v="65616.800000000003"/>
    <x v="5"/>
    <x v="1"/>
    <x v="1"/>
  </r>
  <r>
    <n v="11216"/>
    <n v="683"/>
    <n v="2030"/>
    <x v="10"/>
    <x v="273"/>
    <x v="48"/>
    <n v="7"/>
    <n v="34"/>
    <x v="0"/>
    <x v="0"/>
    <n v="27.52"/>
    <n v="537.03"/>
    <n v="18259.02"/>
    <x v="0"/>
    <x v="2"/>
    <x v="0"/>
  </r>
  <r>
    <n v="11217"/>
    <n v="671"/>
    <n v="2087"/>
    <x v="15"/>
    <x v="213"/>
    <x v="201"/>
    <n v="10"/>
    <n v="16"/>
    <x v="3"/>
    <x v="1"/>
    <n v="35.82"/>
    <n v="47.38"/>
    <n v="758.08"/>
    <x v="2"/>
    <x v="1"/>
    <x v="0"/>
  </r>
  <r>
    <n v="11218"/>
    <n v="604"/>
    <n v="2066"/>
    <x v="17"/>
    <x v="331"/>
    <x v="235"/>
    <n v="2"/>
    <n v="15"/>
    <x v="0"/>
    <x v="1"/>
    <n v="43.64"/>
    <n v="832.31"/>
    <n v="12484.65"/>
    <x v="5"/>
    <x v="1"/>
    <x v="1"/>
  </r>
  <r>
    <n v="11219"/>
    <n v="779"/>
    <n v="2019"/>
    <x v="11"/>
    <x v="68"/>
    <x v="219"/>
    <n v="10"/>
    <n v="27"/>
    <x v="3"/>
    <x v="2"/>
    <n v="27.65"/>
    <n v="89.85"/>
    <n v="2425.9499999999998"/>
    <x v="2"/>
    <x v="1"/>
    <x v="1"/>
  </r>
  <r>
    <n v="11220"/>
    <n v="882"/>
    <n v="2098"/>
    <x v="10"/>
    <x v="28"/>
    <x v="28"/>
    <n v="7"/>
    <n v="92"/>
    <x v="1"/>
    <x v="0"/>
    <n v="25.35"/>
    <n v="571.58000000000004"/>
    <n v="52585.36"/>
    <x v="0"/>
    <x v="2"/>
    <x v="0"/>
  </r>
  <r>
    <n v="11221"/>
    <n v="546"/>
    <n v="2011"/>
    <x v="5"/>
    <x v="189"/>
    <x v="111"/>
    <n v="1"/>
    <n v="17"/>
    <x v="2"/>
    <x v="3"/>
    <n v="12.75"/>
    <n v="987.99"/>
    <n v="16795.830000000002"/>
    <x v="0"/>
    <x v="2"/>
    <x v="1"/>
  </r>
  <r>
    <n v="11222"/>
    <n v="796"/>
    <n v="2044"/>
    <x v="3"/>
    <x v="213"/>
    <x v="11"/>
    <n v="7"/>
    <n v="24"/>
    <x v="1"/>
    <x v="3"/>
    <n v="11.44"/>
    <n v="939.99"/>
    <n v="22559.760000000002"/>
    <x v="2"/>
    <x v="2"/>
    <x v="2"/>
  </r>
  <r>
    <n v="11223"/>
    <n v="598"/>
    <n v="2057"/>
    <x v="11"/>
    <x v="228"/>
    <x v="229"/>
    <n v="5"/>
    <n v="52"/>
    <x v="2"/>
    <x v="2"/>
    <n v="34.299999999999997"/>
    <n v="40.43"/>
    <n v="2102.36"/>
    <x v="2"/>
    <x v="1"/>
    <x v="1"/>
  </r>
  <r>
    <n v="11224"/>
    <n v="666"/>
    <n v="2001"/>
    <x v="1"/>
    <x v="215"/>
    <x v="101"/>
    <n v="9"/>
    <n v="78"/>
    <x v="1"/>
    <x v="1"/>
    <n v="49.85"/>
    <n v="471.41"/>
    <n v="36769.980000000003"/>
    <x v="1"/>
    <x v="0"/>
    <x v="1"/>
  </r>
  <r>
    <n v="11225"/>
    <n v="589"/>
    <n v="2005"/>
    <x v="6"/>
    <x v="306"/>
    <x v="248"/>
    <n v="1"/>
    <n v="31"/>
    <x v="3"/>
    <x v="1"/>
    <n v="13.6"/>
    <n v="606.04999999999995"/>
    <n v="18787.55"/>
    <x v="3"/>
    <x v="1"/>
    <x v="0"/>
  </r>
  <r>
    <n v="11226"/>
    <n v="815"/>
    <n v="2008"/>
    <x v="6"/>
    <x v="111"/>
    <x v="23"/>
    <n v="8"/>
    <n v="86"/>
    <x v="2"/>
    <x v="3"/>
    <n v="8.5"/>
    <n v="899.21"/>
    <n v="77332.06"/>
    <x v="3"/>
    <x v="1"/>
    <x v="0"/>
  </r>
  <r>
    <n v="11227"/>
    <n v="700"/>
    <n v="2054"/>
    <x v="11"/>
    <x v="2"/>
    <x v="105"/>
    <n v="3"/>
    <n v="99"/>
    <x v="3"/>
    <x v="1"/>
    <n v="5.63"/>
    <n v="304.22000000000003"/>
    <n v="30117.780000000002"/>
    <x v="2"/>
    <x v="1"/>
    <x v="1"/>
  </r>
  <r>
    <n v="11228"/>
    <n v="655"/>
    <n v="2043"/>
    <x v="16"/>
    <x v="27"/>
    <x v="297"/>
    <n v="4"/>
    <n v="93"/>
    <x v="3"/>
    <x v="4"/>
    <n v="14.98"/>
    <n v="375.85"/>
    <n v="34954.050000000003"/>
    <x v="6"/>
    <x v="2"/>
    <x v="2"/>
  </r>
  <r>
    <n v="11229"/>
    <n v="850"/>
    <n v="2058"/>
    <x v="4"/>
    <x v="225"/>
    <x v="157"/>
    <n v="4"/>
    <n v="21"/>
    <x v="3"/>
    <x v="4"/>
    <n v="28.48"/>
    <n v="13.34"/>
    <n v="280.14"/>
    <x v="1"/>
    <x v="2"/>
    <x v="0"/>
  </r>
  <r>
    <n v="11230"/>
    <n v="539"/>
    <n v="2031"/>
    <x v="9"/>
    <x v="135"/>
    <x v="157"/>
    <n v="10"/>
    <n v="78"/>
    <x v="1"/>
    <x v="4"/>
    <n v="24.61"/>
    <n v="342.86"/>
    <n v="26743.08"/>
    <x v="3"/>
    <x v="1"/>
    <x v="2"/>
  </r>
  <r>
    <n v="11231"/>
    <n v="760"/>
    <n v="2039"/>
    <x v="19"/>
    <x v="312"/>
    <x v="330"/>
    <n v="4"/>
    <n v="10"/>
    <x v="2"/>
    <x v="4"/>
    <n v="2.69"/>
    <n v="350.51"/>
    <n v="3505.1"/>
    <x v="7"/>
    <x v="3"/>
    <x v="1"/>
  </r>
  <r>
    <n v="11232"/>
    <n v="813"/>
    <n v="2079"/>
    <x v="6"/>
    <x v="208"/>
    <x v="170"/>
    <n v="4"/>
    <n v="2"/>
    <x v="1"/>
    <x v="2"/>
    <n v="12.3"/>
    <n v="99.7"/>
    <n v="199.4"/>
    <x v="3"/>
    <x v="1"/>
    <x v="0"/>
  </r>
  <r>
    <n v="11233"/>
    <n v="705"/>
    <n v="2080"/>
    <x v="4"/>
    <x v="304"/>
    <x v="325"/>
    <n v="8"/>
    <n v="74"/>
    <x v="0"/>
    <x v="1"/>
    <n v="29.56"/>
    <n v="143.84"/>
    <n v="10644.16"/>
    <x v="1"/>
    <x v="2"/>
    <x v="0"/>
  </r>
  <r>
    <n v="11234"/>
    <n v="649"/>
    <n v="2040"/>
    <x v="10"/>
    <x v="86"/>
    <x v="292"/>
    <n v="1"/>
    <n v="59"/>
    <x v="0"/>
    <x v="4"/>
    <n v="3.71"/>
    <n v="27.53"/>
    <n v="1624.27"/>
    <x v="0"/>
    <x v="2"/>
    <x v="0"/>
  </r>
  <r>
    <n v="11235"/>
    <n v="843"/>
    <n v="2034"/>
    <x v="10"/>
    <x v="338"/>
    <x v="297"/>
    <n v="5"/>
    <n v="42"/>
    <x v="3"/>
    <x v="4"/>
    <n v="26.17"/>
    <n v="540.23"/>
    <n v="22689.66"/>
    <x v="0"/>
    <x v="2"/>
    <x v="0"/>
  </r>
  <r>
    <n v="11236"/>
    <n v="853"/>
    <n v="2069"/>
    <x v="5"/>
    <x v="103"/>
    <x v="89"/>
    <n v="4"/>
    <n v="75"/>
    <x v="0"/>
    <x v="2"/>
    <n v="2.94"/>
    <n v="494.92"/>
    <n v="37119"/>
    <x v="0"/>
    <x v="2"/>
    <x v="1"/>
  </r>
  <r>
    <n v="11237"/>
    <n v="804"/>
    <n v="2044"/>
    <x v="6"/>
    <x v="137"/>
    <x v="97"/>
    <n v="9"/>
    <n v="60"/>
    <x v="0"/>
    <x v="3"/>
    <n v="11.44"/>
    <n v="939.99"/>
    <n v="56399.4"/>
    <x v="3"/>
    <x v="1"/>
    <x v="0"/>
  </r>
  <r>
    <n v="11238"/>
    <n v="553"/>
    <n v="2074"/>
    <x v="10"/>
    <x v="301"/>
    <x v="5"/>
    <n v="4"/>
    <n v="89"/>
    <x v="1"/>
    <x v="0"/>
    <n v="41.45"/>
    <n v="650.42999999999995"/>
    <n v="57888.27"/>
    <x v="0"/>
    <x v="2"/>
    <x v="0"/>
  </r>
  <r>
    <n v="11239"/>
    <n v="608"/>
    <n v="2013"/>
    <x v="19"/>
    <x v="54"/>
    <x v="38"/>
    <n v="7"/>
    <n v="1"/>
    <x v="3"/>
    <x v="0"/>
    <n v="19.53"/>
    <n v="563.69000000000005"/>
    <n v="563.69000000000005"/>
    <x v="7"/>
    <x v="3"/>
    <x v="1"/>
  </r>
  <r>
    <n v="11240"/>
    <n v="693"/>
    <n v="2050"/>
    <x v="11"/>
    <x v="356"/>
    <x v="197"/>
    <n v="6"/>
    <n v="15"/>
    <x v="3"/>
    <x v="3"/>
    <n v="36.43"/>
    <n v="507.16"/>
    <n v="7607.4000000000005"/>
    <x v="2"/>
    <x v="1"/>
    <x v="1"/>
  </r>
  <r>
    <n v="11241"/>
    <n v="573"/>
    <n v="2063"/>
    <x v="10"/>
    <x v="357"/>
    <x v="10"/>
    <n v="1"/>
    <n v="6"/>
    <x v="3"/>
    <x v="1"/>
    <n v="13.23"/>
    <n v="151.69999999999999"/>
    <n v="910.19999999999993"/>
    <x v="0"/>
    <x v="2"/>
    <x v="0"/>
  </r>
  <r>
    <n v="11242"/>
    <n v="783"/>
    <n v="2072"/>
    <x v="7"/>
    <x v="136"/>
    <x v="145"/>
    <n v="1"/>
    <n v="26"/>
    <x v="3"/>
    <x v="1"/>
    <n v="26.22"/>
    <n v="576.57000000000005"/>
    <n v="14990.820000000002"/>
    <x v="4"/>
    <x v="3"/>
    <x v="0"/>
  </r>
  <r>
    <n v="11243"/>
    <n v="505"/>
    <n v="2045"/>
    <x v="11"/>
    <x v="102"/>
    <x v="103"/>
    <n v="1"/>
    <n v="17"/>
    <x v="1"/>
    <x v="1"/>
    <n v="41.3"/>
    <n v="652.61"/>
    <n v="11094.37"/>
    <x v="2"/>
    <x v="1"/>
    <x v="1"/>
  </r>
  <r>
    <n v="11244"/>
    <n v="658"/>
    <n v="2019"/>
    <x v="12"/>
    <x v="127"/>
    <x v="351"/>
    <n v="9"/>
    <n v="14"/>
    <x v="3"/>
    <x v="2"/>
    <n v="27.65"/>
    <n v="89.85"/>
    <n v="1257.8999999999999"/>
    <x v="5"/>
    <x v="2"/>
    <x v="1"/>
  </r>
  <r>
    <n v="11245"/>
    <n v="888"/>
    <n v="2020"/>
    <x v="14"/>
    <x v="232"/>
    <x v="179"/>
    <n v="3"/>
    <n v="9"/>
    <x v="2"/>
    <x v="4"/>
    <n v="35.94"/>
    <n v="44.04"/>
    <n v="396.36"/>
    <x v="6"/>
    <x v="2"/>
    <x v="1"/>
  </r>
  <r>
    <n v="11246"/>
    <n v="666"/>
    <n v="2040"/>
    <x v="12"/>
    <x v="80"/>
    <x v="64"/>
    <n v="3"/>
    <n v="8"/>
    <x v="3"/>
    <x v="4"/>
    <n v="3.71"/>
    <n v="27.53"/>
    <n v="220.24"/>
    <x v="5"/>
    <x v="2"/>
    <x v="1"/>
  </r>
  <r>
    <n v="11247"/>
    <n v="784"/>
    <n v="2078"/>
    <x v="12"/>
    <x v="209"/>
    <x v="213"/>
    <n v="7"/>
    <n v="76"/>
    <x v="1"/>
    <x v="3"/>
    <n v="14.85"/>
    <n v="517.03"/>
    <n v="39294.28"/>
    <x v="5"/>
    <x v="2"/>
    <x v="1"/>
  </r>
  <r>
    <n v="11248"/>
    <n v="664"/>
    <n v="2068"/>
    <x v="11"/>
    <x v="125"/>
    <x v="42"/>
    <n v="7"/>
    <n v="3"/>
    <x v="3"/>
    <x v="4"/>
    <n v="47.08"/>
    <n v="501.03"/>
    <n v="1503.09"/>
    <x v="2"/>
    <x v="1"/>
    <x v="1"/>
  </r>
  <r>
    <n v="11249"/>
    <n v="878"/>
    <n v="2022"/>
    <x v="9"/>
    <x v="104"/>
    <x v="240"/>
    <n v="3"/>
    <n v="88"/>
    <x v="2"/>
    <x v="0"/>
    <n v="47.91"/>
    <n v="756.92"/>
    <n v="66608.959999999992"/>
    <x v="3"/>
    <x v="1"/>
    <x v="2"/>
  </r>
  <r>
    <n v="11250"/>
    <n v="719"/>
    <n v="2001"/>
    <x v="3"/>
    <x v="358"/>
    <x v="118"/>
    <n v="3"/>
    <n v="94"/>
    <x v="0"/>
    <x v="1"/>
    <n v="49.85"/>
    <n v="471.41"/>
    <n v="44312.54"/>
    <x v="2"/>
    <x v="2"/>
    <x v="2"/>
  </r>
  <r>
    <n v="11251"/>
    <n v="575"/>
    <n v="2096"/>
    <x v="3"/>
    <x v="343"/>
    <x v="351"/>
    <n v="5"/>
    <n v="90"/>
    <x v="3"/>
    <x v="2"/>
    <n v="20.04"/>
    <n v="70.19"/>
    <n v="6317.0999999999995"/>
    <x v="2"/>
    <x v="2"/>
    <x v="2"/>
  </r>
  <r>
    <n v="11252"/>
    <n v="867"/>
    <n v="2073"/>
    <x v="18"/>
    <x v="201"/>
    <x v="196"/>
    <n v="9"/>
    <n v="78"/>
    <x v="0"/>
    <x v="1"/>
    <n v="11.78"/>
    <n v="416.74"/>
    <n v="32505.72"/>
    <x v="0"/>
    <x v="3"/>
    <x v="0"/>
  </r>
  <r>
    <n v="11253"/>
    <n v="831"/>
    <n v="2043"/>
    <x v="19"/>
    <x v="28"/>
    <x v="96"/>
    <n v="6"/>
    <n v="6"/>
    <x v="1"/>
    <x v="4"/>
    <n v="14.98"/>
    <n v="375.85"/>
    <n v="2255.1000000000004"/>
    <x v="7"/>
    <x v="3"/>
    <x v="1"/>
  </r>
  <r>
    <n v="11254"/>
    <n v="762"/>
    <n v="2044"/>
    <x v="19"/>
    <x v="275"/>
    <x v="107"/>
    <n v="8"/>
    <n v="4"/>
    <x v="0"/>
    <x v="3"/>
    <n v="11.44"/>
    <n v="939.99"/>
    <n v="3759.96"/>
    <x v="7"/>
    <x v="3"/>
    <x v="1"/>
  </r>
  <r>
    <n v="11255"/>
    <n v="700"/>
    <n v="2068"/>
    <x v="13"/>
    <x v="316"/>
    <x v="46"/>
    <n v="3"/>
    <n v="99"/>
    <x v="3"/>
    <x v="4"/>
    <n v="47.08"/>
    <n v="501.03"/>
    <n v="49601.969999999994"/>
    <x v="1"/>
    <x v="1"/>
    <x v="0"/>
  </r>
  <r>
    <n v="11256"/>
    <n v="852"/>
    <n v="2050"/>
    <x v="18"/>
    <x v="235"/>
    <x v="179"/>
    <n v="2"/>
    <n v="47"/>
    <x v="1"/>
    <x v="3"/>
    <n v="36.43"/>
    <n v="507.16"/>
    <n v="23836.52"/>
    <x v="0"/>
    <x v="3"/>
    <x v="0"/>
  </r>
  <r>
    <n v="11257"/>
    <n v="852"/>
    <n v="2051"/>
    <x v="14"/>
    <x v="322"/>
    <x v="218"/>
    <n v="9"/>
    <n v="89"/>
    <x v="3"/>
    <x v="1"/>
    <n v="47.82"/>
    <n v="376.19"/>
    <n v="33480.909999999996"/>
    <x v="6"/>
    <x v="2"/>
    <x v="1"/>
  </r>
  <r>
    <n v="11258"/>
    <n v="654"/>
    <n v="2033"/>
    <x v="12"/>
    <x v="123"/>
    <x v="85"/>
    <n v="7"/>
    <n v="70"/>
    <x v="1"/>
    <x v="2"/>
    <n v="8.33"/>
    <n v="629.69000000000005"/>
    <n v="44078.3"/>
    <x v="5"/>
    <x v="2"/>
    <x v="1"/>
  </r>
  <r>
    <n v="11259"/>
    <n v="711"/>
    <n v="2069"/>
    <x v="10"/>
    <x v="339"/>
    <x v="282"/>
    <n v="5"/>
    <n v="44"/>
    <x v="0"/>
    <x v="2"/>
    <n v="2.94"/>
    <n v="494.92"/>
    <n v="21776.48"/>
    <x v="0"/>
    <x v="2"/>
    <x v="0"/>
  </r>
  <r>
    <n v="11260"/>
    <n v="820"/>
    <n v="2019"/>
    <x v="11"/>
    <x v="236"/>
    <x v="251"/>
    <n v="3"/>
    <n v="78"/>
    <x v="0"/>
    <x v="2"/>
    <n v="27.65"/>
    <n v="89.85"/>
    <n v="7008.2999999999993"/>
    <x v="2"/>
    <x v="1"/>
    <x v="1"/>
  </r>
  <r>
    <n v="11261"/>
    <n v="734"/>
    <n v="2080"/>
    <x v="15"/>
    <x v="114"/>
    <x v="118"/>
    <n v="2"/>
    <n v="34"/>
    <x v="2"/>
    <x v="1"/>
    <n v="29.56"/>
    <n v="143.84"/>
    <n v="4890.5600000000004"/>
    <x v="2"/>
    <x v="1"/>
    <x v="0"/>
  </r>
  <r>
    <n v="11262"/>
    <n v="828"/>
    <n v="2042"/>
    <x v="9"/>
    <x v="232"/>
    <x v="191"/>
    <n v="10"/>
    <n v="44"/>
    <x v="1"/>
    <x v="4"/>
    <n v="46.87"/>
    <n v="313.88"/>
    <n v="13810.72"/>
    <x v="3"/>
    <x v="1"/>
    <x v="2"/>
  </r>
  <r>
    <n v="11263"/>
    <n v="735"/>
    <n v="2042"/>
    <x v="10"/>
    <x v="133"/>
    <x v="347"/>
    <n v="4"/>
    <n v="29"/>
    <x v="1"/>
    <x v="4"/>
    <n v="46.87"/>
    <n v="313.88"/>
    <n v="9102.52"/>
    <x v="0"/>
    <x v="2"/>
    <x v="0"/>
  </r>
  <r>
    <n v="11264"/>
    <n v="552"/>
    <n v="2026"/>
    <x v="8"/>
    <x v="70"/>
    <x v="292"/>
    <n v="4"/>
    <n v="11"/>
    <x v="1"/>
    <x v="2"/>
    <n v="23.02"/>
    <n v="858.57"/>
    <n v="9444.27"/>
    <x v="2"/>
    <x v="2"/>
    <x v="1"/>
  </r>
  <r>
    <n v="11265"/>
    <n v="680"/>
    <n v="2084"/>
    <x v="4"/>
    <x v="209"/>
    <x v="171"/>
    <n v="3"/>
    <n v="33"/>
    <x v="2"/>
    <x v="3"/>
    <n v="14.27"/>
    <n v="223.58"/>
    <n v="7378.14"/>
    <x v="1"/>
    <x v="2"/>
    <x v="0"/>
  </r>
  <r>
    <n v="11266"/>
    <n v="570"/>
    <n v="2003"/>
    <x v="19"/>
    <x v="127"/>
    <x v="157"/>
    <n v="6"/>
    <n v="66"/>
    <x v="1"/>
    <x v="0"/>
    <n v="39.74"/>
    <n v="864.17"/>
    <n v="57035.219999999994"/>
    <x v="7"/>
    <x v="3"/>
    <x v="1"/>
  </r>
  <r>
    <n v="11267"/>
    <n v="675"/>
    <n v="2098"/>
    <x v="1"/>
    <x v="35"/>
    <x v="60"/>
    <n v="1"/>
    <n v="7"/>
    <x v="3"/>
    <x v="0"/>
    <n v="25.35"/>
    <n v="571.58000000000004"/>
    <n v="4001.0600000000004"/>
    <x v="1"/>
    <x v="0"/>
    <x v="1"/>
  </r>
  <r>
    <n v="11268"/>
    <n v="840"/>
    <n v="2056"/>
    <x v="0"/>
    <x v="105"/>
    <x v="66"/>
    <n v="9"/>
    <n v="62"/>
    <x v="2"/>
    <x v="1"/>
    <n v="18.559999999999999"/>
    <n v="564.01"/>
    <n v="34968.620000000003"/>
    <x v="0"/>
    <x v="0"/>
    <x v="0"/>
  </r>
  <r>
    <n v="11269"/>
    <n v="563"/>
    <n v="2050"/>
    <x v="12"/>
    <x v="62"/>
    <x v="283"/>
    <n v="7"/>
    <n v="48"/>
    <x v="2"/>
    <x v="3"/>
    <n v="36.43"/>
    <n v="507.16"/>
    <n v="24343.68"/>
    <x v="5"/>
    <x v="2"/>
    <x v="1"/>
  </r>
  <r>
    <n v="11270"/>
    <n v="708"/>
    <n v="2063"/>
    <x v="3"/>
    <x v="311"/>
    <x v="217"/>
    <n v="2"/>
    <n v="8"/>
    <x v="3"/>
    <x v="1"/>
    <n v="13.23"/>
    <n v="151.69999999999999"/>
    <n v="1213.5999999999999"/>
    <x v="2"/>
    <x v="2"/>
    <x v="2"/>
  </r>
  <r>
    <n v="11271"/>
    <n v="765"/>
    <n v="2087"/>
    <x v="5"/>
    <x v="308"/>
    <x v="188"/>
    <n v="8"/>
    <n v="75"/>
    <x v="2"/>
    <x v="1"/>
    <n v="35.82"/>
    <n v="47.38"/>
    <n v="3553.5"/>
    <x v="0"/>
    <x v="2"/>
    <x v="1"/>
  </r>
  <r>
    <n v="11272"/>
    <n v="548"/>
    <n v="2067"/>
    <x v="1"/>
    <x v="97"/>
    <x v="214"/>
    <n v="1"/>
    <n v="42"/>
    <x v="3"/>
    <x v="1"/>
    <n v="24.79"/>
    <n v="48.68"/>
    <n v="2044.56"/>
    <x v="1"/>
    <x v="0"/>
    <x v="1"/>
  </r>
  <r>
    <n v="11273"/>
    <n v="773"/>
    <n v="2010"/>
    <x v="5"/>
    <x v="320"/>
    <x v="323"/>
    <n v="9"/>
    <n v="2"/>
    <x v="0"/>
    <x v="0"/>
    <n v="9.58"/>
    <n v="440.93"/>
    <n v="881.86"/>
    <x v="0"/>
    <x v="2"/>
    <x v="1"/>
  </r>
  <r>
    <n v="11274"/>
    <n v="582"/>
    <n v="2056"/>
    <x v="9"/>
    <x v="105"/>
    <x v="133"/>
    <n v="7"/>
    <n v="93"/>
    <x v="3"/>
    <x v="1"/>
    <n v="18.559999999999999"/>
    <n v="564.01"/>
    <n v="52452.93"/>
    <x v="3"/>
    <x v="1"/>
    <x v="2"/>
  </r>
  <r>
    <n v="11275"/>
    <n v="891"/>
    <n v="2003"/>
    <x v="4"/>
    <x v="180"/>
    <x v="58"/>
    <n v="8"/>
    <n v="80"/>
    <x v="0"/>
    <x v="0"/>
    <n v="39.74"/>
    <n v="864.17"/>
    <n v="69133.599999999991"/>
    <x v="1"/>
    <x v="2"/>
    <x v="0"/>
  </r>
  <r>
    <n v="11276"/>
    <n v="776"/>
    <n v="2095"/>
    <x v="12"/>
    <x v="350"/>
    <x v="187"/>
    <n v="2"/>
    <n v="71"/>
    <x v="1"/>
    <x v="0"/>
    <n v="38.81"/>
    <n v="761.63"/>
    <n v="54075.73"/>
    <x v="5"/>
    <x v="2"/>
    <x v="1"/>
  </r>
  <r>
    <n v="11277"/>
    <n v="697"/>
    <n v="2073"/>
    <x v="17"/>
    <x v="348"/>
    <x v="52"/>
    <n v="4"/>
    <n v="79"/>
    <x v="1"/>
    <x v="1"/>
    <n v="11.78"/>
    <n v="416.74"/>
    <n v="32922.46"/>
    <x v="5"/>
    <x v="1"/>
    <x v="1"/>
  </r>
  <r>
    <n v="11278"/>
    <n v="837"/>
    <n v="2074"/>
    <x v="4"/>
    <x v="165"/>
    <x v="43"/>
    <n v="2"/>
    <n v="48"/>
    <x v="2"/>
    <x v="0"/>
    <n v="41.45"/>
    <n v="650.42999999999995"/>
    <n v="31220.639999999999"/>
    <x v="1"/>
    <x v="2"/>
    <x v="0"/>
  </r>
  <r>
    <n v="11279"/>
    <n v="866"/>
    <n v="2094"/>
    <x v="9"/>
    <x v="164"/>
    <x v="208"/>
    <n v="8"/>
    <n v="54"/>
    <x v="3"/>
    <x v="4"/>
    <n v="22.56"/>
    <n v="393.53"/>
    <n v="21250.62"/>
    <x v="3"/>
    <x v="1"/>
    <x v="2"/>
  </r>
  <r>
    <n v="11280"/>
    <n v="546"/>
    <n v="2046"/>
    <x v="15"/>
    <x v="17"/>
    <x v="351"/>
    <n v="2"/>
    <n v="54"/>
    <x v="2"/>
    <x v="4"/>
    <n v="38.130000000000003"/>
    <n v="649.34"/>
    <n v="35064.36"/>
    <x v="2"/>
    <x v="1"/>
    <x v="0"/>
  </r>
  <r>
    <n v="11281"/>
    <n v="727"/>
    <n v="2041"/>
    <x v="10"/>
    <x v="202"/>
    <x v="331"/>
    <n v="2"/>
    <n v="9"/>
    <x v="1"/>
    <x v="2"/>
    <n v="48.2"/>
    <n v="792.77"/>
    <n v="7134.93"/>
    <x v="0"/>
    <x v="2"/>
    <x v="0"/>
  </r>
  <r>
    <n v="11282"/>
    <n v="720"/>
    <n v="2079"/>
    <x v="11"/>
    <x v="339"/>
    <x v="37"/>
    <n v="2"/>
    <n v="61"/>
    <x v="2"/>
    <x v="2"/>
    <n v="12.3"/>
    <n v="99.7"/>
    <n v="6081.7"/>
    <x v="2"/>
    <x v="1"/>
    <x v="1"/>
  </r>
  <r>
    <n v="11283"/>
    <n v="841"/>
    <n v="2095"/>
    <x v="15"/>
    <x v="274"/>
    <x v="302"/>
    <n v="1"/>
    <n v="70"/>
    <x v="0"/>
    <x v="0"/>
    <n v="38.81"/>
    <n v="761.63"/>
    <n v="53314.1"/>
    <x v="2"/>
    <x v="1"/>
    <x v="0"/>
  </r>
  <r>
    <n v="11284"/>
    <n v="729"/>
    <n v="2040"/>
    <x v="6"/>
    <x v="301"/>
    <x v="208"/>
    <n v="3"/>
    <n v="80"/>
    <x v="3"/>
    <x v="4"/>
    <n v="3.71"/>
    <n v="27.53"/>
    <n v="2202.4"/>
    <x v="3"/>
    <x v="1"/>
    <x v="0"/>
  </r>
  <r>
    <n v="11285"/>
    <n v="808"/>
    <n v="2026"/>
    <x v="1"/>
    <x v="357"/>
    <x v="134"/>
    <n v="6"/>
    <n v="31"/>
    <x v="3"/>
    <x v="2"/>
    <n v="23.02"/>
    <n v="858.57"/>
    <n v="26615.670000000002"/>
    <x v="1"/>
    <x v="0"/>
    <x v="1"/>
  </r>
  <r>
    <n v="11286"/>
    <n v="717"/>
    <n v="2021"/>
    <x v="15"/>
    <x v="324"/>
    <x v="193"/>
    <n v="8"/>
    <n v="50"/>
    <x v="2"/>
    <x v="1"/>
    <n v="18.77"/>
    <n v="259.72000000000003"/>
    <n v="12986.000000000002"/>
    <x v="2"/>
    <x v="1"/>
    <x v="0"/>
  </r>
  <r>
    <n v="11287"/>
    <n v="816"/>
    <n v="2097"/>
    <x v="10"/>
    <x v="215"/>
    <x v="352"/>
    <n v="4"/>
    <n v="89"/>
    <x v="2"/>
    <x v="4"/>
    <n v="30.63"/>
    <n v="828.74"/>
    <n v="73757.86"/>
    <x v="0"/>
    <x v="2"/>
    <x v="0"/>
  </r>
  <r>
    <n v="11288"/>
    <n v="533"/>
    <n v="2038"/>
    <x v="16"/>
    <x v="133"/>
    <x v="295"/>
    <n v="7"/>
    <n v="61"/>
    <x v="0"/>
    <x v="4"/>
    <n v="26.62"/>
    <n v="680"/>
    <n v="41480"/>
    <x v="6"/>
    <x v="2"/>
    <x v="2"/>
  </r>
  <r>
    <n v="11289"/>
    <n v="745"/>
    <n v="2014"/>
    <x v="0"/>
    <x v="258"/>
    <x v="260"/>
    <n v="4"/>
    <n v="52"/>
    <x v="3"/>
    <x v="4"/>
    <n v="12.2"/>
    <n v="652.53"/>
    <n v="33931.56"/>
    <x v="0"/>
    <x v="0"/>
    <x v="0"/>
  </r>
  <r>
    <n v="11290"/>
    <n v="870"/>
    <n v="2086"/>
    <x v="9"/>
    <x v="349"/>
    <x v="116"/>
    <n v="8"/>
    <n v="85"/>
    <x v="0"/>
    <x v="4"/>
    <n v="27.73"/>
    <n v="417.42"/>
    <n v="35480.700000000004"/>
    <x v="3"/>
    <x v="1"/>
    <x v="2"/>
  </r>
  <r>
    <n v="11291"/>
    <n v="676"/>
    <n v="2082"/>
    <x v="4"/>
    <x v="55"/>
    <x v="287"/>
    <n v="9"/>
    <n v="66"/>
    <x v="2"/>
    <x v="2"/>
    <n v="41.79"/>
    <n v="352.17"/>
    <n v="23243.22"/>
    <x v="1"/>
    <x v="2"/>
    <x v="0"/>
  </r>
  <r>
    <n v="11292"/>
    <n v="854"/>
    <n v="2076"/>
    <x v="18"/>
    <x v="335"/>
    <x v="57"/>
    <n v="2"/>
    <n v="68"/>
    <x v="0"/>
    <x v="0"/>
    <n v="14.63"/>
    <n v="638.11"/>
    <n v="43391.48"/>
    <x v="0"/>
    <x v="3"/>
    <x v="0"/>
  </r>
  <r>
    <n v="11293"/>
    <n v="670"/>
    <n v="2007"/>
    <x v="17"/>
    <x v="2"/>
    <x v="77"/>
    <n v="4"/>
    <n v="70"/>
    <x v="1"/>
    <x v="3"/>
    <n v="48.07"/>
    <n v="759.78"/>
    <n v="53184.6"/>
    <x v="5"/>
    <x v="1"/>
    <x v="1"/>
  </r>
  <r>
    <n v="11294"/>
    <n v="849"/>
    <n v="2070"/>
    <x v="10"/>
    <x v="160"/>
    <x v="219"/>
    <n v="2"/>
    <n v="56"/>
    <x v="2"/>
    <x v="2"/>
    <n v="22.6"/>
    <n v="196.67"/>
    <n v="11013.519999999999"/>
    <x v="0"/>
    <x v="2"/>
    <x v="0"/>
  </r>
  <r>
    <n v="11295"/>
    <n v="879"/>
    <n v="2048"/>
    <x v="11"/>
    <x v="230"/>
    <x v="223"/>
    <n v="1"/>
    <n v="10"/>
    <x v="2"/>
    <x v="2"/>
    <n v="6.74"/>
    <n v="864.57"/>
    <n v="8645.7000000000007"/>
    <x v="2"/>
    <x v="1"/>
    <x v="1"/>
  </r>
  <r>
    <n v="11296"/>
    <n v="675"/>
    <n v="2092"/>
    <x v="5"/>
    <x v="104"/>
    <x v="315"/>
    <n v="7"/>
    <n v="59"/>
    <x v="1"/>
    <x v="2"/>
    <n v="30.97"/>
    <n v="521.23"/>
    <n v="30752.57"/>
    <x v="0"/>
    <x v="2"/>
    <x v="1"/>
  </r>
  <r>
    <n v="11297"/>
    <n v="540"/>
    <n v="2009"/>
    <x v="9"/>
    <x v="160"/>
    <x v="78"/>
    <n v="7"/>
    <n v="87"/>
    <x v="2"/>
    <x v="3"/>
    <n v="16.82"/>
    <n v="376.01"/>
    <n v="32712.87"/>
    <x v="3"/>
    <x v="1"/>
    <x v="2"/>
  </r>
  <r>
    <n v="11298"/>
    <n v="526"/>
    <n v="2012"/>
    <x v="8"/>
    <x v="307"/>
    <x v="39"/>
    <n v="8"/>
    <n v="57"/>
    <x v="3"/>
    <x v="3"/>
    <n v="34.93"/>
    <n v="327.92"/>
    <n v="18691.440000000002"/>
    <x v="2"/>
    <x v="2"/>
    <x v="1"/>
  </r>
  <r>
    <n v="11299"/>
    <n v="753"/>
    <n v="2098"/>
    <x v="7"/>
    <x v="63"/>
    <x v="244"/>
    <n v="6"/>
    <n v="41"/>
    <x v="3"/>
    <x v="0"/>
    <n v="25.35"/>
    <n v="571.58000000000004"/>
    <n v="23434.780000000002"/>
    <x v="4"/>
    <x v="3"/>
    <x v="0"/>
  </r>
  <r>
    <n v="11300"/>
    <n v="744"/>
    <n v="2045"/>
    <x v="16"/>
    <x v="74"/>
    <x v="79"/>
    <n v="1"/>
    <n v="86"/>
    <x v="1"/>
    <x v="1"/>
    <n v="41.3"/>
    <n v="652.61"/>
    <n v="56124.46"/>
    <x v="6"/>
    <x v="2"/>
    <x v="2"/>
  </r>
  <r>
    <n v="11301"/>
    <n v="637"/>
    <n v="2041"/>
    <x v="2"/>
    <x v="43"/>
    <x v="311"/>
    <n v="7"/>
    <n v="22"/>
    <x v="0"/>
    <x v="2"/>
    <n v="48.2"/>
    <n v="792.77"/>
    <n v="17440.939999999999"/>
    <x v="2"/>
    <x v="1"/>
    <x v="2"/>
  </r>
  <r>
    <n v="11302"/>
    <n v="555"/>
    <n v="2097"/>
    <x v="5"/>
    <x v="83"/>
    <x v="335"/>
    <n v="7"/>
    <n v="31"/>
    <x v="3"/>
    <x v="4"/>
    <n v="30.63"/>
    <n v="828.74"/>
    <n v="25690.94"/>
    <x v="0"/>
    <x v="2"/>
    <x v="1"/>
  </r>
  <r>
    <n v="11303"/>
    <n v="509"/>
    <n v="2027"/>
    <x v="15"/>
    <x v="311"/>
    <x v="59"/>
    <n v="7"/>
    <n v="11"/>
    <x v="1"/>
    <x v="0"/>
    <n v="45.95"/>
    <n v="454.58"/>
    <n v="5000.38"/>
    <x v="2"/>
    <x v="1"/>
    <x v="0"/>
  </r>
  <r>
    <n v="11304"/>
    <n v="865"/>
    <n v="2030"/>
    <x v="9"/>
    <x v="272"/>
    <x v="332"/>
    <n v="5"/>
    <n v="32"/>
    <x v="0"/>
    <x v="0"/>
    <n v="27.52"/>
    <n v="537.03"/>
    <n v="17184.96"/>
    <x v="3"/>
    <x v="1"/>
    <x v="2"/>
  </r>
  <r>
    <n v="11305"/>
    <n v="640"/>
    <n v="2079"/>
    <x v="10"/>
    <x v="4"/>
    <x v="195"/>
    <n v="9"/>
    <n v="65"/>
    <x v="0"/>
    <x v="2"/>
    <n v="12.3"/>
    <n v="99.7"/>
    <n v="6480.5"/>
    <x v="0"/>
    <x v="2"/>
    <x v="0"/>
  </r>
  <r>
    <n v="11306"/>
    <n v="830"/>
    <n v="2002"/>
    <x v="5"/>
    <x v="254"/>
    <x v="207"/>
    <n v="4"/>
    <n v="46"/>
    <x v="1"/>
    <x v="0"/>
    <n v="30.78"/>
    <n v="646.99"/>
    <n v="29761.54"/>
    <x v="0"/>
    <x v="2"/>
    <x v="1"/>
  </r>
  <r>
    <n v="11307"/>
    <n v="840"/>
    <n v="2007"/>
    <x v="13"/>
    <x v="125"/>
    <x v="89"/>
    <n v="2"/>
    <n v="3"/>
    <x v="0"/>
    <x v="3"/>
    <n v="48.07"/>
    <n v="759.78"/>
    <n v="2279.34"/>
    <x v="1"/>
    <x v="1"/>
    <x v="0"/>
  </r>
  <r>
    <n v="11308"/>
    <n v="833"/>
    <n v="2012"/>
    <x v="0"/>
    <x v="146"/>
    <x v="308"/>
    <n v="7"/>
    <n v="67"/>
    <x v="1"/>
    <x v="3"/>
    <n v="34.93"/>
    <n v="327.92"/>
    <n v="21970.639999999999"/>
    <x v="0"/>
    <x v="0"/>
    <x v="0"/>
  </r>
  <r>
    <n v="11309"/>
    <n v="782"/>
    <n v="2009"/>
    <x v="17"/>
    <x v="174"/>
    <x v="345"/>
    <n v="9"/>
    <n v="52"/>
    <x v="2"/>
    <x v="3"/>
    <n v="16.82"/>
    <n v="376.01"/>
    <n v="19552.52"/>
    <x v="5"/>
    <x v="1"/>
    <x v="1"/>
  </r>
  <r>
    <n v="11310"/>
    <n v="773"/>
    <n v="2083"/>
    <x v="0"/>
    <x v="238"/>
    <x v="321"/>
    <n v="5"/>
    <n v="79"/>
    <x v="0"/>
    <x v="2"/>
    <n v="13.79"/>
    <n v="843.82"/>
    <n v="66661.78"/>
    <x v="0"/>
    <x v="0"/>
    <x v="0"/>
  </r>
  <r>
    <n v="11311"/>
    <n v="525"/>
    <n v="2004"/>
    <x v="7"/>
    <x v="176"/>
    <x v="265"/>
    <n v="1"/>
    <n v="87"/>
    <x v="3"/>
    <x v="1"/>
    <n v="4.34"/>
    <n v="52.14"/>
    <n v="4536.18"/>
    <x v="4"/>
    <x v="3"/>
    <x v="0"/>
  </r>
  <r>
    <n v="11312"/>
    <n v="659"/>
    <n v="2094"/>
    <x v="7"/>
    <x v="252"/>
    <x v="246"/>
    <n v="7"/>
    <n v="15"/>
    <x v="1"/>
    <x v="4"/>
    <n v="22.56"/>
    <n v="393.53"/>
    <n v="5902.95"/>
    <x v="4"/>
    <x v="3"/>
    <x v="0"/>
  </r>
  <r>
    <n v="11313"/>
    <n v="634"/>
    <n v="2047"/>
    <x v="18"/>
    <x v="123"/>
    <x v="131"/>
    <n v="4"/>
    <n v="90"/>
    <x v="1"/>
    <x v="4"/>
    <n v="31.72"/>
    <n v="210.46"/>
    <n v="18941.400000000001"/>
    <x v="0"/>
    <x v="3"/>
    <x v="0"/>
  </r>
  <r>
    <n v="11314"/>
    <n v="530"/>
    <n v="2063"/>
    <x v="15"/>
    <x v="281"/>
    <x v="251"/>
    <n v="4"/>
    <n v="86"/>
    <x v="0"/>
    <x v="1"/>
    <n v="13.23"/>
    <n v="151.69999999999999"/>
    <n v="13046.199999999999"/>
    <x v="2"/>
    <x v="1"/>
    <x v="0"/>
  </r>
  <r>
    <n v="11315"/>
    <n v="621"/>
    <n v="2050"/>
    <x v="12"/>
    <x v="308"/>
    <x v="199"/>
    <n v="6"/>
    <n v="87"/>
    <x v="3"/>
    <x v="3"/>
    <n v="36.43"/>
    <n v="507.16"/>
    <n v="44122.920000000006"/>
    <x v="5"/>
    <x v="2"/>
    <x v="1"/>
  </r>
  <r>
    <n v="11316"/>
    <n v="809"/>
    <n v="2084"/>
    <x v="2"/>
    <x v="345"/>
    <x v="271"/>
    <n v="4"/>
    <n v="83"/>
    <x v="1"/>
    <x v="3"/>
    <n v="14.27"/>
    <n v="223.58"/>
    <n v="18557.14"/>
    <x v="2"/>
    <x v="1"/>
    <x v="2"/>
  </r>
  <r>
    <n v="11317"/>
    <n v="607"/>
    <n v="2061"/>
    <x v="7"/>
    <x v="135"/>
    <x v="252"/>
    <n v="6"/>
    <n v="40"/>
    <x v="2"/>
    <x v="0"/>
    <n v="46.64"/>
    <n v="620.16999999999996"/>
    <n v="24806.799999999999"/>
    <x v="4"/>
    <x v="3"/>
    <x v="0"/>
  </r>
  <r>
    <n v="11318"/>
    <n v="735"/>
    <n v="2008"/>
    <x v="12"/>
    <x v="255"/>
    <x v="341"/>
    <n v="8"/>
    <n v="12"/>
    <x v="3"/>
    <x v="3"/>
    <n v="8.5"/>
    <n v="899.21"/>
    <n v="10790.52"/>
    <x v="5"/>
    <x v="2"/>
    <x v="1"/>
  </r>
  <r>
    <n v="11319"/>
    <n v="848"/>
    <n v="2017"/>
    <x v="2"/>
    <x v="158"/>
    <x v="164"/>
    <n v="1"/>
    <n v="68"/>
    <x v="2"/>
    <x v="2"/>
    <n v="38.24"/>
    <n v="788.08"/>
    <n v="53589.440000000002"/>
    <x v="2"/>
    <x v="1"/>
    <x v="2"/>
  </r>
  <r>
    <n v="11320"/>
    <n v="638"/>
    <n v="2064"/>
    <x v="14"/>
    <x v="7"/>
    <x v="228"/>
    <n v="4"/>
    <n v="19"/>
    <x v="1"/>
    <x v="3"/>
    <n v="15.41"/>
    <n v="203.79"/>
    <n v="3872.0099999999998"/>
    <x v="6"/>
    <x v="2"/>
    <x v="1"/>
  </r>
  <r>
    <n v="11321"/>
    <n v="672"/>
    <n v="2031"/>
    <x v="19"/>
    <x v="354"/>
    <x v="72"/>
    <n v="9"/>
    <n v="43"/>
    <x v="0"/>
    <x v="4"/>
    <n v="24.61"/>
    <n v="342.86"/>
    <n v="14742.980000000001"/>
    <x v="7"/>
    <x v="3"/>
    <x v="1"/>
  </r>
  <r>
    <n v="11322"/>
    <n v="781"/>
    <n v="2026"/>
    <x v="16"/>
    <x v="98"/>
    <x v="83"/>
    <n v="4"/>
    <n v="51"/>
    <x v="0"/>
    <x v="2"/>
    <n v="23.02"/>
    <n v="858.57"/>
    <n v="43787.07"/>
    <x v="6"/>
    <x v="2"/>
    <x v="2"/>
  </r>
  <r>
    <n v="11323"/>
    <n v="633"/>
    <n v="2064"/>
    <x v="1"/>
    <x v="177"/>
    <x v="92"/>
    <n v="2"/>
    <n v="48"/>
    <x v="0"/>
    <x v="3"/>
    <n v="15.41"/>
    <n v="203.79"/>
    <n v="9781.92"/>
    <x v="1"/>
    <x v="0"/>
    <x v="1"/>
  </r>
  <r>
    <n v="11324"/>
    <n v="674"/>
    <n v="2043"/>
    <x v="4"/>
    <x v="152"/>
    <x v="30"/>
    <n v="5"/>
    <n v="43"/>
    <x v="0"/>
    <x v="4"/>
    <n v="14.98"/>
    <n v="375.85"/>
    <n v="16161.550000000001"/>
    <x v="1"/>
    <x v="2"/>
    <x v="0"/>
  </r>
  <r>
    <n v="11325"/>
    <n v="650"/>
    <n v="2028"/>
    <x v="14"/>
    <x v="180"/>
    <x v="276"/>
    <n v="7"/>
    <n v="9"/>
    <x v="1"/>
    <x v="0"/>
    <n v="30.34"/>
    <n v="630.65"/>
    <n v="5675.8499999999995"/>
    <x v="6"/>
    <x v="2"/>
    <x v="1"/>
  </r>
  <r>
    <n v="11326"/>
    <n v="647"/>
    <n v="2031"/>
    <x v="10"/>
    <x v="62"/>
    <x v="352"/>
    <n v="3"/>
    <n v="51"/>
    <x v="3"/>
    <x v="4"/>
    <n v="24.61"/>
    <n v="342.86"/>
    <n v="17485.86"/>
    <x v="0"/>
    <x v="2"/>
    <x v="0"/>
  </r>
  <r>
    <n v="11327"/>
    <n v="769"/>
    <n v="2015"/>
    <x v="6"/>
    <x v="253"/>
    <x v="353"/>
    <n v="3"/>
    <n v="94"/>
    <x v="2"/>
    <x v="0"/>
    <n v="35.520000000000003"/>
    <n v="638.11"/>
    <n v="59982.340000000004"/>
    <x v="3"/>
    <x v="1"/>
    <x v="0"/>
  </r>
  <r>
    <n v="11328"/>
    <n v="612"/>
    <n v="2089"/>
    <x v="7"/>
    <x v="279"/>
    <x v="170"/>
    <n v="7"/>
    <n v="80"/>
    <x v="3"/>
    <x v="2"/>
    <n v="19.170000000000002"/>
    <n v="513.33000000000004"/>
    <n v="41066.400000000001"/>
    <x v="4"/>
    <x v="3"/>
    <x v="0"/>
  </r>
  <r>
    <n v="11329"/>
    <n v="508"/>
    <n v="2079"/>
    <x v="16"/>
    <x v="163"/>
    <x v="274"/>
    <n v="3"/>
    <n v="57"/>
    <x v="2"/>
    <x v="2"/>
    <n v="12.3"/>
    <n v="99.7"/>
    <n v="5682.9000000000005"/>
    <x v="6"/>
    <x v="2"/>
    <x v="2"/>
  </r>
  <r>
    <n v="11330"/>
    <n v="692"/>
    <n v="2073"/>
    <x v="9"/>
    <x v="251"/>
    <x v="304"/>
    <n v="2"/>
    <n v="82"/>
    <x v="0"/>
    <x v="1"/>
    <n v="11.78"/>
    <n v="416.74"/>
    <n v="34172.68"/>
    <x v="3"/>
    <x v="1"/>
    <x v="2"/>
  </r>
  <r>
    <n v="11331"/>
    <n v="730"/>
    <n v="2079"/>
    <x v="6"/>
    <x v="209"/>
    <x v="294"/>
    <n v="6"/>
    <n v="8"/>
    <x v="2"/>
    <x v="2"/>
    <n v="12.3"/>
    <n v="99.7"/>
    <n v="797.6"/>
    <x v="3"/>
    <x v="1"/>
    <x v="0"/>
  </r>
  <r>
    <n v="11332"/>
    <n v="682"/>
    <n v="2060"/>
    <x v="15"/>
    <x v="50"/>
    <x v="270"/>
    <n v="6"/>
    <n v="5"/>
    <x v="1"/>
    <x v="3"/>
    <n v="3.65"/>
    <n v="173.1"/>
    <n v="865.5"/>
    <x v="2"/>
    <x v="1"/>
    <x v="0"/>
  </r>
  <r>
    <n v="11333"/>
    <n v="843"/>
    <n v="2053"/>
    <x v="2"/>
    <x v="340"/>
    <x v="350"/>
    <n v="8"/>
    <n v="16"/>
    <x v="0"/>
    <x v="2"/>
    <n v="34.54"/>
    <n v="162.21"/>
    <n v="2595.36"/>
    <x v="2"/>
    <x v="1"/>
    <x v="2"/>
  </r>
  <r>
    <n v="11334"/>
    <n v="896"/>
    <n v="2004"/>
    <x v="17"/>
    <x v="86"/>
    <x v="80"/>
    <n v="7"/>
    <n v="76"/>
    <x v="1"/>
    <x v="1"/>
    <n v="4.34"/>
    <n v="52.14"/>
    <n v="3962.64"/>
    <x v="5"/>
    <x v="1"/>
    <x v="1"/>
  </r>
  <r>
    <n v="11335"/>
    <n v="712"/>
    <n v="2061"/>
    <x v="10"/>
    <x v="319"/>
    <x v="260"/>
    <n v="10"/>
    <n v="90"/>
    <x v="0"/>
    <x v="0"/>
    <n v="46.64"/>
    <n v="620.16999999999996"/>
    <n v="55815.299999999996"/>
    <x v="0"/>
    <x v="2"/>
    <x v="0"/>
  </r>
  <r>
    <n v="11336"/>
    <n v="893"/>
    <n v="2073"/>
    <x v="19"/>
    <x v="347"/>
    <x v="11"/>
    <n v="4"/>
    <n v="1"/>
    <x v="0"/>
    <x v="1"/>
    <n v="11.78"/>
    <n v="416.74"/>
    <n v="416.74"/>
    <x v="7"/>
    <x v="3"/>
    <x v="1"/>
  </r>
  <r>
    <n v="11337"/>
    <n v="878"/>
    <n v="2097"/>
    <x v="19"/>
    <x v="287"/>
    <x v="36"/>
    <n v="3"/>
    <n v="57"/>
    <x v="3"/>
    <x v="4"/>
    <n v="30.63"/>
    <n v="828.74"/>
    <n v="47238.18"/>
    <x v="7"/>
    <x v="3"/>
    <x v="1"/>
  </r>
  <r>
    <n v="11338"/>
    <n v="897"/>
    <n v="2098"/>
    <x v="18"/>
    <x v="18"/>
    <x v="228"/>
    <n v="10"/>
    <n v="68"/>
    <x v="1"/>
    <x v="0"/>
    <n v="25.35"/>
    <n v="571.58000000000004"/>
    <n v="38867.440000000002"/>
    <x v="0"/>
    <x v="3"/>
    <x v="0"/>
  </r>
  <r>
    <n v="11339"/>
    <n v="893"/>
    <n v="2072"/>
    <x v="16"/>
    <x v="229"/>
    <x v="61"/>
    <n v="3"/>
    <n v="13"/>
    <x v="0"/>
    <x v="1"/>
    <n v="26.22"/>
    <n v="576.57000000000005"/>
    <n v="7495.4100000000008"/>
    <x v="6"/>
    <x v="2"/>
    <x v="2"/>
  </r>
  <r>
    <n v="11340"/>
    <n v="527"/>
    <n v="2025"/>
    <x v="5"/>
    <x v="329"/>
    <x v="319"/>
    <n v="9"/>
    <n v="74"/>
    <x v="3"/>
    <x v="0"/>
    <n v="3.39"/>
    <n v="303.87"/>
    <n v="22486.38"/>
    <x v="0"/>
    <x v="2"/>
    <x v="1"/>
  </r>
  <r>
    <n v="11341"/>
    <n v="630"/>
    <n v="2073"/>
    <x v="9"/>
    <x v="152"/>
    <x v="40"/>
    <n v="2"/>
    <n v="13"/>
    <x v="0"/>
    <x v="1"/>
    <n v="11.78"/>
    <n v="416.74"/>
    <n v="5417.62"/>
    <x v="3"/>
    <x v="1"/>
    <x v="2"/>
  </r>
  <r>
    <n v="11342"/>
    <n v="566"/>
    <n v="2010"/>
    <x v="6"/>
    <x v="97"/>
    <x v="25"/>
    <n v="10"/>
    <n v="46"/>
    <x v="3"/>
    <x v="0"/>
    <n v="9.58"/>
    <n v="440.93"/>
    <n v="20282.78"/>
    <x v="3"/>
    <x v="1"/>
    <x v="0"/>
  </r>
  <r>
    <n v="11343"/>
    <n v="726"/>
    <n v="2099"/>
    <x v="6"/>
    <x v="130"/>
    <x v="110"/>
    <n v="5"/>
    <n v="51"/>
    <x v="0"/>
    <x v="3"/>
    <n v="31.62"/>
    <n v="652.77"/>
    <n v="33291.269999999997"/>
    <x v="3"/>
    <x v="1"/>
    <x v="0"/>
  </r>
  <r>
    <n v="11344"/>
    <n v="603"/>
    <n v="2003"/>
    <x v="17"/>
    <x v="3"/>
    <x v="353"/>
    <n v="7"/>
    <n v="90"/>
    <x v="1"/>
    <x v="0"/>
    <n v="39.74"/>
    <n v="864.17"/>
    <n v="77775.3"/>
    <x v="5"/>
    <x v="1"/>
    <x v="1"/>
  </r>
  <r>
    <n v="11345"/>
    <n v="617"/>
    <n v="2091"/>
    <x v="16"/>
    <x v="225"/>
    <x v="344"/>
    <n v="9"/>
    <n v="48"/>
    <x v="0"/>
    <x v="3"/>
    <n v="10.41"/>
    <n v="271.61"/>
    <n v="13037.28"/>
    <x v="6"/>
    <x v="2"/>
    <x v="2"/>
  </r>
  <r>
    <n v="11346"/>
    <n v="701"/>
    <n v="2039"/>
    <x v="19"/>
    <x v="229"/>
    <x v="156"/>
    <n v="10"/>
    <n v="47"/>
    <x v="3"/>
    <x v="4"/>
    <n v="2.69"/>
    <n v="350.51"/>
    <n v="16473.97"/>
    <x v="7"/>
    <x v="3"/>
    <x v="1"/>
  </r>
  <r>
    <n v="11347"/>
    <n v="538"/>
    <n v="2073"/>
    <x v="10"/>
    <x v="36"/>
    <x v="354"/>
    <n v="10"/>
    <n v="56"/>
    <x v="3"/>
    <x v="1"/>
    <n v="11.78"/>
    <n v="416.74"/>
    <n v="23337.440000000002"/>
    <x v="0"/>
    <x v="2"/>
    <x v="0"/>
  </r>
  <r>
    <n v="11348"/>
    <n v="797"/>
    <n v="2074"/>
    <x v="18"/>
    <x v="41"/>
    <x v="257"/>
    <n v="8"/>
    <n v="15"/>
    <x v="3"/>
    <x v="0"/>
    <n v="41.45"/>
    <n v="650.42999999999995"/>
    <n v="9756.4499999999989"/>
    <x v="0"/>
    <x v="3"/>
    <x v="0"/>
  </r>
  <r>
    <n v="11349"/>
    <n v="585"/>
    <n v="2012"/>
    <x v="17"/>
    <x v="96"/>
    <x v="97"/>
    <n v="2"/>
    <n v="17"/>
    <x v="0"/>
    <x v="3"/>
    <n v="34.93"/>
    <n v="327.92"/>
    <n v="5574.64"/>
    <x v="5"/>
    <x v="1"/>
    <x v="1"/>
  </r>
  <r>
    <n v="11350"/>
    <n v="599"/>
    <n v="2010"/>
    <x v="13"/>
    <x v="153"/>
    <x v="220"/>
    <n v="2"/>
    <n v="24"/>
    <x v="0"/>
    <x v="0"/>
    <n v="9.58"/>
    <n v="440.93"/>
    <n v="10582.32"/>
    <x v="1"/>
    <x v="1"/>
    <x v="0"/>
  </r>
  <r>
    <n v="11351"/>
    <n v="509"/>
    <n v="2050"/>
    <x v="15"/>
    <x v="335"/>
    <x v="263"/>
    <n v="5"/>
    <n v="44"/>
    <x v="3"/>
    <x v="3"/>
    <n v="36.43"/>
    <n v="507.16"/>
    <n v="22315.040000000001"/>
    <x v="2"/>
    <x v="1"/>
    <x v="0"/>
  </r>
  <r>
    <n v="11352"/>
    <n v="688"/>
    <n v="2030"/>
    <x v="0"/>
    <x v="210"/>
    <x v="75"/>
    <n v="10"/>
    <n v="47"/>
    <x v="0"/>
    <x v="0"/>
    <n v="27.52"/>
    <n v="537.03"/>
    <n v="25240.41"/>
    <x v="0"/>
    <x v="0"/>
    <x v="0"/>
  </r>
  <r>
    <n v="11353"/>
    <n v="609"/>
    <n v="2052"/>
    <x v="9"/>
    <x v="351"/>
    <x v="304"/>
    <n v="3"/>
    <n v="45"/>
    <x v="3"/>
    <x v="4"/>
    <n v="47.35"/>
    <n v="665.2"/>
    <n v="29934.000000000004"/>
    <x v="3"/>
    <x v="1"/>
    <x v="2"/>
  </r>
  <r>
    <n v="11354"/>
    <n v="544"/>
    <n v="2028"/>
    <x v="5"/>
    <x v="350"/>
    <x v="327"/>
    <n v="4"/>
    <n v="48"/>
    <x v="3"/>
    <x v="0"/>
    <n v="30.34"/>
    <n v="630.65"/>
    <n v="30271.199999999997"/>
    <x v="0"/>
    <x v="2"/>
    <x v="1"/>
  </r>
  <r>
    <n v="11355"/>
    <n v="860"/>
    <n v="2047"/>
    <x v="11"/>
    <x v="239"/>
    <x v="263"/>
    <n v="3"/>
    <n v="45"/>
    <x v="3"/>
    <x v="4"/>
    <n v="31.72"/>
    <n v="210.46"/>
    <n v="9470.7000000000007"/>
    <x v="2"/>
    <x v="1"/>
    <x v="1"/>
  </r>
  <r>
    <n v="11356"/>
    <n v="532"/>
    <n v="2026"/>
    <x v="15"/>
    <x v="126"/>
    <x v="55"/>
    <n v="4"/>
    <n v="1"/>
    <x v="0"/>
    <x v="2"/>
    <n v="23.02"/>
    <n v="858.57"/>
    <n v="858.57"/>
    <x v="2"/>
    <x v="1"/>
    <x v="0"/>
  </r>
  <r>
    <n v="11357"/>
    <n v="740"/>
    <n v="2031"/>
    <x v="1"/>
    <x v="271"/>
    <x v="132"/>
    <n v="3"/>
    <n v="3"/>
    <x v="2"/>
    <x v="4"/>
    <n v="24.61"/>
    <n v="342.86"/>
    <n v="1028.58"/>
    <x v="1"/>
    <x v="0"/>
    <x v="1"/>
  </r>
  <r>
    <n v="11358"/>
    <n v="639"/>
    <n v="2068"/>
    <x v="16"/>
    <x v="34"/>
    <x v="355"/>
    <n v="7"/>
    <n v="66"/>
    <x v="3"/>
    <x v="4"/>
    <n v="47.08"/>
    <n v="501.03"/>
    <n v="33067.979999999996"/>
    <x v="6"/>
    <x v="2"/>
    <x v="2"/>
  </r>
  <r>
    <n v="11359"/>
    <n v="681"/>
    <n v="2067"/>
    <x v="6"/>
    <x v="216"/>
    <x v="120"/>
    <n v="2"/>
    <n v="15"/>
    <x v="0"/>
    <x v="1"/>
    <n v="24.79"/>
    <n v="48.68"/>
    <n v="730.2"/>
    <x v="3"/>
    <x v="1"/>
    <x v="0"/>
  </r>
  <r>
    <n v="11360"/>
    <n v="893"/>
    <n v="2088"/>
    <x v="12"/>
    <x v="6"/>
    <x v="337"/>
    <n v="8"/>
    <n v="89"/>
    <x v="3"/>
    <x v="0"/>
    <n v="27.71"/>
    <n v="820.21"/>
    <n v="72998.69"/>
    <x v="5"/>
    <x v="2"/>
    <x v="1"/>
  </r>
  <r>
    <n v="11361"/>
    <n v="834"/>
    <n v="2044"/>
    <x v="18"/>
    <x v="263"/>
    <x v="122"/>
    <n v="7"/>
    <n v="58"/>
    <x v="2"/>
    <x v="3"/>
    <n v="11.44"/>
    <n v="939.99"/>
    <n v="54519.42"/>
    <x v="0"/>
    <x v="3"/>
    <x v="0"/>
  </r>
  <r>
    <n v="11362"/>
    <n v="679"/>
    <n v="2027"/>
    <x v="4"/>
    <x v="283"/>
    <x v="27"/>
    <n v="2"/>
    <n v="32"/>
    <x v="3"/>
    <x v="0"/>
    <n v="45.95"/>
    <n v="454.58"/>
    <n v="14546.56"/>
    <x v="1"/>
    <x v="2"/>
    <x v="0"/>
  </r>
  <r>
    <n v="11363"/>
    <n v="725"/>
    <n v="2100"/>
    <x v="7"/>
    <x v="318"/>
    <x v="336"/>
    <n v="8"/>
    <n v="5"/>
    <x v="1"/>
    <x v="4"/>
    <n v="2.2799999999999998"/>
    <n v="813.8"/>
    <n v="4069"/>
    <x v="4"/>
    <x v="3"/>
    <x v="0"/>
  </r>
  <r>
    <n v="11364"/>
    <n v="792"/>
    <n v="2082"/>
    <x v="4"/>
    <x v="90"/>
    <x v="315"/>
    <n v="3"/>
    <n v="53"/>
    <x v="0"/>
    <x v="2"/>
    <n v="41.79"/>
    <n v="352.17"/>
    <n v="18665.010000000002"/>
    <x v="1"/>
    <x v="2"/>
    <x v="0"/>
  </r>
  <r>
    <n v="11365"/>
    <n v="570"/>
    <n v="2067"/>
    <x v="4"/>
    <x v="348"/>
    <x v="330"/>
    <n v="3"/>
    <n v="44"/>
    <x v="2"/>
    <x v="1"/>
    <n v="24.79"/>
    <n v="48.68"/>
    <n v="2141.92"/>
    <x v="1"/>
    <x v="2"/>
    <x v="0"/>
  </r>
  <r>
    <n v="11366"/>
    <n v="598"/>
    <n v="2070"/>
    <x v="17"/>
    <x v="195"/>
    <x v="59"/>
    <n v="10"/>
    <n v="99"/>
    <x v="1"/>
    <x v="2"/>
    <n v="22.6"/>
    <n v="196.67"/>
    <n v="19470.329999999998"/>
    <x v="5"/>
    <x v="1"/>
    <x v="1"/>
  </r>
  <r>
    <n v="11367"/>
    <n v="704"/>
    <n v="2040"/>
    <x v="2"/>
    <x v="85"/>
    <x v="109"/>
    <n v="4"/>
    <n v="19"/>
    <x v="0"/>
    <x v="4"/>
    <n v="3.71"/>
    <n v="27.53"/>
    <n v="523.07000000000005"/>
    <x v="2"/>
    <x v="1"/>
    <x v="2"/>
  </r>
  <r>
    <n v="11368"/>
    <n v="877"/>
    <n v="2020"/>
    <x v="7"/>
    <x v="51"/>
    <x v="330"/>
    <n v="9"/>
    <n v="54"/>
    <x v="2"/>
    <x v="4"/>
    <n v="35.94"/>
    <n v="44.04"/>
    <n v="2378.16"/>
    <x v="4"/>
    <x v="3"/>
    <x v="0"/>
  </r>
  <r>
    <n v="11369"/>
    <n v="646"/>
    <n v="2075"/>
    <x v="19"/>
    <x v="15"/>
    <x v="356"/>
    <n v="7"/>
    <n v="32"/>
    <x v="3"/>
    <x v="4"/>
    <n v="16.57"/>
    <n v="429.9"/>
    <n v="13756.8"/>
    <x v="7"/>
    <x v="3"/>
    <x v="1"/>
  </r>
  <r>
    <n v="11370"/>
    <n v="551"/>
    <n v="2028"/>
    <x v="10"/>
    <x v="135"/>
    <x v="291"/>
    <n v="4"/>
    <n v="6"/>
    <x v="1"/>
    <x v="0"/>
    <n v="30.34"/>
    <n v="630.65"/>
    <n v="3783.8999999999996"/>
    <x v="0"/>
    <x v="2"/>
    <x v="0"/>
  </r>
  <r>
    <n v="11371"/>
    <n v="599"/>
    <n v="2037"/>
    <x v="11"/>
    <x v="2"/>
    <x v="160"/>
    <n v="8"/>
    <n v="51"/>
    <x v="3"/>
    <x v="3"/>
    <n v="29.23"/>
    <n v="491.44"/>
    <n v="25063.439999999999"/>
    <x v="2"/>
    <x v="1"/>
    <x v="1"/>
  </r>
  <r>
    <n v="11372"/>
    <n v="794"/>
    <n v="2027"/>
    <x v="7"/>
    <x v="49"/>
    <x v="31"/>
    <n v="10"/>
    <n v="68"/>
    <x v="3"/>
    <x v="0"/>
    <n v="45.95"/>
    <n v="454.58"/>
    <n v="30911.439999999999"/>
    <x v="4"/>
    <x v="3"/>
    <x v="0"/>
  </r>
  <r>
    <n v="11373"/>
    <n v="763"/>
    <n v="2027"/>
    <x v="11"/>
    <x v="327"/>
    <x v="193"/>
    <n v="7"/>
    <n v="66"/>
    <x v="2"/>
    <x v="0"/>
    <n v="45.95"/>
    <n v="454.58"/>
    <n v="30002.28"/>
    <x v="2"/>
    <x v="1"/>
    <x v="1"/>
  </r>
  <r>
    <n v="11374"/>
    <n v="767"/>
    <n v="2085"/>
    <x v="12"/>
    <x v="18"/>
    <x v="228"/>
    <n v="10"/>
    <n v="83"/>
    <x v="3"/>
    <x v="2"/>
    <n v="47.56"/>
    <n v="131.63"/>
    <n v="10925.289999999999"/>
    <x v="5"/>
    <x v="2"/>
    <x v="1"/>
  </r>
  <r>
    <n v="11375"/>
    <n v="877"/>
    <n v="2068"/>
    <x v="5"/>
    <x v="295"/>
    <x v="137"/>
    <n v="1"/>
    <n v="77"/>
    <x v="0"/>
    <x v="4"/>
    <n v="47.08"/>
    <n v="501.03"/>
    <n v="38579.31"/>
    <x v="0"/>
    <x v="2"/>
    <x v="1"/>
  </r>
  <r>
    <n v="11376"/>
    <n v="613"/>
    <n v="2002"/>
    <x v="1"/>
    <x v="280"/>
    <x v="65"/>
    <n v="1"/>
    <n v="27"/>
    <x v="0"/>
    <x v="0"/>
    <n v="30.78"/>
    <n v="646.99"/>
    <n v="17468.73"/>
    <x v="1"/>
    <x v="0"/>
    <x v="1"/>
  </r>
  <r>
    <n v="11377"/>
    <n v="799"/>
    <n v="2004"/>
    <x v="5"/>
    <x v="206"/>
    <x v="306"/>
    <n v="9"/>
    <n v="75"/>
    <x v="2"/>
    <x v="1"/>
    <n v="4.34"/>
    <n v="52.14"/>
    <n v="3910.5"/>
    <x v="0"/>
    <x v="2"/>
    <x v="1"/>
  </r>
  <r>
    <n v="11378"/>
    <n v="743"/>
    <n v="2008"/>
    <x v="14"/>
    <x v="70"/>
    <x v="292"/>
    <n v="4"/>
    <n v="20"/>
    <x v="1"/>
    <x v="3"/>
    <n v="8.5"/>
    <n v="899.21"/>
    <n v="17984.2"/>
    <x v="6"/>
    <x v="2"/>
    <x v="1"/>
  </r>
  <r>
    <n v="11379"/>
    <n v="798"/>
    <n v="2098"/>
    <x v="15"/>
    <x v="99"/>
    <x v="85"/>
    <n v="9"/>
    <n v="46"/>
    <x v="2"/>
    <x v="0"/>
    <n v="25.35"/>
    <n v="571.58000000000004"/>
    <n v="26292.68"/>
    <x v="2"/>
    <x v="1"/>
    <x v="0"/>
  </r>
  <r>
    <n v="11380"/>
    <n v="622"/>
    <n v="2076"/>
    <x v="12"/>
    <x v="267"/>
    <x v="96"/>
    <n v="3"/>
    <n v="88"/>
    <x v="1"/>
    <x v="0"/>
    <n v="14.63"/>
    <n v="638.11"/>
    <n v="56153.68"/>
    <x v="5"/>
    <x v="2"/>
    <x v="1"/>
  </r>
  <r>
    <n v="11381"/>
    <n v="616"/>
    <n v="2072"/>
    <x v="5"/>
    <x v="130"/>
    <x v="267"/>
    <n v="10"/>
    <n v="16"/>
    <x v="1"/>
    <x v="1"/>
    <n v="26.22"/>
    <n v="576.57000000000005"/>
    <n v="9225.1200000000008"/>
    <x v="0"/>
    <x v="2"/>
    <x v="1"/>
  </r>
  <r>
    <n v="11382"/>
    <n v="597"/>
    <n v="2075"/>
    <x v="8"/>
    <x v="234"/>
    <x v="357"/>
    <n v="10"/>
    <n v="22"/>
    <x v="0"/>
    <x v="4"/>
    <n v="16.57"/>
    <n v="429.9"/>
    <n v="9457.7999999999993"/>
    <x v="2"/>
    <x v="2"/>
    <x v="1"/>
  </r>
  <r>
    <n v="11383"/>
    <n v="546"/>
    <n v="2053"/>
    <x v="5"/>
    <x v="177"/>
    <x v="92"/>
    <n v="2"/>
    <n v="26"/>
    <x v="2"/>
    <x v="2"/>
    <n v="34.54"/>
    <n v="162.21"/>
    <n v="4217.46"/>
    <x v="0"/>
    <x v="2"/>
    <x v="1"/>
  </r>
  <r>
    <n v="11384"/>
    <n v="835"/>
    <n v="2072"/>
    <x v="17"/>
    <x v="140"/>
    <x v="258"/>
    <n v="10"/>
    <n v="24"/>
    <x v="0"/>
    <x v="1"/>
    <n v="26.22"/>
    <n v="576.57000000000005"/>
    <n v="13837.68"/>
    <x v="5"/>
    <x v="1"/>
    <x v="1"/>
  </r>
  <r>
    <n v="11385"/>
    <n v="881"/>
    <n v="2004"/>
    <x v="3"/>
    <x v="55"/>
    <x v="269"/>
    <n v="10"/>
    <n v="78"/>
    <x v="3"/>
    <x v="1"/>
    <n v="4.34"/>
    <n v="52.14"/>
    <n v="4066.92"/>
    <x v="2"/>
    <x v="2"/>
    <x v="2"/>
  </r>
  <r>
    <n v="11386"/>
    <n v="804"/>
    <n v="2003"/>
    <x v="15"/>
    <x v="190"/>
    <x v="125"/>
    <n v="4"/>
    <n v="64"/>
    <x v="3"/>
    <x v="0"/>
    <n v="39.74"/>
    <n v="864.17"/>
    <n v="55306.879999999997"/>
    <x v="2"/>
    <x v="1"/>
    <x v="0"/>
  </r>
  <r>
    <n v="11387"/>
    <n v="596"/>
    <n v="2097"/>
    <x v="13"/>
    <x v="215"/>
    <x v="311"/>
    <n v="10"/>
    <n v="98"/>
    <x v="3"/>
    <x v="4"/>
    <n v="30.63"/>
    <n v="828.74"/>
    <n v="81216.52"/>
    <x v="1"/>
    <x v="1"/>
    <x v="0"/>
  </r>
  <r>
    <n v="11388"/>
    <n v="803"/>
    <n v="2061"/>
    <x v="17"/>
    <x v="74"/>
    <x v="209"/>
    <n v="10"/>
    <n v="24"/>
    <x v="3"/>
    <x v="0"/>
    <n v="46.64"/>
    <n v="620.16999999999996"/>
    <n v="14884.079999999998"/>
    <x v="5"/>
    <x v="1"/>
    <x v="1"/>
  </r>
  <r>
    <n v="11389"/>
    <n v="874"/>
    <n v="2037"/>
    <x v="7"/>
    <x v="325"/>
    <x v="269"/>
    <n v="4"/>
    <n v="30"/>
    <x v="3"/>
    <x v="3"/>
    <n v="29.23"/>
    <n v="491.44"/>
    <n v="14743.2"/>
    <x v="4"/>
    <x v="3"/>
    <x v="0"/>
  </r>
  <r>
    <n v="11390"/>
    <n v="560"/>
    <n v="2096"/>
    <x v="10"/>
    <x v="182"/>
    <x v="50"/>
    <n v="5"/>
    <n v="62"/>
    <x v="2"/>
    <x v="2"/>
    <n v="20.04"/>
    <n v="70.19"/>
    <n v="4351.78"/>
    <x v="0"/>
    <x v="2"/>
    <x v="0"/>
  </r>
  <r>
    <n v="11391"/>
    <n v="734"/>
    <n v="2028"/>
    <x v="6"/>
    <x v="178"/>
    <x v="194"/>
    <n v="5"/>
    <n v="41"/>
    <x v="0"/>
    <x v="0"/>
    <n v="30.34"/>
    <n v="630.65"/>
    <n v="25856.649999999998"/>
    <x v="3"/>
    <x v="1"/>
    <x v="0"/>
  </r>
  <r>
    <n v="11392"/>
    <n v="613"/>
    <n v="2072"/>
    <x v="13"/>
    <x v="141"/>
    <x v="125"/>
    <n v="10"/>
    <n v="29"/>
    <x v="2"/>
    <x v="1"/>
    <n v="26.22"/>
    <n v="576.57000000000005"/>
    <n v="16720.530000000002"/>
    <x v="1"/>
    <x v="1"/>
    <x v="0"/>
  </r>
  <r>
    <n v="11393"/>
    <n v="746"/>
    <n v="2039"/>
    <x v="13"/>
    <x v="153"/>
    <x v="167"/>
    <n v="4"/>
    <n v="43"/>
    <x v="0"/>
    <x v="4"/>
    <n v="2.69"/>
    <n v="350.51"/>
    <n v="15071.93"/>
    <x v="1"/>
    <x v="1"/>
    <x v="0"/>
  </r>
  <r>
    <n v="11394"/>
    <n v="731"/>
    <n v="2092"/>
    <x v="7"/>
    <x v="334"/>
    <x v="113"/>
    <n v="8"/>
    <n v="50"/>
    <x v="1"/>
    <x v="2"/>
    <n v="30.97"/>
    <n v="521.23"/>
    <n v="26061.5"/>
    <x v="4"/>
    <x v="3"/>
    <x v="0"/>
  </r>
  <r>
    <n v="11395"/>
    <n v="522"/>
    <n v="2094"/>
    <x v="17"/>
    <x v="77"/>
    <x v="239"/>
    <n v="5"/>
    <n v="52"/>
    <x v="3"/>
    <x v="4"/>
    <n v="22.56"/>
    <n v="393.53"/>
    <n v="20463.559999999998"/>
    <x v="5"/>
    <x v="1"/>
    <x v="1"/>
  </r>
  <r>
    <n v="11396"/>
    <n v="635"/>
    <n v="2025"/>
    <x v="16"/>
    <x v="359"/>
    <x v="73"/>
    <n v="8"/>
    <n v="97"/>
    <x v="1"/>
    <x v="0"/>
    <n v="3.39"/>
    <n v="303.87"/>
    <n v="29475.39"/>
    <x v="6"/>
    <x v="2"/>
    <x v="2"/>
  </r>
  <r>
    <n v="11397"/>
    <n v="587"/>
    <n v="2071"/>
    <x v="9"/>
    <x v="243"/>
    <x v="116"/>
    <n v="10"/>
    <n v="87"/>
    <x v="1"/>
    <x v="4"/>
    <n v="47.19"/>
    <n v="711.14"/>
    <n v="61869.18"/>
    <x v="3"/>
    <x v="1"/>
    <x v="2"/>
  </r>
  <r>
    <n v="11398"/>
    <n v="794"/>
    <n v="2004"/>
    <x v="6"/>
    <x v="54"/>
    <x v="156"/>
    <n v="2"/>
    <n v="49"/>
    <x v="3"/>
    <x v="1"/>
    <n v="4.34"/>
    <n v="52.14"/>
    <n v="2554.86"/>
    <x v="3"/>
    <x v="1"/>
    <x v="0"/>
  </r>
  <r>
    <n v="11399"/>
    <n v="547"/>
    <n v="2050"/>
    <x v="5"/>
    <x v="112"/>
    <x v="47"/>
    <n v="6"/>
    <n v="38"/>
    <x v="3"/>
    <x v="3"/>
    <n v="36.43"/>
    <n v="507.16"/>
    <n v="19272.080000000002"/>
    <x v="0"/>
    <x v="2"/>
    <x v="1"/>
  </r>
  <r>
    <n v="11400"/>
    <n v="577"/>
    <n v="2080"/>
    <x v="12"/>
    <x v="305"/>
    <x v="89"/>
    <n v="10"/>
    <n v="75"/>
    <x v="1"/>
    <x v="1"/>
    <n v="29.56"/>
    <n v="143.84"/>
    <n v="10788"/>
    <x v="5"/>
    <x v="2"/>
    <x v="1"/>
  </r>
  <r>
    <n v="11401"/>
    <n v="565"/>
    <n v="2010"/>
    <x v="10"/>
    <x v="350"/>
    <x v="261"/>
    <n v="8"/>
    <n v="62"/>
    <x v="1"/>
    <x v="0"/>
    <n v="9.58"/>
    <n v="440.93"/>
    <n v="27337.66"/>
    <x v="0"/>
    <x v="2"/>
    <x v="0"/>
  </r>
  <r>
    <n v="11402"/>
    <n v="731"/>
    <n v="2095"/>
    <x v="7"/>
    <x v="18"/>
    <x v="52"/>
    <n v="3"/>
    <n v="18"/>
    <x v="3"/>
    <x v="0"/>
    <n v="38.81"/>
    <n v="761.63"/>
    <n v="13709.34"/>
    <x v="4"/>
    <x v="3"/>
    <x v="0"/>
  </r>
  <r>
    <n v="11403"/>
    <n v="646"/>
    <n v="2065"/>
    <x v="7"/>
    <x v="1"/>
    <x v="98"/>
    <n v="8"/>
    <n v="33"/>
    <x v="2"/>
    <x v="0"/>
    <n v="26.94"/>
    <n v="155.15"/>
    <n v="5119.95"/>
    <x v="4"/>
    <x v="3"/>
    <x v="0"/>
  </r>
  <r>
    <n v="11404"/>
    <n v="843"/>
    <n v="2015"/>
    <x v="18"/>
    <x v="23"/>
    <x v="105"/>
    <n v="4"/>
    <n v="19"/>
    <x v="2"/>
    <x v="0"/>
    <n v="35.520000000000003"/>
    <n v="638.11"/>
    <n v="12124.09"/>
    <x v="0"/>
    <x v="3"/>
    <x v="0"/>
  </r>
  <r>
    <n v="11405"/>
    <n v="856"/>
    <n v="2075"/>
    <x v="9"/>
    <x v="156"/>
    <x v="274"/>
    <n v="4"/>
    <n v="62"/>
    <x v="0"/>
    <x v="4"/>
    <n v="16.57"/>
    <n v="429.9"/>
    <n v="26653.8"/>
    <x v="3"/>
    <x v="1"/>
    <x v="2"/>
  </r>
  <r>
    <n v="11406"/>
    <n v="807"/>
    <n v="2027"/>
    <x v="0"/>
    <x v="181"/>
    <x v="80"/>
    <n v="3"/>
    <n v="4"/>
    <x v="0"/>
    <x v="0"/>
    <n v="45.95"/>
    <n v="454.58"/>
    <n v="1818.32"/>
    <x v="0"/>
    <x v="0"/>
    <x v="0"/>
  </r>
  <r>
    <n v="11407"/>
    <n v="783"/>
    <n v="2096"/>
    <x v="7"/>
    <x v="328"/>
    <x v="17"/>
    <n v="1"/>
    <n v="24"/>
    <x v="0"/>
    <x v="2"/>
    <n v="20.04"/>
    <n v="70.19"/>
    <n v="1684.56"/>
    <x v="4"/>
    <x v="3"/>
    <x v="0"/>
  </r>
  <r>
    <n v="11408"/>
    <n v="508"/>
    <n v="2011"/>
    <x v="17"/>
    <x v="21"/>
    <x v="113"/>
    <n v="6"/>
    <n v="53"/>
    <x v="3"/>
    <x v="3"/>
    <n v="12.75"/>
    <n v="987.99"/>
    <n v="52363.47"/>
    <x v="5"/>
    <x v="1"/>
    <x v="1"/>
  </r>
  <r>
    <n v="11409"/>
    <n v="572"/>
    <n v="2037"/>
    <x v="16"/>
    <x v="259"/>
    <x v="90"/>
    <n v="2"/>
    <n v="7"/>
    <x v="3"/>
    <x v="3"/>
    <n v="29.23"/>
    <n v="491.44"/>
    <n v="3440.08"/>
    <x v="6"/>
    <x v="2"/>
    <x v="2"/>
  </r>
  <r>
    <n v="11410"/>
    <n v="739"/>
    <n v="2070"/>
    <x v="9"/>
    <x v="93"/>
    <x v="49"/>
    <n v="2"/>
    <n v="74"/>
    <x v="3"/>
    <x v="2"/>
    <n v="22.6"/>
    <n v="196.67"/>
    <n v="14553.58"/>
    <x v="3"/>
    <x v="1"/>
    <x v="2"/>
  </r>
  <r>
    <n v="11411"/>
    <n v="682"/>
    <n v="2058"/>
    <x v="18"/>
    <x v="20"/>
    <x v="251"/>
    <n v="10"/>
    <n v="96"/>
    <x v="2"/>
    <x v="4"/>
    <n v="28.48"/>
    <n v="13.34"/>
    <n v="1280.6399999999999"/>
    <x v="0"/>
    <x v="3"/>
    <x v="0"/>
  </r>
  <r>
    <n v="11412"/>
    <n v="859"/>
    <n v="2066"/>
    <x v="2"/>
    <x v="236"/>
    <x v="81"/>
    <n v="7"/>
    <n v="86"/>
    <x v="2"/>
    <x v="1"/>
    <n v="43.64"/>
    <n v="832.31"/>
    <n v="71578.659999999989"/>
    <x v="2"/>
    <x v="1"/>
    <x v="2"/>
  </r>
  <r>
    <n v="11413"/>
    <n v="851"/>
    <n v="2038"/>
    <x v="18"/>
    <x v="42"/>
    <x v="262"/>
    <n v="4"/>
    <n v="73"/>
    <x v="0"/>
    <x v="4"/>
    <n v="26.62"/>
    <n v="680"/>
    <n v="49640"/>
    <x v="0"/>
    <x v="3"/>
    <x v="0"/>
  </r>
  <r>
    <n v="11414"/>
    <n v="668"/>
    <n v="2080"/>
    <x v="19"/>
    <x v="202"/>
    <x v="331"/>
    <n v="2"/>
    <n v="64"/>
    <x v="2"/>
    <x v="1"/>
    <n v="29.56"/>
    <n v="143.84"/>
    <n v="9205.76"/>
    <x v="7"/>
    <x v="3"/>
    <x v="1"/>
  </r>
  <r>
    <n v="11415"/>
    <n v="867"/>
    <n v="2053"/>
    <x v="11"/>
    <x v="352"/>
    <x v="12"/>
    <n v="7"/>
    <n v="91"/>
    <x v="2"/>
    <x v="2"/>
    <n v="34.54"/>
    <n v="162.21"/>
    <n v="14761.11"/>
    <x v="2"/>
    <x v="1"/>
    <x v="1"/>
  </r>
  <r>
    <n v="11416"/>
    <n v="659"/>
    <n v="2033"/>
    <x v="5"/>
    <x v="164"/>
    <x v="358"/>
    <n v="5"/>
    <n v="75"/>
    <x v="2"/>
    <x v="2"/>
    <n v="8.33"/>
    <n v="629.69000000000005"/>
    <n v="47226.750000000007"/>
    <x v="0"/>
    <x v="2"/>
    <x v="1"/>
  </r>
  <r>
    <n v="11417"/>
    <n v="896"/>
    <n v="2085"/>
    <x v="12"/>
    <x v="223"/>
    <x v="16"/>
    <n v="7"/>
    <n v="87"/>
    <x v="3"/>
    <x v="2"/>
    <n v="47.56"/>
    <n v="131.63"/>
    <n v="11451.81"/>
    <x v="5"/>
    <x v="2"/>
    <x v="1"/>
  </r>
  <r>
    <n v="11418"/>
    <n v="710"/>
    <n v="2018"/>
    <x v="11"/>
    <x v="200"/>
    <x v="281"/>
    <n v="10"/>
    <n v="72"/>
    <x v="2"/>
    <x v="3"/>
    <n v="16.739999999999998"/>
    <n v="103.05"/>
    <n v="7419.5999999999995"/>
    <x v="2"/>
    <x v="1"/>
    <x v="1"/>
  </r>
  <r>
    <n v="11419"/>
    <n v="742"/>
    <n v="2080"/>
    <x v="19"/>
    <x v="178"/>
    <x v="183"/>
    <n v="1"/>
    <n v="24"/>
    <x v="1"/>
    <x v="1"/>
    <n v="29.56"/>
    <n v="143.84"/>
    <n v="3452.16"/>
    <x v="7"/>
    <x v="3"/>
    <x v="1"/>
  </r>
  <r>
    <n v="11420"/>
    <n v="510"/>
    <n v="2003"/>
    <x v="12"/>
    <x v="263"/>
    <x v="326"/>
    <n v="2"/>
    <n v="26"/>
    <x v="3"/>
    <x v="0"/>
    <n v="39.74"/>
    <n v="864.17"/>
    <n v="22468.42"/>
    <x v="5"/>
    <x v="2"/>
    <x v="1"/>
  </r>
  <r>
    <n v="11421"/>
    <n v="647"/>
    <n v="2045"/>
    <x v="17"/>
    <x v="72"/>
    <x v="321"/>
    <n v="6"/>
    <n v="90"/>
    <x v="0"/>
    <x v="1"/>
    <n v="41.3"/>
    <n v="652.61"/>
    <n v="58734.9"/>
    <x v="5"/>
    <x v="1"/>
    <x v="1"/>
  </r>
  <r>
    <n v="11422"/>
    <n v="771"/>
    <n v="2058"/>
    <x v="13"/>
    <x v="286"/>
    <x v="165"/>
    <n v="10"/>
    <n v="41"/>
    <x v="2"/>
    <x v="4"/>
    <n v="28.48"/>
    <n v="13.34"/>
    <n v="546.93999999999994"/>
    <x v="1"/>
    <x v="1"/>
    <x v="0"/>
  </r>
  <r>
    <n v="11423"/>
    <n v="810"/>
    <n v="2012"/>
    <x v="2"/>
    <x v="271"/>
    <x v="349"/>
    <n v="4"/>
    <n v="70"/>
    <x v="3"/>
    <x v="3"/>
    <n v="34.93"/>
    <n v="327.92"/>
    <n v="22954.400000000001"/>
    <x v="2"/>
    <x v="1"/>
    <x v="2"/>
  </r>
  <r>
    <n v="11424"/>
    <n v="708"/>
    <n v="2016"/>
    <x v="6"/>
    <x v="243"/>
    <x v="359"/>
    <n v="7"/>
    <n v="17"/>
    <x v="0"/>
    <x v="0"/>
    <n v="12.52"/>
    <n v="709.8"/>
    <n v="12066.599999999999"/>
    <x v="3"/>
    <x v="1"/>
    <x v="0"/>
  </r>
  <r>
    <n v="11425"/>
    <n v="704"/>
    <n v="2083"/>
    <x v="17"/>
    <x v="296"/>
    <x v="129"/>
    <n v="10"/>
    <n v="40"/>
    <x v="0"/>
    <x v="2"/>
    <n v="13.79"/>
    <n v="843.82"/>
    <n v="33752.800000000003"/>
    <x v="5"/>
    <x v="1"/>
    <x v="1"/>
  </r>
  <r>
    <n v="11426"/>
    <n v="587"/>
    <n v="2025"/>
    <x v="3"/>
    <x v="324"/>
    <x v="310"/>
    <n v="3"/>
    <n v="45"/>
    <x v="2"/>
    <x v="0"/>
    <n v="3.39"/>
    <n v="303.87"/>
    <n v="13674.15"/>
    <x v="2"/>
    <x v="2"/>
    <x v="2"/>
  </r>
  <r>
    <n v="11427"/>
    <n v="805"/>
    <n v="2034"/>
    <x v="1"/>
    <x v="190"/>
    <x v="296"/>
    <n v="10"/>
    <n v="30"/>
    <x v="1"/>
    <x v="4"/>
    <n v="26.17"/>
    <n v="540.23"/>
    <n v="16206.900000000001"/>
    <x v="1"/>
    <x v="0"/>
    <x v="1"/>
  </r>
  <r>
    <n v="11428"/>
    <n v="505"/>
    <n v="2083"/>
    <x v="14"/>
    <x v="193"/>
    <x v="121"/>
    <n v="8"/>
    <n v="66"/>
    <x v="3"/>
    <x v="2"/>
    <n v="13.79"/>
    <n v="843.82"/>
    <n v="55692.12"/>
    <x v="6"/>
    <x v="2"/>
    <x v="1"/>
  </r>
  <r>
    <n v="11429"/>
    <n v="831"/>
    <n v="2018"/>
    <x v="14"/>
    <x v="23"/>
    <x v="160"/>
    <n v="9"/>
    <n v="35"/>
    <x v="1"/>
    <x v="3"/>
    <n v="16.739999999999998"/>
    <n v="103.05"/>
    <n v="3606.75"/>
    <x v="6"/>
    <x v="2"/>
    <x v="1"/>
  </r>
  <r>
    <n v="11430"/>
    <n v="578"/>
    <n v="2042"/>
    <x v="10"/>
    <x v="312"/>
    <x v="271"/>
    <n v="10"/>
    <n v="3"/>
    <x v="2"/>
    <x v="4"/>
    <n v="46.87"/>
    <n v="313.88"/>
    <n v="941.64"/>
    <x v="0"/>
    <x v="2"/>
    <x v="0"/>
  </r>
  <r>
    <n v="11431"/>
    <n v="777"/>
    <n v="2012"/>
    <x v="1"/>
    <x v="312"/>
    <x v="161"/>
    <n v="1"/>
    <n v="53"/>
    <x v="3"/>
    <x v="3"/>
    <n v="34.93"/>
    <n v="327.92"/>
    <n v="17379.760000000002"/>
    <x v="1"/>
    <x v="0"/>
    <x v="1"/>
  </r>
  <r>
    <n v="11432"/>
    <n v="533"/>
    <n v="2057"/>
    <x v="17"/>
    <x v="291"/>
    <x v="12"/>
    <n v="8"/>
    <n v="100"/>
    <x v="3"/>
    <x v="2"/>
    <n v="34.299999999999997"/>
    <n v="40.43"/>
    <n v="4043"/>
    <x v="5"/>
    <x v="1"/>
    <x v="1"/>
  </r>
  <r>
    <n v="11433"/>
    <n v="676"/>
    <n v="2048"/>
    <x v="13"/>
    <x v="348"/>
    <x v="28"/>
    <n v="2"/>
    <n v="69"/>
    <x v="2"/>
    <x v="2"/>
    <n v="6.74"/>
    <n v="864.57"/>
    <n v="59655.33"/>
    <x v="1"/>
    <x v="1"/>
    <x v="0"/>
  </r>
  <r>
    <n v="11434"/>
    <n v="623"/>
    <n v="2018"/>
    <x v="10"/>
    <x v="178"/>
    <x v="183"/>
    <n v="1"/>
    <n v="25"/>
    <x v="3"/>
    <x v="3"/>
    <n v="16.739999999999998"/>
    <n v="103.05"/>
    <n v="2576.25"/>
    <x v="0"/>
    <x v="2"/>
    <x v="0"/>
  </r>
  <r>
    <n v="11435"/>
    <n v="617"/>
    <n v="2026"/>
    <x v="4"/>
    <x v="98"/>
    <x v="10"/>
    <n v="8"/>
    <n v="59"/>
    <x v="1"/>
    <x v="2"/>
    <n v="23.02"/>
    <n v="858.57"/>
    <n v="50655.630000000005"/>
    <x v="1"/>
    <x v="2"/>
    <x v="0"/>
  </r>
  <r>
    <n v="11436"/>
    <n v="694"/>
    <n v="2050"/>
    <x v="6"/>
    <x v="158"/>
    <x v="140"/>
    <n v="5"/>
    <n v="89"/>
    <x v="3"/>
    <x v="3"/>
    <n v="36.43"/>
    <n v="507.16"/>
    <n v="45137.240000000005"/>
    <x v="3"/>
    <x v="1"/>
    <x v="0"/>
  </r>
  <r>
    <n v="11437"/>
    <n v="852"/>
    <n v="2018"/>
    <x v="3"/>
    <x v="170"/>
    <x v="94"/>
    <n v="8"/>
    <n v="85"/>
    <x v="0"/>
    <x v="3"/>
    <n v="16.739999999999998"/>
    <n v="103.05"/>
    <n v="8759.25"/>
    <x v="2"/>
    <x v="2"/>
    <x v="2"/>
  </r>
  <r>
    <n v="11438"/>
    <n v="803"/>
    <n v="2025"/>
    <x v="17"/>
    <x v="156"/>
    <x v="191"/>
    <n v="1"/>
    <n v="98"/>
    <x v="1"/>
    <x v="0"/>
    <n v="3.39"/>
    <n v="303.87"/>
    <n v="29779.260000000002"/>
    <x v="5"/>
    <x v="1"/>
    <x v="1"/>
  </r>
  <r>
    <n v="11439"/>
    <n v="716"/>
    <n v="2015"/>
    <x v="17"/>
    <x v="262"/>
    <x v="186"/>
    <n v="5"/>
    <n v="41"/>
    <x v="0"/>
    <x v="0"/>
    <n v="35.520000000000003"/>
    <n v="638.11"/>
    <n v="26162.510000000002"/>
    <x v="5"/>
    <x v="1"/>
    <x v="1"/>
  </r>
  <r>
    <n v="11440"/>
    <n v="695"/>
    <n v="2099"/>
    <x v="15"/>
    <x v="91"/>
    <x v="43"/>
    <n v="3"/>
    <n v="71"/>
    <x v="1"/>
    <x v="3"/>
    <n v="31.62"/>
    <n v="652.77"/>
    <n v="46346.67"/>
    <x v="2"/>
    <x v="1"/>
    <x v="0"/>
  </r>
  <r>
    <n v="11441"/>
    <n v="672"/>
    <n v="2078"/>
    <x v="18"/>
    <x v="277"/>
    <x v="347"/>
    <n v="5"/>
    <n v="49"/>
    <x v="1"/>
    <x v="3"/>
    <n v="14.85"/>
    <n v="517.03"/>
    <n v="25334.469999999998"/>
    <x v="0"/>
    <x v="3"/>
    <x v="0"/>
  </r>
  <r>
    <n v="11442"/>
    <n v="516"/>
    <n v="2025"/>
    <x v="19"/>
    <x v="237"/>
    <x v="333"/>
    <n v="3"/>
    <n v="14"/>
    <x v="3"/>
    <x v="0"/>
    <n v="3.39"/>
    <n v="303.87"/>
    <n v="4254.18"/>
    <x v="7"/>
    <x v="3"/>
    <x v="1"/>
  </r>
  <r>
    <n v="11443"/>
    <n v="842"/>
    <n v="2039"/>
    <x v="14"/>
    <x v="201"/>
    <x v="360"/>
    <n v="10"/>
    <n v="75"/>
    <x v="1"/>
    <x v="4"/>
    <n v="2.69"/>
    <n v="350.51"/>
    <n v="26288.25"/>
    <x v="6"/>
    <x v="2"/>
    <x v="1"/>
  </r>
  <r>
    <n v="11444"/>
    <n v="789"/>
    <n v="2050"/>
    <x v="4"/>
    <x v="15"/>
    <x v="34"/>
    <n v="9"/>
    <n v="23"/>
    <x v="1"/>
    <x v="3"/>
    <n v="36.43"/>
    <n v="507.16"/>
    <n v="11664.68"/>
    <x v="1"/>
    <x v="2"/>
    <x v="0"/>
  </r>
  <r>
    <n v="11445"/>
    <n v="703"/>
    <n v="2071"/>
    <x v="10"/>
    <x v="25"/>
    <x v="252"/>
    <n v="10"/>
    <n v="18"/>
    <x v="0"/>
    <x v="4"/>
    <n v="47.19"/>
    <n v="711.14"/>
    <n v="12800.52"/>
    <x v="0"/>
    <x v="2"/>
    <x v="0"/>
  </r>
  <r>
    <n v="11446"/>
    <n v="820"/>
    <n v="2042"/>
    <x v="1"/>
    <x v="208"/>
    <x v="76"/>
    <n v="7"/>
    <n v="52"/>
    <x v="3"/>
    <x v="4"/>
    <n v="46.87"/>
    <n v="313.88"/>
    <n v="16321.76"/>
    <x v="1"/>
    <x v="0"/>
    <x v="1"/>
  </r>
  <r>
    <n v="11447"/>
    <n v="559"/>
    <n v="2036"/>
    <x v="10"/>
    <x v="113"/>
    <x v="299"/>
    <n v="2"/>
    <n v="5"/>
    <x v="1"/>
    <x v="2"/>
    <n v="39.39"/>
    <n v="745.86"/>
    <n v="3729.3"/>
    <x v="0"/>
    <x v="2"/>
    <x v="0"/>
  </r>
  <r>
    <n v="11448"/>
    <n v="762"/>
    <n v="2017"/>
    <x v="15"/>
    <x v="81"/>
    <x v="44"/>
    <n v="9"/>
    <n v="28"/>
    <x v="2"/>
    <x v="2"/>
    <n v="38.24"/>
    <n v="788.08"/>
    <n v="22066.240000000002"/>
    <x v="2"/>
    <x v="1"/>
    <x v="0"/>
  </r>
  <r>
    <n v="11449"/>
    <n v="640"/>
    <n v="2088"/>
    <x v="5"/>
    <x v="116"/>
    <x v="103"/>
    <n v="5"/>
    <n v="66"/>
    <x v="0"/>
    <x v="0"/>
    <n v="27.71"/>
    <n v="820.21"/>
    <n v="54133.86"/>
    <x v="0"/>
    <x v="2"/>
    <x v="1"/>
  </r>
  <r>
    <n v="11450"/>
    <n v="762"/>
    <n v="2093"/>
    <x v="11"/>
    <x v="329"/>
    <x v="180"/>
    <n v="4"/>
    <n v="86"/>
    <x v="1"/>
    <x v="1"/>
    <n v="25.73"/>
    <n v="537.69000000000005"/>
    <n v="46241.340000000004"/>
    <x v="2"/>
    <x v="1"/>
    <x v="1"/>
  </r>
  <r>
    <n v="11451"/>
    <n v="563"/>
    <n v="2045"/>
    <x v="4"/>
    <x v="173"/>
    <x v="180"/>
    <n v="10"/>
    <n v="97"/>
    <x v="1"/>
    <x v="1"/>
    <n v="41.3"/>
    <n v="652.61"/>
    <n v="63303.17"/>
    <x v="1"/>
    <x v="2"/>
    <x v="0"/>
  </r>
  <r>
    <n v="11452"/>
    <n v="839"/>
    <n v="2068"/>
    <x v="8"/>
    <x v="217"/>
    <x v="30"/>
    <n v="10"/>
    <n v="30"/>
    <x v="1"/>
    <x v="4"/>
    <n v="47.08"/>
    <n v="501.03"/>
    <n v="15030.9"/>
    <x v="2"/>
    <x v="2"/>
    <x v="1"/>
  </r>
  <r>
    <n v="11453"/>
    <n v="708"/>
    <n v="2076"/>
    <x v="16"/>
    <x v="183"/>
    <x v="278"/>
    <n v="4"/>
    <n v="22"/>
    <x v="3"/>
    <x v="0"/>
    <n v="14.63"/>
    <n v="638.11"/>
    <n v="14038.42"/>
    <x v="6"/>
    <x v="2"/>
    <x v="2"/>
  </r>
  <r>
    <n v="11454"/>
    <n v="879"/>
    <n v="2021"/>
    <x v="15"/>
    <x v="157"/>
    <x v="163"/>
    <n v="1"/>
    <n v="1"/>
    <x v="2"/>
    <x v="1"/>
    <n v="18.77"/>
    <n v="259.72000000000003"/>
    <n v="259.72000000000003"/>
    <x v="2"/>
    <x v="1"/>
    <x v="0"/>
  </r>
  <r>
    <n v="11455"/>
    <n v="643"/>
    <n v="2019"/>
    <x v="5"/>
    <x v="109"/>
    <x v="361"/>
    <n v="3"/>
    <n v="56"/>
    <x v="0"/>
    <x v="2"/>
    <n v="27.65"/>
    <n v="89.85"/>
    <n v="5031.5999999999995"/>
    <x v="0"/>
    <x v="2"/>
    <x v="1"/>
  </r>
  <r>
    <n v="11456"/>
    <n v="803"/>
    <n v="2069"/>
    <x v="5"/>
    <x v="11"/>
    <x v="201"/>
    <n v="8"/>
    <n v="33"/>
    <x v="0"/>
    <x v="2"/>
    <n v="2.94"/>
    <n v="494.92"/>
    <n v="16332.36"/>
    <x v="0"/>
    <x v="2"/>
    <x v="1"/>
  </r>
  <r>
    <n v="11457"/>
    <n v="668"/>
    <n v="2032"/>
    <x v="5"/>
    <x v="85"/>
    <x v="94"/>
    <n v="10"/>
    <n v="36"/>
    <x v="3"/>
    <x v="1"/>
    <n v="3.81"/>
    <n v="682.41"/>
    <n v="24566.76"/>
    <x v="0"/>
    <x v="2"/>
    <x v="1"/>
  </r>
  <r>
    <n v="11458"/>
    <n v="898"/>
    <n v="2062"/>
    <x v="8"/>
    <x v="311"/>
    <x v="59"/>
    <n v="7"/>
    <n v="43"/>
    <x v="3"/>
    <x v="1"/>
    <n v="32.479999999999997"/>
    <n v="409.49"/>
    <n v="17608.07"/>
    <x v="2"/>
    <x v="2"/>
    <x v="1"/>
  </r>
  <r>
    <n v="11459"/>
    <n v="845"/>
    <n v="2085"/>
    <x v="5"/>
    <x v="84"/>
    <x v="285"/>
    <n v="2"/>
    <n v="1"/>
    <x v="2"/>
    <x v="2"/>
    <n v="47.56"/>
    <n v="131.63"/>
    <n v="131.63"/>
    <x v="0"/>
    <x v="2"/>
    <x v="1"/>
  </r>
  <r>
    <n v="11460"/>
    <n v="742"/>
    <n v="2029"/>
    <x v="14"/>
    <x v="126"/>
    <x v="297"/>
    <n v="6"/>
    <n v="1"/>
    <x v="0"/>
    <x v="3"/>
    <n v="9.19"/>
    <n v="357.06"/>
    <n v="357.06"/>
    <x v="6"/>
    <x v="2"/>
    <x v="1"/>
  </r>
  <r>
    <n v="11461"/>
    <n v="870"/>
    <n v="2067"/>
    <x v="0"/>
    <x v="269"/>
    <x v="19"/>
    <n v="1"/>
    <n v="84"/>
    <x v="3"/>
    <x v="1"/>
    <n v="24.79"/>
    <n v="48.68"/>
    <n v="4089.12"/>
    <x v="0"/>
    <x v="0"/>
    <x v="0"/>
  </r>
  <r>
    <n v="11462"/>
    <n v="727"/>
    <n v="2061"/>
    <x v="13"/>
    <x v="204"/>
    <x v="173"/>
    <n v="2"/>
    <n v="44"/>
    <x v="2"/>
    <x v="0"/>
    <n v="46.64"/>
    <n v="620.16999999999996"/>
    <n v="27287.48"/>
    <x v="1"/>
    <x v="1"/>
    <x v="0"/>
  </r>
  <r>
    <n v="11463"/>
    <n v="582"/>
    <n v="2072"/>
    <x v="9"/>
    <x v="222"/>
    <x v="24"/>
    <n v="9"/>
    <n v="42"/>
    <x v="3"/>
    <x v="1"/>
    <n v="26.22"/>
    <n v="576.57000000000005"/>
    <n v="24215.940000000002"/>
    <x v="3"/>
    <x v="1"/>
    <x v="2"/>
  </r>
  <r>
    <n v="11464"/>
    <n v="897"/>
    <n v="2006"/>
    <x v="16"/>
    <x v="254"/>
    <x v="253"/>
    <n v="2"/>
    <n v="85"/>
    <x v="2"/>
    <x v="2"/>
    <n v="41.47"/>
    <n v="541.85"/>
    <n v="46057.25"/>
    <x v="6"/>
    <x v="2"/>
    <x v="2"/>
  </r>
  <r>
    <n v="11465"/>
    <n v="533"/>
    <n v="2003"/>
    <x v="18"/>
    <x v="58"/>
    <x v="2"/>
    <n v="1"/>
    <n v="100"/>
    <x v="3"/>
    <x v="0"/>
    <n v="39.74"/>
    <n v="864.17"/>
    <n v="86417"/>
    <x v="0"/>
    <x v="3"/>
    <x v="0"/>
  </r>
  <r>
    <n v="11466"/>
    <n v="584"/>
    <n v="2013"/>
    <x v="11"/>
    <x v="211"/>
    <x v="209"/>
    <n v="9"/>
    <n v="52"/>
    <x v="0"/>
    <x v="0"/>
    <n v="19.53"/>
    <n v="563.69000000000005"/>
    <n v="29311.880000000005"/>
    <x v="2"/>
    <x v="1"/>
    <x v="1"/>
  </r>
  <r>
    <n v="11467"/>
    <n v="532"/>
    <n v="2011"/>
    <x v="18"/>
    <x v="7"/>
    <x v="271"/>
    <n v="2"/>
    <n v="19"/>
    <x v="1"/>
    <x v="3"/>
    <n v="12.75"/>
    <n v="987.99"/>
    <n v="18771.810000000001"/>
    <x v="0"/>
    <x v="3"/>
    <x v="0"/>
  </r>
  <r>
    <n v="11468"/>
    <n v="679"/>
    <n v="2079"/>
    <x v="14"/>
    <x v="255"/>
    <x v="335"/>
    <n v="10"/>
    <n v="95"/>
    <x v="3"/>
    <x v="2"/>
    <n v="12.3"/>
    <n v="99.7"/>
    <n v="9471.5"/>
    <x v="6"/>
    <x v="2"/>
    <x v="1"/>
  </r>
  <r>
    <n v="11469"/>
    <n v="859"/>
    <n v="2048"/>
    <x v="5"/>
    <x v="58"/>
    <x v="160"/>
    <n v="2"/>
    <n v="11"/>
    <x v="1"/>
    <x v="2"/>
    <n v="6.74"/>
    <n v="864.57"/>
    <n v="9510.27"/>
    <x v="0"/>
    <x v="2"/>
    <x v="1"/>
  </r>
  <r>
    <n v="11470"/>
    <n v="811"/>
    <n v="2028"/>
    <x v="14"/>
    <x v="357"/>
    <x v="336"/>
    <n v="2"/>
    <n v="23"/>
    <x v="2"/>
    <x v="0"/>
    <n v="30.34"/>
    <n v="630.65"/>
    <n v="14504.949999999999"/>
    <x v="6"/>
    <x v="2"/>
    <x v="1"/>
  </r>
  <r>
    <n v="11471"/>
    <n v="880"/>
    <n v="2055"/>
    <x v="7"/>
    <x v="191"/>
    <x v="250"/>
    <n v="6"/>
    <n v="19"/>
    <x v="0"/>
    <x v="4"/>
    <n v="26.24"/>
    <n v="312.67"/>
    <n v="5940.7300000000005"/>
    <x v="4"/>
    <x v="3"/>
    <x v="0"/>
  </r>
  <r>
    <n v="11472"/>
    <n v="615"/>
    <n v="2068"/>
    <x v="8"/>
    <x v="166"/>
    <x v="160"/>
    <n v="1"/>
    <n v="73"/>
    <x v="0"/>
    <x v="4"/>
    <n v="47.08"/>
    <n v="501.03"/>
    <n v="36575.189999999995"/>
    <x v="2"/>
    <x v="2"/>
    <x v="1"/>
  </r>
  <r>
    <n v="11473"/>
    <n v="637"/>
    <n v="2011"/>
    <x v="7"/>
    <x v="286"/>
    <x v="178"/>
    <n v="3"/>
    <n v="66"/>
    <x v="1"/>
    <x v="3"/>
    <n v="12.75"/>
    <n v="987.99"/>
    <n v="65207.340000000004"/>
    <x v="4"/>
    <x v="3"/>
    <x v="0"/>
  </r>
  <r>
    <n v="11474"/>
    <n v="598"/>
    <n v="2021"/>
    <x v="13"/>
    <x v="207"/>
    <x v="224"/>
    <n v="1"/>
    <n v="12"/>
    <x v="0"/>
    <x v="1"/>
    <n v="18.77"/>
    <n v="259.72000000000003"/>
    <n v="3116.6400000000003"/>
    <x v="1"/>
    <x v="1"/>
    <x v="0"/>
  </r>
  <r>
    <n v="11475"/>
    <n v="571"/>
    <n v="2097"/>
    <x v="19"/>
    <x v="116"/>
    <x v="117"/>
    <n v="1"/>
    <n v="97"/>
    <x v="0"/>
    <x v="4"/>
    <n v="30.63"/>
    <n v="828.74"/>
    <n v="80387.78"/>
    <x v="7"/>
    <x v="3"/>
    <x v="1"/>
  </r>
  <r>
    <n v="11476"/>
    <n v="681"/>
    <n v="2044"/>
    <x v="9"/>
    <x v="24"/>
    <x v="297"/>
    <n v="10"/>
    <n v="29"/>
    <x v="0"/>
    <x v="3"/>
    <n v="11.44"/>
    <n v="939.99"/>
    <n v="27259.71"/>
    <x v="3"/>
    <x v="1"/>
    <x v="2"/>
  </r>
  <r>
    <n v="11477"/>
    <n v="646"/>
    <n v="2084"/>
    <x v="18"/>
    <x v="4"/>
    <x v="125"/>
    <n v="8"/>
    <n v="2"/>
    <x v="1"/>
    <x v="3"/>
    <n v="14.27"/>
    <n v="223.58"/>
    <n v="447.16"/>
    <x v="0"/>
    <x v="3"/>
    <x v="0"/>
  </r>
  <r>
    <n v="11478"/>
    <n v="639"/>
    <n v="2057"/>
    <x v="11"/>
    <x v="164"/>
    <x v="5"/>
    <n v="9"/>
    <n v="15"/>
    <x v="3"/>
    <x v="2"/>
    <n v="34.299999999999997"/>
    <n v="40.43"/>
    <n v="606.45000000000005"/>
    <x v="2"/>
    <x v="1"/>
    <x v="1"/>
  </r>
  <r>
    <n v="11479"/>
    <n v="778"/>
    <n v="2096"/>
    <x v="19"/>
    <x v="211"/>
    <x v="34"/>
    <n v="7"/>
    <n v="29"/>
    <x v="1"/>
    <x v="2"/>
    <n v="20.04"/>
    <n v="70.19"/>
    <n v="2035.51"/>
    <x v="7"/>
    <x v="3"/>
    <x v="1"/>
  </r>
  <r>
    <n v="11480"/>
    <n v="756"/>
    <n v="2006"/>
    <x v="7"/>
    <x v="358"/>
    <x v="14"/>
    <n v="7"/>
    <n v="46"/>
    <x v="0"/>
    <x v="2"/>
    <n v="41.47"/>
    <n v="541.85"/>
    <n v="24925.100000000002"/>
    <x v="4"/>
    <x v="3"/>
    <x v="0"/>
  </r>
  <r>
    <n v="11481"/>
    <n v="694"/>
    <n v="2024"/>
    <x v="12"/>
    <x v="257"/>
    <x v="39"/>
    <n v="2"/>
    <n v="11"/>
    <x v="0"/>
    <x v="0"/>
    <n v="21.16"/>
    <n v="291.08"/>
    <n v="3201.8799999999997"/>
    <x v="5"/>
    <x v="2"/>
    <x v="1"/>
  </r>
  <r>
    <n v="11482"/>
    <n v="656"/>
    <n v="2028"/>
    <x v="0"/>
    <x v="160"/>
    <x v="246"/>
    <n v="6"/>
    <n v="28"/>
    <x v="0"/>
    <x v="0"/>
    <n v="30.34"/>
    <n v="630.65"/>
    <n v="17658.2"/>
    <x v="0"/>
    <x v="0"/>
    <x v="0"/>
  </r>
  <r>
    <n v="11483"/>
    <n v="877"/>
    <n v="2069"/>
    <x v="5"/>
    <x v="354"/>
    <x v="72"/>
    <n v="9"/>
    <n v="49"/>
    <x v="3"/>
    <x v="2"/>
    <n v="2.94"/>
    <n v="494.92"/>
    <n v="24251.08"/>
    <x v="0"/>
    <x v="2"/>
    <x v="1"/>
  </r>
  <r>
    <n v="11484"/>
    <n v="503"/>
    <n v="2029"/>
    <x v="16"/>
    <x v="360"/>
    <x v="75"/>
    <n v="3"/>
    <n v="9"/>
    <x v="2"/>
    <x v="3"/>
    <n v="9.19"/>
    <n v="357.06"/>
    <n v="3213.54"/>
    <x v="6"/>
    <x v="2"/>
    <x v="2"/>
  </r>
  <r>
    <n v="11485"/>
    <n v="537"/>
    <n v="2044"/>
    <x v="18"/>
    <x v="254"/>
    <x v="311"/>
    <n v="1"/>
    <n v="86"/>
    <x v="1"/>
    <x v="3"/>
    <n v="11.44"/>
    <n v="939.99"/>
    <n v="80839.14"/>
    <x v="0"/>
    <x v="3"/>
    <x v="0"/>
  </r>
  <r>
    <n v="11486"/>
    <n v="569"/>
    <n v="2038"/>
    <x v="13"/>
    <x v="23"/>
    <x v="69"/>
    <n v="6"/>
    <n v="66"/>
    <x v="0"/>
    <x v="4"/>
    <n v="26.62"/>
    <n v="680"/>
    <n v="44880"/>
    <x v="1"/>
    <x v="1"/>
    <x v="0"/>
  </r>
  <r>
    <n v="11487"/>
    <n v="862"/>
    <n v="2010"/>
    <x v="6"/>
    <x v="325"/>
    <x v="274"/>
    <n v="5"/>
    <n v="65"/>
    <x v="0"/>
    <x v="0"/>
    <n v="9.58"/>
    <n v="440.93"/>
    <n v="28660.45"/>
    <x v="3"/>
    <x v="1"/>
    <x v="0"/>
  </r>
  <r>
    <n v="11488"/>
    <n v="665"/>
    <n v="2048"/>
    <x v="14"/>
    <x v="18"/>
    <x v="18"/>
    <n v="7"/>
    <n v="81"/>
    <x v="3"/>
    <x v="2"/>
    <n v="6.74"/>
    <n v="864.57"/>
    <n v="70030.17"/>
    <x v="6"/>
    <x v="2"/>
    <x v="1"/>
  </r>
  <r>
    <n v="11489"/>
    <n v="637"/>
    <n v="2061"/>
    <x v="8"/>
    <x v="325"/>
    <x v="172"/>
    <n v="8"/>
    <n v="8"/>
    <x v="0"/>
    <x v="0"/>
    <n v="46.64"/>
    <n v="620.16999999999996"/>
    <n v="4961.3599999999997"/>
    <x v="2"/>
    <x v="2"/>
    <x v="1"/>
  </r>
  <r>
    <n v="11490"/>
    <n v="670"/>
    <n v="2041"/>
    <x v="15"/>
    <x v="133"/>
    <x v="309"/>
    <n v="1"/>
    <n v="53"/>
    <x v="3"/>
    <x v="2"/>
    <n v="48.2"/>
    <n v="792.77"/>
    <n v="42016.81"/>
    <x v="2"/>
    <x v="1"/>
    <x v="0"/>
  </r>
  <r>
    <n v="11491"/>
    <n v="513"/>
    <n v="2014"/>
    <x v="8"/>
    <x v="255"/>
    <x v="335"/>
    <n v="10"/>
    <n v="71"/>
    <x v="0"/>
    <x v="4"/>
    <n v="12.2"/>
    <n v="652.53"/>
    <n v="46329.63"/>
    <x v="2"/>
    <x v="2"/>
    <x v="1"/>
  </r>
  <r>
    <n v="11492"/>
    <n v="714"/>
    <n v="2034"/>
    <x v="10"/>
    <x v="339"/>
    <x v="215"/>
    <n v="10"/>
    <n v="96"/>
    <x v="2"/>
    <x v="4"/>
    <n v="26.17"/>
    <n v="540.23"/>
    <n v="51862.080000000002"/>
    <x v="0"/>
    <x v="2"/>
    <x v="0"/>
  </r>
  <r>
    <n v="11493"/>
    <n v="723"/>
    <n v="2021"/>
    <x v="2"/>
    <x v="293"/>
    <x v="137"/>
    <n v="9"/>
    <n v="89"/>
    <x v="1"/>
    <x v="1"/>
    <n v="18.77"/>
    <n v="259.72000000000003"/>
    <n v="23115.08"/>
    <x v="2"/>
    <x v="1"/>
    <x v="2"/>
  </r>
  <r>
    <n v="11494"/>
    <n v="837"/>
    <n v="2036"/>
    <x v="15"/>
    <x v="265"/>
    <x v="147"/>
    <n v="5"/>
    <n v="90"/>
    <x v="1"/>
    <x v="2"/>
    <n v="39.39"/>
    <n v="745.86"/>
    <n v="67127.399999999994"/>
    <x v="2"/>
    <x v="1"/>
    <x v="0"/>
  </r>
  <r>
    <n v="11495"/>
    <n v="689"/>
    <n v="2012"/>
    <x v="15"/>
    <x v="70"/>
    <x v="83"/>
    <n v="2"/>
    <n v="72"/>
    <x v="1"/>
    <x v="3"/>
    <n v="34.93"/>
    <n v="327.92"/>
    <n v="23610.240000000002"/>
    <x v="2"/>
    <x v="1"/>
    <x v="0"/>
  </r>
  <r>
    <n v="11496"/>
    <n v="853"/>
    <n v="2022"/>
    <x v="19"/>
    <x v="135"/>
    <x v="75"/>
    <n v="1"/>
    <n v="48"/>
    <x v="0"/>
    <x v="0"/>
    <n v="47.91"/>
    <n v="756.92"/>
    <n v="36332.159999999996"/>
    <x v="7"/>
    <x v="3"/>
    <x v="1"/>
  </r>
  <r>
    <n v="11497"/>
    <n v="695"/>
    <n v="2017"/>
    <x v="14"/>
    <x v="93"/>
    <x v="20"/>
    <n v="6"/>
    <n v="8"/>
    <x v="0"/>
    <x v="2"/>
    <n v="38.24"/>
    <n v="788.08"/>
    <n v="6304.64"/>
    <x v="6"/>
    <x v="2"/>
    <x v="1"/>
  </r>
  <r>
    <n v="11498"/>
    <n v="781"/>
    <n v="2018"/>
    <x v="4"/>
    <x v="76"/>
    <x v="130"/>
    <n v="10"/>
    <n v="70"/>
    <x v="3"/>
    <x v="3"/>
    <n v="16.739999999999998"/>
    <n v="103.05"/>
    <n v="7213.5"/>
    <x v="1"/>
    <x v="2"/>
    <x v="0"/>
  </r>
  <r>
    <n v="11499"/>
    <n v="841"/>
    <n v="2050"/>
    <x v="12"/>
    <x v="163"/>
    <x v="269"/>
    <n v="2"/>
    <n v="23"/>
    <x v="1"/>
    <x v="3"/>
    <n v="36.43"/>
    <n v="507.16"/>
    <n v="11664.68"/>
    <x v="5"/>
    <x v="2"/>
    <x v="1"/>
  </r>
  <r>
    <n v="11500"/>
    <n v="885"/>
    <n v="2004"/>
    <x v="3"/>
    <x v="244"/>
    <x v="243"/>
    <n v="7"/>
    <n v="75"/>
    <x v="3"/>
    <x v="1"/>
    <n v="4.34"/>
    <n v="52.14"/>
    <n v="3910.5"/>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554B5-06C0-48C8-8EA8-40004B77CB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21">
    <pivotField dataField="1"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dataField="1" showAll="0"/>
    <pivotField showAll="0">
      <items count="5">
        <item x="3"/>
        <item x="0"/>
        <item x="1"/>
        <item x="2"/>
        <item t="default"/>
      </items>
    </pivotField>
    <pivotField axis="axisRow" showAll="0">
      <items count="6">
        <item x="1"/>
        <item x="3"/>
        <item x="4"/>
        <item x="2"/>
        <item x="0"/>
        <item t="default"/>
      </items>
    </pivotField>
    <pivotField showAll="0"/>
    <pivotField numFmtId="164" showAll="0"/>
    <pivotField numFmtId="164" showAll="0"/>
    <pivotField showAll="0"/>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Fields count="1">
    <field x="-2"/>
  </colFields>
  <colItems count="2">
    <i>
      <x/>
    </i>
    <i i="1">
      <x v="1"/>
    </i>
  </colItems>
  <dataFields count="2">
    <dataField name="Count of Order_ID" fld="0" subtotal="count" baseField="0" baseItem="0"/>
    <dataField name="Sum of Quantity" fld="7"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615F89-3DFB-4150-96A0-352D725DAB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21">
    <pivotField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axis="axisRow" showAll="0">
      <items count="6">
        <item x="1"/>
        <item x="3"/>
        <item x="4"/>
        <item x="2"/>
        <item x="0"/>
        <item t="default"/>
      </items>
    </pivotField>
    <pivotField dataField="1" showAll="0"/>
    <pivotField dataField="1" numFmtId="164" showAll="0"/>
    <pivotField numFmtId="164" showAll="0"/>
    <pivotField showAll="0"/>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products.Base_Price" fld="11" subtotal="average" baseField="0" baseItem="0" numFmtId="164"/>
    <dataField name="Average of products.Unit_Weight" fld="10" subtotal="average" baseField="0" baseItem="0" numFmtId="2"/>
  </dataFields>
  <formats count="1">
    <format dxfId="127">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D742C-40E4-49BB-B3A2-7472F04815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9" firstHeaderRow="1" firstDataRow="1" firstDataCol="1"/>
  <pivotFields count="21">
    <pivotField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axis="axisRow" showAll="0">
      <items count="6">
        <item x="1"/>
        <item x="3"/>
        <item x="4"/>
        <item x="2"/>
        <item x="0"/>
        <item t="default"/>
      </items>
    </pivotField>
    <pivotField showAll="0"/>
    <pivotField numFmtId="164" showAll="0"/>
    <pivotField dataField="1" numFmtId="164" showAll="0"/>
    <pivotField showAll="0"/>
    <pivotField showAll="0">
      <items count="5">
        <item x="3"/>
        <item x="0"/>
        <item x="2"/>
        <item x="1"/>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Items count="1">
    <i/>
  </colItems>
  <dataFields count="1">
    <dataField name="Sum of Total Order Value" fld="12" baseField="0" baseItem="0" numFmtId="164"/>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3F4578-E642-4DB6-8FEC-180E32D1FF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9" firstHeaderRow="1" firstDataRow="1" firstDataCol="1"/>
  <pivotFields count="21">
    <pivotField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dataField="1" showAll="0"/>
    <pivotField showAll="0"/>
    <pivotField showAll="0">
      <items count="5">
        <item x="3"/>
        <item x="0"/>
        <item x="1"/>
        <item x="2"/>
        <item t="default"/>
      </items>
    </pivotField>
    <pivotField axis="axisRow" showAll="0">
      <items count="6">
        <item x="1"/>
        <item x="3"/>
        <item x="4"/>
        <item x="2"/>
        <item x="0"/>
        <item t="default"/>
      </items>
    </pivotField>
    <pivotField showAll="0"/>
    <pivotField numFmtId="164" showAll="0"/>
    <pivotField numFmtId="164" showAll="0"/>
    <pivotField showAll="0"/>
    <pivotField showAll="0">
      <items count="5">
        <item x="3"/>
        <item x="0"/>
        <item x="2"/>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Average of Shipping days" fld="6" subtotal="average" baseField="0" baseItem="0"/>
  </dataFields>
  <formats count="6">
    <format dxfId="126">
      <pivotArea collapsedLevelsAreSubtotals="1" fieldPosition="0">
        <references count="1">
          <reference field="9" count="1">
            <x v="0"/>
          </reference>
        </references>
      </pivotArea>
    </format>
    <format dxfId="125">
      <pivotArea collapsedLevelsAreSubtotals="1" fieldPosition="0">
        <references count="1">
          <reference field="9" count="1">
            <x v="1"/>
          </reference>
        </references>
      </pivotArea>
    </format>
    <format dxfId="124">
      <pivotArea collapsedLevelsAreSubtotals="1" fieldPosition="0">
        <references count="1">
          <reference field="9" count="1">
            <x v="2"/>
          </reference>
        </references>
      </pivotArea>
    </format>
    <format dxfId="123">
      <pivotArea collapsedLevelsAreSubtotals="1" fieldPosition="0">
        <references count="1">
          <reference field="9" count="1">
            <x v="3"/>
          </reference>
        </references>
      </pivotArea>
    </format>
    <format dxfId="122">
      <pivotArea collapsedLevelsAreSubtotals="1" fieldPosition="0">
        <references count="1">
          <reference field="9" count="1">
            <x v="4"/>
          </reference>
        </references>
      </pivotArea>
    </format>
    <format dxfId="121">
      <pivotArea grandRow="1"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29456B-5AE9-4B19-9ECC-B8EA45D0B2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9" firstHeaderRow="1" firstDataRow="2" firstDataCol="1"/>
  <pivotFields count="21">
    <pivotField dataField="1"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axis="axisRow" showAll="0">
      <items count="5">
        <item x="3"/>
        <item x="0"/>
        <item x="1"/>
        <item x="2"/>
        <item t="default"/>
      </items>
    </pivotField>
    <pivotField axis="axisCol" showAll="0">
      <items count="6">
        <item x="1"/>
        <item x="3"/>
        <item x="4"/>
        <item x="2"/>
        <item x="0"/>
        <item t="default"/>
      </items>
    </pivotField>
    <pivotField showAll="0"/>
    <pivotField numFmtId="164" showAll="0"/>
    <pivotField numFmtId="164" showAll="0"/>
    <pivotField showAll="0"/>
    <pivotField showAll="0">
      <items count="5">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9"/>
  </colFields>
  <colItems count="6">
    <i>
      <x/>
    </i>
    <i>
      <x v="1"/>
    </i>
    <i>
      <x v="2"/>
    </i>
    <i>
      <x v="3"/>
    </i>
    <i>
      <x v="4"/>
    </i>
    <i t="grand">
      <x/>
    </i>
  </colItems>
  <dataFields count="1">
    <dataField name="Count of Order_ID" fld="0" subtotal="count" baseField="0" baseItem="0"/>
  </dataFields>
  <chartFormats count="13">
    <chartFormat chart="2" format="4"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8" count="1" selected="0">
            <x v="1"/>
          </reference>
        </references>
      </pivotArea>
    </chartFormat>
    <chartFormat chart="2" format="7" series="1">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2">
          <reference field="4294967294" count="1" selected="0">
            <x v="0"/>
          </reference>
          <reference field="8" count="1" selected="0">
            <x v="3"/>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 chart="2" format="12" series="1">
      <pivotArea type="data" outline="0" fieldPosition="0">
        <references count="2">
          <reference field="4294967294" count="1" selected="0">
            <x v="0"/>
          </reference>
          <reference field="9" count="1" selected="0">
            <x v="4"/>
          </reference>
        </references>
      </pivotArea>
    </chartFormat>
    <chartFormat chart="5" format="18" series="1">
      <pivotArea type="data" outline="0" fieldPosition="0">
        <references count="2">
          <reference field="4294967294" count="1" selected="0">
            <x v="0"/>
          </reference>
          <reference field="9" count="1" selected="0">
            <x v="0"/>
          </reference>
        </references>
      </pivotArea>
    </chartFormat>
    <chartFormat chart="5" format="19" series="1">
      <pivotArea type="data" outline="0" fieldPosition="0">
        <references count="2">
          <reference field="4294967294" count="1" selected="0">
            <x v="0"/>
          </reference>
          <reference field="9" count="1" selected="0">
            <x v="1"/>
          </reference>
        </references>
      </pivotArea>
    </chartFormat>
    <chartFormat chart="5" format="20" series="1">
      <pivotArea type="data" outline="0" fieldPosition="0">
        <references count="2">
          <reference field="4294967294" count="1" selected="0">
            <x v="0"/>
          </reference>
          <reference field="9" count="1" selected="0">
            <x v="2"/>
          </reference>
        </references>
      </pivotArea>
    </chartFormat>
    <chartFormat chart="5" format="21" series="1">
      <pivotArea type="data" outline="0" fieldPosition="0">
        <references count="2">
          <reference field="4294967294" count="1" selected="0">
            <x v="0"/>
          </reference>
          <reference field="9" count="1" selected="0">
            <x v="3"/>
          </reference>
        </references>
      </pivotArea>
    </chartFormat>
    <chartFormat chart="5" format="22"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1E736-73D1-4398-B346-B9E270454B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32" firstHeaderRow="1" firstDataRow="1" firstDataCol="1"/>
  <pivotFields count="21">
    <pivotField dataField="1"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showAll="0">
      <items count="6">
        <item x="1"/>
        <item x="3"/>
        <item x="4"/>
        <item x="2"/>
        <item x="0"/>
        <item t="default"/>
      </items>
    </pivotField>
    <pivotField showAll="0"/>
    <pivotField numFmtId="164" showAll="0"/>
    <pivotField numFmtId="164" showAll="0"/>
    <pivotField showAll="0"/>
    <pivotField showAll="0">
      <items count="5">
        <item x="3"/>
        <item x="0"/>
        <item x="2"/>
        <item x="1"/>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sd="0" x="5"/>
      </items>
    </pivotField>
    <pivotField showAll="0" defaultSubtotal="0">
      <items count="4">
        <item sd="0" x="0"/>
        <item sd="0" x="1"/>
        <item sd="0" x="2"/>
        <item sd="0" x="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245BC7-B0E0-40B9-B7A9-4FFDED8D72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1">
    <pivotField dataField="1" showAll="0"/>
    <pivotField showAll="0"/>
    <pivotField showAll="0"/>
    <pivotField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showAll="0">
      <items count="6">
        <item x="1"/>
        <item x="3"/>
        <item x="4"/>
        <item x="2"/>
        <item x="0"/>
        <item t="default"/>
      </items>
    </pivotField>
    <pivotField showAll="0"/>
    <pivotField numFmtId="164" showAll="0"/>
    <pivotField numFmtId="164" showAll="0"/>
    <pivotField showAll="0"/>
    <pivotField showAll="0">
      <items count="5">
        <item x="3"/>
        <item x="0"/>
        <item x="2"/>
        <item x="1"/>
        <item t="default"/>
      </items>
    </pivotField>
    <pivotField showAll="0"/>
    <pivotField showAll="0" defaultSubtotal="0"/>
    <pivotField showAll="0" defaultSubtotal="0"/>
    <pivotField showAll="0" defaultSubtotal="0">
      <items count="4">
        <item x="0"/>
        <item x="1"/>
        <item x="2"/>
        <item x="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E90408-B2D8-4172-B105-CDEE94D65C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2" firstHeaderRow="1" firstDataRow="1" firstDataCol="1"/>
  <pivotFields count="21">
    <pivotField dataField="1" showAll="0"/>
    <pivotField showAll="0"/>
    <pivotField showAll="0"/>
    <pivotField axis="axisRow" showAll="0">
      <items count="21">
        <item x="14"/>
        <item x="19"/>
        <item x="3"/>
        <item x="0"/>
        <item x="4"/>
        <item x="16"/>
        <item x="5"/>
        <item x="7"/>
        <item x="9"/>
        <item x="17"/>
        <item x="12"/>
        <item x="8"/>
        <item x="2"/>
        <item x="18"/>
        <item x="15"/>
        <item x="6"/>
        <item x="13"/>
        <item x="10"/>
        <item x="1"/>
        <item x="11"/>
        <item t="default"/>
      </items>
    </pivotField>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showAll="0">
      <items count="6">
        <item x="1"/>
        <item x="3"/>
        <item x="4"/>
        <item x="2"/>
        <item x="0"/>
        <item t="default"/>
      </items>
    </pivotField>
    <pivotField showAll="0"/>
    <pivotField numFmtId="164" showAll="0"/>
    <pivotField numFmtId="164" showAll="0"/>
    <pivotField axis="axisRow" showAll="0">
      <items count="9">
        <item x="7"/>
        <item x="3"/>
        <item x="2"/>
        <item x="6"/>
        <item x="1"/>
        <item x="0"/>
        <item x="5"/>
        <item x="4"/>
        <item t="default"/>
      </items>
    </pivotField>
    <pivotField showAll="0">
      <items count="5">
        <item x="3"/>
        <item x="0"/>
        <item x="2"/>
        <item x="1"/>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2">
    <field x="13"/>
    <field x="3"/>
  </rowFields>
  <rowItems count="29">
    <i>
      <x/>
    </i>
    <i r="1">
      <x v="1"/>
    </i>
    <i>
      <x v="1"/>
    </i>
    <i r="1">
      <x v="8"/>
    </i>
    <i r="1">
      <x v="15"/>
    </i>
    <i>
      <x v="2"/>
    </i>
    <i r="1">
      <x v="2"/>
    </i>
    <i r="1">
      <x v="11"/>
    </i>
    <i r="1">
      <x v="12"/>
    </i>
    <i r="1">
      <x v="14"/>
    </i>
    <i r="1">
      <x v="19"/>
    </i>
    <i>
      <x v="3"/>
    </i>
    <i r="1">
      <x/>
    </i>
    <i r="1">
      <x v="5"/>
    </i>
    <i>
      <x v="4"/>
    </i>
    <i r="1">
      <x v="4"/>
    </i>
    <i r="1">
      <x v="16"/>
    </i>
    <i r="1">
      <x v="18"/>
    </i>
    <i>
      <x v="5"/>
    </i>
    <i r="1">
      <x v="3"/>
    </i>
    <i r="1">
      <x v="6"/>
    </i>
    <i r="1">
      <x v="13"/>
    </i>
    <i r="1">
      <x v="17"/>
    </i>
    <i>
      <x v="6"/>
    </i>
    <i r="1">
      <x v="9"/>
    </i>
    <i r="1">
      <x v="10"/>
    </i>
    <i>
      <x v="7"/>
    </i>
    <i r="1">
      <x v="7"/>
    </i>
    <i t="grand">
      <x/>
    </i>
  </rowItems>
  <colItems count="1">
    <i/>
  </colItems>
  <dataFields count="1">
    <dataField name="Count of Order_ID" fld="0" subtotal="count" baseField="0" baseItem="0"/>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2">
          <reference field="4294967294" count="1" selected="0">
            <x v="0"/>
          </reference>
          <reference field="13" count="1" selected="0">
            <x v="6"/>
          </reference>
        </references>
      </pivotArea>
    </chartFormat>
    <chartFormat chart="0" format="7" series="1">
      <pivotArea type="data" outline="0" fieldPosition="0">
        <references count="2">
          <reference field="4294967294" count="1" selected="0">
            <x v="0"/>
          </reference>
          <reference field="13" count="1" selected="0">
            <x v="7"/>
          </reference>
        </references>
      </pivotArea>
    </chartFormat>
    <chartFormat chart="0" format="8" series="1">
      <pivotArea type="data" outline="0" fieldPosition="0">
        <references count="2">
          <reference field="4294967294" count="1" selected="0">
            <x v="0"/>
          </reference>
          <reference field="3" count="1" selected="0">
            <x v="1"/>
          </reference>
        </references>
      </pivotArea>
    </chartFormat>
    <chartFormat chart="0" format="9" series="1">
      <pivotArea type="data" outline="0" fieldPosition="0">
        <references count="2">
          <reference field="4294967294" count="1" selected="0">
            <x v="0"/>
          </reference>
          <reference field="3" count="1" selected="0">
            <x v="2"/>
          </reference>
        </references>
      </pivotArea>
    </chartFormat>
    <chartFormat chart="0" format="10" series="1">
      <pivotArea type="data" outline="0" fieldPosition="0">
        <references count="2">
          <reference field="4294967294" count="1" selected="0">
            <x v="0"/>
          </reference>
          <reference field="3" count="1" selected="0">
            <x v="3"/>
          </reference>
        </references>
      </pivotArea>
    </chartFormat>
    <chartFormat chart="0" format="11" series="1">
      <pivotArea type="data" outline="0" fieldPosition="0">
        <references count="2">
          <reference field="4294967294" count="1" selected="0">
            <x v="0"/>
          </reference>
          <reference field="3" count="1" selected="0">
            <x v="4"/>
          </reference>
        </references>
      </pivotArea>
    </chartFormat>
    <chartFormat chart="0" format="12" series="1">
      <pivotArea type="data" outline="0" fieldPosition="0">
        <references count="2">
          <reference field="4294967294" count="1" selected="0">
            <x v="0"/>
          </reference>
          <reference field="3" count="1" selected="0">
            <x v="5"/>
          </reference>
        </references>
      </pivotArea>
    </chartFormat>
    <chartFormat chart="0" format="13" series="1">
      <pivotArea type="data" outline="0" fieldPosition="0">
        <references count="2">
          <reference field="4294967294" count="1" selected="0">
            <x v="0"/>
          </reference>
          <reference field="3" count="1" selected="0">
            <x v="6"/>
          </reference>
        </references>
      </pivotArea>
    </chartFormat>
    <chartFormat chart="0" format="14" series="1">
      <pivotArea type="data" outline="0" fieldPosition="0">
        <references count="2">
          <reference field="4294967294" count="1" selected="0">
            <x v="0"/>
          </reference>
          <reference field="3" count="1" selected="0">
            <x v="7"/>
          </reference>
        </references>
      </pivotArea>
    </chartFormat>
    <chartFormat chart="0" format="15" series="1">
      <pivotArea type="data" outline="0" fieldPosition="0">
        <references count="2">
          <reference field="4294967294" count="1" selected="0">
            <x v="0"/>
          </reference>
          <reference field="3" count="1" selected="0">
            <x v="8"/>
          </reference>
        </references>
      </pivotArea>
    </chartFormat>
    <chartFormat chart="0" format="16" series="1">
      <pivotArea type="data" outline="0" fieldPosition="0">
        <references count="2">
          <reference field="4294967294" count="1" selected="0">
            <x v="0"/>
          </reference>
          <reference field="3" count="1" selected="0">
            <x v="9"/>
          </reference>
        </references>
      </pivotArea>
    </chartFormat>
    <chartFormat chart="0" format="17" series="1">
      <pivotArea type="data" outline="0" fieldPosition="0">
        <references count="2">
          <reference field="4294967294" count="1" selected="0">
            <x v="0"/>
          </reference>
          <reference field="3" count="1" selected="0">
            <x v="10"/>
          </reference>
        </references>
      </pivotArea>
    </chartFormat>
    <chartFormat chart="0" format="18" series="1">
      <pivotArea type="data" outline="0" fieldPosition="0">
        <references count="2">
          <reference field="4294967294" count="1" selected="0">
            <x v="0"/>
          </reference>
          <reference field="3" count="1" selected="0">
            <x v="11"/>
          </reference>
        </references>
      </pivotArea>
    </chartFormat>
    <chartFormat chart="0" format="19" series="1">
      <pivotArea type="data" outline="0" fieldPosition="0">
        <references count="2">
          <reference field="4294967294" count="1" selected="0">
            <x v="0"/>
          </reference>
          <reference field="3" count="1" selected="0">
            <x v="12"/>
          </reference>
        </references>
      </pivotArea>
    </chartFormat>
    <chartFormat chart="0" format="20" series="1">
      <pivotArea type="data" outline="0" fieldPosition="0">
        <references count="2">
          <reference field="4294967294" count="1" selected="0">
            <x v="0"/>
          </reference>
          <reference field="3" count="1" selected="0">
            <x v="13"/>
          </reference>
        </references>
      </pivotArea>
    </chartFormat>
    <chartFormat chart="0" format="21" series="1">
      <pivotArea type="data" outline="0" fieldPosition="0">
        <references count="2">
          <reference field="4294967294" count="1" selected="0">
            <x v="0"/>
          </reference>
          <reference field="3" count="1" selected="0">
            <x v="14"/>
          </reference>
        </references>
      </pivotArea>
    </chartFormat>
    <chartFormat chart="0" format="22" series="1">
      <pivotArea type="data" outline="0" fieldPosition="0">
        <references count="2">
          <reference field="4294967294" count="1" selected="0">
            <x v="0"/>
          </reference>
          <reference field="3" count="1" selected="0">
            <x v="15"/>
          </reference>
        </references>
      </pivotArea>
    </chartFormat>
    <chartFormat chart="0" format="23" series="1">
      <pivotArea type="data" outline="0" fieldPosition="0">
        <references count="2">
          <reference field="4294967294" count="1" selected="0">
            <x v="0"/>
          </reference>
          <reference field="3" count="1" selected="0">
            <x v="16"/>
          </reference>
        </references>
      </pivotArea>
    </chartFormat>
    <chartFormat chart="0" format="24" series="1">
      <pivotArea type="data" outline="0" fieldPosition="0">
        <references count="2">
          <reference field="4294967294" count="1" selected="0">
            <x v="0"/>
          </reference>
          <reference field="3" count="1" selected="0">
            <x v="17"/>
          </reference>
        </references>
      </pivotArea>
    </chartFormat>
    <chartFormat chart="0" format="25" series="1">
      <pivotArea type="data" outline="0" fieldPosition="0">
        <references count="2">
          <reference field="4294967294" count="1" selected="0">
            <x v="0"/>
          </reference>
          <reference field="3" count="1" selected="0">
            <x v="18"/>
          </reference>
        </references>
      </pivotArea>
    </chartFormat>
    <chartFormat chart="0" format="26" series="1">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C98244-DE6F-4FBD-8EBC-55F6D79436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K12" firstHeaderRow="1" firstDataRow="2" firstDataCol="1"/>
  <pivotFields count="21">
    <pivotField showAll="0"/>
    <pivotField showAll="0"/>
    <pivotField showAll="0"/>
    <pivotField dataField="1"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showAll="0">
      <items count="6">
        <item x="1"/>
        <item x="3"/>
        <item x="4"/>
        <item x="2"/>
        <item x="0"/>
        <item t="default"/>
      </items>
    </pivotField>
    <pivotField showAll="0"/>
    <pivotField numFmtId="164" showAll="0"/>
    <pivotField numFmtId="164" showAll="0"/>
    <pivotField axis="axisRow" showAll="0">
      <items count="9">
        <item x="7"/>
        <item x="3"/>
        <item x="2"/>
        <item x="6"/>
        <item x="1"/>
        <item x="0"/>
        <item x="5"/>
        <item x="4"/>
        <item t="default"/>
      </items>
    </pivotField>
    <pivotField showAll="0">
      <items count="5">
        <item x="3"/>
        <item x="0"/>
        <item x="2"/>
        <item x="1"/>
        <item t="default"/>
      </items>
    </pivotField>
    <pivotField axis="axisCol" showAll="0">
      <items count="4">
        <item x="1"/>
        <item x="0"/>
        <item x="2"/>
        <item t="default"/>
      </items>
    </pivotField>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9">
    <i>
      <x/>
    </i>
    <i>
      <x v="1"/>
    </i>
    <i>
      <x v="2"/>
    </i>
    <i>
      <x v="3"/>
    </i>
    <i>
      <x v="4"/>
    </i>
    <i>
      <x v="5"/>
    </i>
    <i>
      <x v="6"/>
    </i>
    <i>
      <x v="7"/>
    </i>
    <i t="grand">
      <x/>
    </i>
  </rowItems>
  <colFields count="1">
    <field x="15"/>
  </colFields>
  <colItems count="4">
    <i>
      <x/>
    </i>
    <i>
      <x v="1"/>
    </i>
    <i>
      <x v="2"/>
    </i>
    <i t="grand">
      <x/>
    </i>
  </colItems>
  <dataFields count="1">
    <dataField name="Count of Warehouse_ID" fld="3" subtotal="count" baseField="0" baseItem="0"/>
  </dataFields>
  <chartFormats count="11">
    <chartFormat chart="0" format="0" series="1">
      <pivotArea type="data" outline="0" fieldPosition="0">
        <references count="1">
          <reference field="15" count="1" selected="0">
            <x v="0"/>
          </reference>
        </references>
      </pivotArea>
    </chartFormat>
    <chartFormat chart="0" format="1" series="1">
      <pivotArea type="data" outline="0" fieldPosition="0">
        <references count="1">
          <reference field="15" count="1" selected="0">
            <x v="1"/>
          </reference>
        </references>
      </pivotArea>
    </chartFormat>
    <chartFormat chart="0" format="2" series="1">
      <pivotArea type="data" outline="0" fieldPosition="0">
        <references count="1">
          <reference field="15" count="1" selected="0">
            <x v="2"/>
          </reference>
        </references>
      </pivotArea>
    </chartFormat>
    <chartFormat chart="0" format="3" series="1">
      <pivotArea type="data" outline="0" fieldPosition="0">
        <references count="2">
          <reference field="4294967294" count="1" selected="0">
            <x v="0"/>
          </reference>
          <reference field="15" count="1" selected="0">
            <x v="1"/>
          </reference>
        </references>
      </pivotArea>
    </chartFormat>
    <chartFormat chart="0" format="5" series="1">
      <pivotArea type="data" outline="0" fieldPosition="0">
        <references count="2">
          <reference field="4294967294" count="1" selected="0">
            <x v="0"/>
          </reference>
          <reference field="15" count="1" selected="0">
            <x v="2"/>
          </reference>
        </references>
      </pivotArea>
    </chartFormat>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3" format="0" series="1">
      <pivotArea type="data" outline="0" fieldPosition="0">
        <references count="2">
          <reference field="4294967294" count="1" selected="0">
            <x v="0"/>
          </reference>
          <reference field="15" count="1" selected="0">
            <x v="0"/>
          </reference>
        </references>
      </pivotArea>
    </chartFormat>
    <chartFormat chart="3" format="1" series="1">
      <pivotArea type="data" outline="0" fieldPosition="0">
        <references count="2">
          <reference field="4294967294" count="1" selected="0">
            <x v="0"/>
          </reference>
          <reference field="15" count="1" selected="0">
            <x v="1"/>
          </reference>
        </references>
      </pivotArea>
    </chartFormat>
    <chartFormat chart="3" format="2"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5B99C7-1B2C-46A8-B727-B36BCDD4CC4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E7" firstHeaderRow="1" firstDataRow="2" firstDataCol="1"/>
  <pivotFields count="21">
    <pivotField showAll="0"/>
    <pivotField showAll="0"/>
    <pivotField showAll="0"/>
    <pivotField dataField="1" showAll="0"/>
    <pivotField numFmtId="14" showAll="0">
      <items count="362">
        <item x="346"/>
        <item x="120"/>
        <item x="198"/>
        <item x="137"/>
        <item x="261"/>
        <item x="141"/>
        <item x="109"/>
        <item x="4"/>
        <item x="266"/>
        <item x="128"/>
        <item x="96"/>
        <item x="190"/>
        <item x="189"/>
        <item x="169"/>
        <item x="278"/>
        <item x="331"/>
        <item x="121"/>
        <item x="351"/>
        <item x="251"/>
        <item x="286"/>
        <item x="256"/>
        <item x="171"/>
        <item x="178"/>
        <item x="224"/>
        <item x="293"/>
        <item x="174"/>
        <item x="268"/>
        <item x="33"/>
        <item x="285"/>
        <item x="87"/>
        <item x="272"/>
        <item x="310"/>
        <item x="295"/>
        <item x="259"/>
        <item x="220"/>
        <item x="324"/>
        <item x="327"/>
        <item x="194"/>
        <item x="84"/>
        <item x="195"/>
        <item x="8"/>
        <item x="3"/>
        <item x="311"/>
        <item x="206"/>
        <item x="306"/>
        <item x="253"/>
        <item x="184"/>
        <item x="89"/>
        <item x="356"/>
        <item x="241"/>
        <item x="330"/>
        <item x="32"/>
        <item x="250"/>
        <item x="61"/>
        <item x="280"/>
        <item x="263"/>
        <item x="117"/>
        <item x="162"/>
        <item x="35"/>
        <item x="218"/>
        <item x="6"/>
        <item x="302"/>
        <item x="321"/>
        <item x="209"/>
        <item x="108"/>
        <item x="159"/>
        <item x="298"/>
        <item x="130"/>
        <item x="359"/>
        <item x="145"/>
        <item x="69"/>
        <item x="153"/>
        <item x="13"/>
        <item x="51"/>
        <item x="28"/>
        <item x="168"/>
        <item x="234"/>
        <item x="267"/>
        <item x="312"/>
        <item x="348"/>
        <item x="18"/>
        <item x="227"/>
        <item x="276"/>
        <item x="345"/>
        <item x="260"/>
        <item x="7"/>
        <item x="243"/>
        <item x="175"/>
        <item x="349"/>
        <item x="92"/>
        <item x="155"/>
        <item x="344"/>
        <item x="148"/>
        <item x="112"/>
        <item x="45"/>
        <item x="81"/>
        <item x="99"/>
        <item x="284"/>
        <item x="123"/>
        <item x="337"/>
        <item x="65"/>
        <item x="212"/>
        <item x="147"/>
        <item x="326"/>
        <item x="187"/>
        <item x="323"/>
        <item x="173"/>
        <item x="237"/>
        <item x="300"/>
        <item x="277"/>
        <item x="133"/>
        <item x="142"/>
        <item x="329"/>
        <item x="185"/>
        <item x="320"/>
        <item x="313"/>
        <item x="202"/>
        <item x="341"/>
        <item x="350"/>
        <item x="246"/>
        <item x="154"/>
        <item x="140"/>
        <item x="219"/>
        <item x="336"/>
        <item x="107"/>
        <item x="68"/>
        <item x="85"/>
        <item x="94"/>
        <item x="170"/>
        <item x="132"/>
        <item x="63"/>
        <item x="252"/>
        <item x="160"/>
        <item x="172"/>
        <item x="129"/>
        <item x="57"/>
        <item x="294"/>
        <item x="229"/>
        <item x="73"/>
        <item x="15"/>
        <item x="74"/>
        <item x="211"/>
        <item x="39"/>
        <item x="226"/>
        <item x="354"/>
        <item x="54"/>
        <item x="197"/>
        <item x="34"/>
        <item x="316"/>
        <item x="180"/>
        <item x="29"/>
        <item x="332"/>
        <item x="0"/>
        <item x="245"/>
        <item x="292"/>
        <item x="309"/>
        <item x="111"/>
        <item x="50"/>
        <item x="22"/>
        <item x="308"/>
        <item x="188"/>
        <item x="139"/>
        <item x="191"/>
        <item x="213"/>
        <item x="255"/>
        <item x="11"/>
        <item x="347"/>
        <item x="83"/>
        <item x="288"/>
        <item x="186"/>
        <item x="193"/>
        <item x="16"/>
        <item x="223"/>
        <item x="334"/>
        <item x="46"/>
        <item x="21"/>
        <item x="72"/>
        <item x="238"/>
        <item x="222"/>
        <item x="118"/>
        <item x="23"/>
        <item x="2"/>
        <item x="157"/>
        <item x="146"/>
        <item x="297"/>
        <item x="231"/>
        <item x="265"/>
        <item x="58"/>
        <item x="166"/>
        <item x="138"/>
        <item x="182"/>
        <item x="77"/>
        <item x="228"/>
        <item x="179"/>
        <item x="49"/>
        <item x="75"/>
        <item x="113"/>
        <item x="353"/>
        <item x="66"/>
        <item x="119"/>
        <item x="52"/>
        <item x="116"/>
        <item x="40"/>
        <item x="31"/>
        <item x="307"/>
        <item x="102"/>
        <item x="149"/>
        <item x="37"/>
        <item x="216"/>
        <item x="20"/>
        <item x="257"/>
        <item x="12"/>
        <item x="339"/>
        <item x="291"/>
        <item x="352"/>
        <item x="281"/>
        <item x="236"/>
        <item x="217"/>
        <item x="41"/>
        <item x="76"/>
        <item x="200"/>
        <item x="161"/>
        <item x="152"/>
        <item x="36"/>
        <item x="151"/>
        <item x="30"/>
        <item x="115"/>
        <item x="279"/>
        <item x="287"/>
        <item x="71"/>
        <item x="208"/>
        <item x="317"/>
        <item x="340"/>
        <item x="106"/>
        <item x="342"/>
        <item x="47"/>
        <item x="273"/>
        <item x="176"/>
        <item x="358"/>
        <item x="114"/>
        <item x="221"/>
        <item x="48"/>
        <item x="88"/>
        <item x="14"/>
        <item x="93"/>
        <item x="144"/>
        <item x="78"/>
        <item x="333"/>
        <item x="1"/>
        <item x="289"/>
        <item x="97"/>
        <item x="314"/>
        <item x="91"/>
        <item x="165"/>
        <item x="44"/>
        <item x="24"/>
        <item x="232"/>
        <item x="235"/>
        <item x="55"/>
        <item x="126"/>
        <item x="338"/>
        <item x="27"/>
        <item x="283"/>
        <item x="192"/>
        <item x="325"/>
        <item x="156"/>
        <item x="163"/>
        <item x="183"/>
        <item x="262"/>
        <item x="26"/>
        <item x="56"/>
        <item x="59"/>
        <item x="299"/>
        <item x="53"/>
        <item x="335"/>
        <item x="101"/>
        <item x="239"/>
        <item x="249"/>
        <item x="233"/>
        <item x="95"/>
        <item x="124"/>
        <item x="290"/>
        <item x="271"/>
        <item x="67"/>
        <item x="264"/>
        <item x="79"/>
        <item x="248"/>
        <item x="143"/>
        <item x="230"/>
        <item x="98"/>
        <item x="318"/>
        <item x="70"/>
        <item x="10"/>
        <item x="305"/>
        <item x="86"/>
        <item x="38"/>
        <item x="357"/>
        <item x="247"/>
        <item x="181"/>
        <item x="103"/>
        <item x="105"/>
        <item x="125"/>
        <item x="215"/>
        <item x="62"/>
        <item x="100"/>
        <item x="43"/>
        <item x="214"/>
        <item x="303"/>
        <item x="199"/>
        <item x="296"/>
        <item x="205"/>
        <item x="254"/>
        <item x="42"/>
        <item x="315"/>
        <item x="322"/>
        <item x="122"/>
        <item x="136"/>
        <item x="9"/>
        <item x="282"/>
        <item x="131"/>
        <item x="82"/>
        <item x="240"/>
        <item x="110"/>
        <item x="355"/>
        <item x="158"/>
        <item x="134"/>
        <item x="167"/>
        <item x="270"/>
        <item x="242"/>
        <item x="164"/>
        <item x="210"/>
        <item x="204"/>
        <item x="5"/>
        <item x="301"/>
        <item x="25"/>
        <item x="19"/>
        <item x="360"/>
        <item x="319"/>
        <item x="135"/>
        <item x="274"/>
        <item x="269"/>
        <item x="150"/>
        <item x="127"/>
        <item x="258"/>
        <item x="225"/>
        <item x="244"/>
        <item x="343"/>
        <item x="203"/>
        <item x="207"/>
        <item x="17"/>
        <item x="196"/>
        <item x="64"/>
        <item x="104"/>
        <item x="275"/>
        <item x="304"/>
        <item x="177"/>
        <item x="90"/>
        <item x="328"/>
        <item x="201"/>
        <item x="60"/>
        <item x="80"/>
        <item t="default"/>
      </items>
    </pivotField>
    <pivotField numFmtId="14" showAll="0">
      <items count="363">
        <item x="124"/>
        <item x="280"/>
        <item x="149"/>
        <item x="339"/>
        <item x="176"/>
        <item x="361"/>
        <item x="146"/>
        <item x="4"/>
        <item x="97"/>
        <item x="111"/>
        <item x="293"/>
        <item x="125"/>
        <item x="195"/>
        <item x="235"/>
        <item x="138"/>
        <item x="127"/>
        <item x="304"/>
        <item x="296"/>
        <item x="178"/>
        <item x="183"/>
        <item x="221"/>
        <item x="317"/>
        <item x="181"/>
        <item x="194"/>
        <item x="33"/>
        <item x="165"/>
        <item x="245"/>
        <item x="279"/>
        <item x="137"/>
        <item x="345"/>
        <item x="332"/>
        <item x="90"/>
        <item x="264"/>
        <item x="231"/>
        <item x="310"/>
        <item x="87"/>
        <item x="285"/>
        <item x="312"/>
        <item x="8"/>
        <item x="193"/>
        <item x="217"/>
        <item x="248"/>
        <item x="166"/>
        <item x="3"/>
        <item x="353"/>
        <item x="59"/>
        <item x="238"/>
        <item x="334"/>
        <item x="306"/>
        <item x="32"/>
        <item x="197"/>
        <item x="65"/>
        <item x="227"/>
        <item x="326"/>
        <item x="205"/>
        <item x="60"/>
        <item x="115"/>
        <item x="254"/>
        <item x="122"/>
        <item x="6"/>
        <item x="128"/>
        <item x="35"/>
        <item x="171"/>
        <item x="216"/>
        <item x="337"/>
        <item x="294"/>
        <item x="213"/>
        <item x="110"/>
        <item x="220"/>
        <item x="13"/>
        <item x="167"/>
        <item x="73"/>
        <item x="267"/>
        <item x="161"/>
        <item x="96"/>
        <item x="28"/>
        <item x="330"/>
        <item x="52"/>
        <item x="275"/>
        <item x="298"/>
        <item x="357"/>
        <item x="18"/>
        <item x="271"/>
        <item x="182"/>
        <item x="228"/>
        <item x="272"/>
        <item x="7"/>
        <item x="242"/>
        <item x="359"/>
        <item x="342"/>
        <item x="230"/>
        <item x="116"/>
        <item x="288"/>
        <item x="155"/>
        <item x="47"/>
        <item x="169"/>
        <item x="131"/>
        <item x="348"/>
        <item x="44"/>
        <item x="85"/>
        <item x="100"/>
        <item x="192"/>
        <item x="210"/>
        <item x="154"/>
        <item x="333"/>
        <item x="309"/>
        <item x="150"/>
        <item x="316"/>
        <item x="347"/>
        <item x="234"/>
        <item x="180"/>
        <item x="295"/>
        <item x="331"/>
        <item x="142"/>
        <item x="187"/>
        <item x="319"/>
        <item x="327"/>
        <item x="323"/>
        <item x="202"/>
        <item x="329"/>
        <item x="261"/>
        <item x="71"/>
        <item x="162"/>
        <item x="198"/>
        <item x="109"/>
        <item x="258"/>
        <item x="177"/>
        <item x="88"/>
        <item x="67"/>
        <item x="219"/>
        <item x="94"/>
        <item x="244"/>
        <item x="141"/>
        <item x="246"/>
        <item x="78"/>
        <item x="61"/>
        <item x="79"/>
        <item x="255"/>
        <item x="126"/>
        <item x="185"/>
        <item x="212"/>
        <item x="356"/>
        <item x="156"/>
        <item x="34"/>
        <item x="15"/>
        <item x="209"/>
        <item x="46"/>
        <item x="38"/>
        <item x="72"/>
        <item x="355"/>
        <item x="184"/>
        <item x="276"/>
        <item x="58"/>
        <item x="114"/>
        <item x="29"/>
        <item x="0"/>
        <item x="51"/>
        <item x="148"/>
        <item x="270"/>
        <item x="23"/>
        <item x="199"/>
        <item x="211"/>
        <item x="188"/>
        <item x="250"/>
        <item x="318"/>
        <item x="11"/>
        <item x="190"/>
        <item x="341"/>
        <item x="201"/>
        <item x="335"/>
        <item x="56"/>
        <item x="86"/>
        <item x="22"/>
        <item x="121"/>
        <item x="16"/>
        <item x="108"/>
        <item x="113"/>
        <item x="321"/>
        <item x="163"/>
        <item x="105"/>
        <item x="77"/>
        <item x="69"/>
        <item x="24"/>
        <item x="2"/>
        <item x="160"/>
        <item x="308"/>
        <item x="147"/>
        <item x="174"/>
        <item x="189"/>
        <item x="62"/>
        <item x="50"/>
        <item x="239"/>
        <item x="229"/>
        <item x="299"/>
        <item x="123"/>
        <item x="93"/>
        <item x="53"/>
        <item x="117"/>
        <item x="256"/>
        <item x="31"/>
        <item x="259"/>
        <item x="103"/>
        <item x="346"/>
        <item x="120"/>
        <item x="237"/>
        <item x="39"/>
        <item x="301"/>
        <item x="37"/>
        <item x="338"/>
        <item x="21"/>
        <item x="282"/>
        <item x="233"/>
        <item x="251"/>
        <item x="277"/>
        <item x="12"/>
        <item x="215"/>
        <item x="81"/>
        <item x="40"/>
        <item x="159"/>
        <item x="257"/>
        <item x="30"/>
        <item x="158"/>
        <item x="130"/>
        <item x="281"/>
        <item x="36"/>
        <item x="119"/>
        <item x="354"/>
        <item x="170"/>
        <item x="340"/>
        <item x="273"/>
        <item x="76"/>
        <item x="265"/>
        <item x="328"/>
        <item x="350"/>
        <item x="118"/>
        <item x="45"/>
        <item x="48"/>
        <item x="236"/>
        <item x="14"/>
        <item x="222"/>
        <item x="49"/>
        <item x="91"/>
        <item x="320"/>
        <item x="82"/>
        <item x="20"/>
        <item x="214"/>
        <item x="324"/>
        <item x="307"/>
        <item x="153"/>
        <item x="43"/>
        <item x="98"/>
        <item x="102"/>
        <item x="1"/>
        <item x="179"/>
        <item x="25"/>
        <item x="232"/>
        <item x="135"/>
        <item x="55"/>
        <item x="27"/>
        <item x="297"/>
        <item x="191"/>
        <item x="287"/>
        <item x="269"/>
        <item x="274"/>
        <item x="314"/>
        <item x="278"/>
        <item x="172"/>
        <item x="186"/>
        <item x="26"/>
        <item x="303"/>
        <item x="57"/>
        <item x="63"/>
        <item x="106"/>
        <item x="263"/>
        <item x="300"/>
        <item x="268"/>
        <item x="54"/>
        <item x="95"/>
        <item x="132"/>
        <item x="349"/>
        <item x="225"/>
        <item x="70"/>
        <item x="223"/>
        <item x="286"/>
        <item x="99"/>
        <item x="151"/>
        <item x="83"/>
        <item x="226"/>
        <item x="292"/>
        <item x="206"/>
        <item x="10"/>
        <item x="336"/>
        <item x="305"/>
        <item x="74"/>
        <item x="80"/>
        <item x="134"/>
        <item x="89"/>
        <item x="104"/>
        <item x="241"/>
        <item x="352"/>
        <item x="133"/>
        <item x="42"/>
        <item x="66"/>
        <item x="283"/>
        <item x="101"/>
        <item x="311"/>
        <item x="253"/>
        <item x="204"/>
        <item x="207"/>
        <item x="262"/>
        <item x="145"/>
        <item x="290"/>
        <item x="129"/>
        <item x="139"/>
        <item x="249"/>
        <item x="41"/>
        <item x="218"/>
        <item x="9"/>
        <item x="164"/>
        <item x="152"/>
        <item x="247"/>
        <item x="168"/>
        <item x="140"/>
        <item x="143"/>
        <item x="112"/>
        <item x="203"/>
        <item x="173"/>
        <item x="358"/>
        <item x="175"/>
        <item x="208"/>
        <item x="5"/>
        <item x="313"/>
        <item x="75"/>
        <item x="302"/>
        <item x="19"/>
        <item x="291"/>
        <item x="144"/>
        <item x="252"/>
        <item x="266"/>
        <item x="343"/>
        <item x="260"/>
        <item x="157"/>
        <item x="224"/>
        <item x="136"/>
        <item x="351"/>
        <item x="243"/>
        <item x="344"/>
        <item x="68"/>
        <item x="240"/>
        <item x="200"/>
        <item x="92"/>
        <item x="17"/>
        <item x="315"/>
        <item x="322"/>
        <item x="107"/>
        <item x="325"/>
        <item x="64"/>
        <item x="84"/>
        <item x="289"/>
        <item x="284"/>
        <item x="196"/>
        <item x="360"/>
        <item t="default"/>
      </items>
    </pivotField>
    <pivotField showAll="0"/>
    <pivotField showAll="0"/>
    <pivotField showAll="0">
      <items count="5">
        <item x="3"/>
        <item x="0"/>
        <item x="1"/>
        <item x="2"/>
        <item t="default"/>
      </items>
    </pivotField>
    <pivotField showAll="0">
      <items count="6">
        <item x="1"/>
        <item x="3"/>
        <item x="4"/>
        <item x="2"/>
        <item x="0"/>
        <item t="default"/>
      </items>
    </pivotField>
    <pivotField showAll="0"/>
    <pivotField numFmtId="164" showAll="0"/>
    <pivotField numFmtId="164" showAll="0"/>
    <pivotField showAll="0"/>
    <pivotField axis="axisRow" showAll="0">
      <items count="5">
        <item x="3"/>
        <item x="0"/>
        <item x="2"/>
        <item x="1"/>
        <item t="default"/>
      </items>
    </pivotField>
    <pivotField axis="axisCol" showAll="0">
      <items count="4">
        <item x="1"/>
        <item x="0"/>
        <item x="2"/>
        <item t="default"/>
      </items>
    </pivotField>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Fields count="1">
    <field x="15"/>
  </colFields>
  <colItems count="4">
    <i>
      <x/>
    </i>
    <i>
      <x v="1"/>
    </i>
    <i>
      <x v="2"/>
    </i>
    <i t="grand">
      <x/>
    </i>
  </colItems>
  <dataFields count="1">
    <dataField name="Count of Warehouse_ID" fld="3" subtotal="count" baseField="0" baseItem="0"/>
  </dataFields>
  <chartFormats count="14">
    <chartFormat chart="0" format="0" series="1">
      <pivotArea type="data" outline="0" fieldPosition="0">
        <references count="1">
          <reference field="15" count="1" selected="0">
            <x v="0"/>
          </reference>
        </references>
      </pivotArea>
    </chartFormat>
    <chartFormat chart="0" format="1" series="1">
      <pivotArea type="data" outline="0" fieldPosition="0">
        <references count="1">
          <reference field="15" count="1" selected="0">
            <x v="1"/>
          </reference>
        </references>
      </pivotArea>
    </chartFormat>
    <chartFormat chart="0" format="2" series="1">
      <pivotArea type="data" outline="0" fieldPosition="0">
        <references count="1">
          <reference field="15" count="1" selected="0">
            <x v="2"/>
          </reference>
        </references>
      </pivotArea>
    </chartFormat>
    <chartFormat chart="0" format="3" series="1">
      <pivotArea type="data" outline="0" fieldPosition="0">
        <references count="2">
          <reference field="4294967294" count="1" selected="0">
            <x v="0"/>
          </reference>
          <reference field="15" count="1" selected="0">
            <x v="1"/>
          </reference>
        </references>
      </pivotArea>
    </chartFormat>
    <chartFormat chart="0" format="5" series="1">
      <pivotArea type="data" outline="0" fieldPosition="0">
        <references count="2">
          <reference field="4294967294" count="1" selected="0">
            <x v="0"/>
          </reference>
          <reference field="15" count="1" selected="0">
            <x v="2"/>
          </reference>
        </references>
      </pivotArea>
    </chartFormat>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5" format="3" series="1">
      <pivotArea type="data" outline="0" fieldPosition="0">
        <references count="2">
          <reference field="4294967294" count="1" selected="0">
            <x v="0"/>
          </reference>
          <reference field="15" count="1" selected="0">
            <x v="0"/>
          </reference>
        </references>
      </pivotArea>
    </chartFormat>
    <chartFormat chart="5" format="4" series="1">
      <pivotArea type="data" outline="0" fieldPosition="0">
        <references count="2">
          <reference field="4294967294" count="1" selected="0">
            <x v="0"/>
          </reference>
          <reference field="15" count="1" selected="0">
            <x v="1"/>
          </reference>
        </references>
      </pivotArea>
    </chartFormat>
    <chartFormat chart="5" format="5" series="1">
      <pivotArea type="data" outline="0" fieldPosition="0">
        <references count="2">
          <reference field="4294967294" count="1" selected="0">
            <x v="0"/>
          </reference>
          <reference field="15" count="1" selected="0">
            <x v="2"/>
          </reference>
        </references>
      </pivotArea>
    </chartFormat>
    <chartFormat chart="6" format="6" series="1">
      <pivotArea type="data" outline="0" fieldPosition="0">
        <references count="2">
          <reference field="4294967294" count="1" selected="0">
            <x v="0"/>
          </reference>
          <reference field="15" count="1" selected="0">
            <x v="0"/>
          </reference>
        </references>
      </pivotArea>
    </chartFormat>
    <chartFormat chart="6" format="7" series="1">
      <pivotArea type="data" outline="0" fieldPosition="0">
        <references count="2">
          <reference field="4294967294" count="1" selected="0">
            <x v="0"/>
          </reference>
          <reference field="15" count="1" selected="0">
            <x v="1"/>
          </reference>
        </references>
      </pivotArea>
    </chartFormat>
    <chartFormat chart="6"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DB288F0-1D3C-40AF-8267-A6C4876C1F85}" autoFormatId="16" applyNumberFormats="0" applyBorderFormats="0" applyFontFormats="0" applyPatternFormats="0" applyAlignmentFormats="0" applyWidthHeightFormats="0">
  <queryTableRefresh nextId="5">
    <queryTableFields count="4">
      <queryTableField id="1" name="Product_ID" tableColumnId="1"/>
      <queryTableField id="2" name="Category" tableColumnId="2"/>
      <queryTableField id="3" name="Unit_Weight" tableColumnId="3"/>
      <queryTableField id="4" name="Base_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5B28D1C-EB7D-4849-B36A-3BC72C9F6D81}" autoFormatId="16" applyNumberFormats="0" applyBorderFormats="0" applyFontFormats="0" applyPatternFormats="0" applyAlignmentFormats="0" applyWidthHeightFormats="0">
  <queryTableRefresh nextId="5">
    <queryTableFields count="4">
      <queryTableField id="1" name="Warehouse_ID" tableColumnId="1"/>
      <queryTableField id="2" name="City" tableColumnId="2"/>
      <queryTableField id="3" name="Zone" tableColumnId="3"/>
      <queryTableField id="4" name="Capacity_Statu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939B773-982A-4352-B015-5B0C90F27766}"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Warehouse_ID" tableColumnId="4"/>
      <queryTableField id="5" name="Order_Date" tableColumnId="5"/>
      <queryTableField id="6" name="Ship_Date" tableColumnId="6"/>
      <queryTableField id="15" dataBound="0" tableColumnId="15"/>
      <queryTableField id="7" name="Quantity" tableColumnId="7"/>
      <queryTableField id="8" name="Status" tableColumnId="8"/>
      <queryTableField id="9" name="products.Category" tableColumnId="9"/>
      <queryTableField id="10" name="products.Unit_Weight" tableColumnId="10"/>
      <queryTableField id="11" name="products.Base_Price" tableColumnId="11"/>
      <queryTableField id="16" dataBound="0" tableColumnId="16"/>
      <queryTableField id="12" name="centers.City" tableColumnId="12"/>
      <queryTableField id="13" name="centers.Zone" tableColumnId="13"/>
      <queryTableField id="14" name="centers.Capacity_Statu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222BCD4D-9C2E-485B-B6C2-C1B41BA7DCA9}" sourceName="products.Category">
  <pivotTables>
    <pivotTable tabId="10" name="PivotTable1"/>
    <pivotTable tabId="9" name="PivotTable4"/>
    <pivotTable tabId="7" name="PivotTable1"/>
    <pivotTable tabId="12" name="PivotTable2"/>
    <pivotTable tabId="12" name="PivotTable6"/>
    <pivotTable tabId="11" name="PivotTable1"/>
    <pivotTable tabId="11" name="PivotTable3"/>
    <pivotTable tabId="16" name="PivotTable1"/>
    <pivotTable tabId="13" name="PivotTable1"/>
    <pivotTable tabId="13" name="PivotTable8"/>
  </pivotTables>
  <data>
    <tabular pivotCacheId="183060742">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s.Zone" xr10:uid="{CDADA058-D744-4322-B8C9-8E8D06BA131F}" sourceName="centers.Zone">
  <pivotTables>
    <pivotTable tabId="10" name="PivotTable1"/>
    <pivotTable tabId="9" name="PivotTable4"/>
    <pivotTable tabId="7" name="PivotTable1"/>
    <pivotTable tabId="12" name="PivotTable2"/>
    <pivotTable tabId="12" name="PivotTable6"/>
    <pivotTable tabId="11" name="PivotTable1"/>
    <pivotTable tabId="11" name="PivotTable3"/>
    <pivotTable tabId="16" name="PivotTable1"/>
    <pivotTable tabId="13" name="PivotTable1"/>
    <pivotTable tabId="13" name="PivotTable8"/>
  </pivotTables>
  <data>
    <tabular pivotCacheId="18306074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8AF7B01-7F8E-4819-AD2E-8577F4647FCC}" sourceName="Months (Order_Date)">
  <pivotTables>
    <pivotTable tabId="10" name="PivotTable1"/>
    <pivotTable tabId="9" name="PivotTable4"/>
    <pivotTable tabId="7" name="PivotTable1"/>
    <pivotTable tabId="12" name="PivotTable2"/>
    <pivotTable tabId="12" name="PivotTable6"/>
    <pivotTable tabId="11" name="PivotTable1"/>
    <pivotTable tabId="11" name="PivotTable3"/>
    <pivotTable tabId="16" name="PivotTable1"/>
    <pivotTable tabId="13" name="PivotTable1"/>
    <pivotTable tabId="13" name="PivotTable8"/>
  </pivotTables>
  <data>
    <tabular pivotCacheId="183060742">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7CF44E2-C076-4154-845E-1ADD172E7997}" sourceName="Status">
  <pivotTables>
    <pivotTable tabId="10" name="PivotTable1"/>
    <pivotTable tabId="9" name="PivotTable4"/>
    <pivotTable tabId="7" name="PivotTable1"/>
    <pivotTable tabId="12" name="PivotTable2"/>
    <pivotTable tabId="12" name="PivotTable6"/>
    <pivotTable tabId="11" name="PivotTable1"/>
    <pivotTable tabId="11" name="PivotTable3"/>
    <pivotTable tabId="16" name="PivotTable1"/>
    <pivotTable tabId="13" name="PivotTable1"/>
    <pivotTable tabId="13" name="PivotTable8"/>
  </pivotTables>
  <data>
    <tabular pivotCacheId="18306074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Category" xr10:uid="{03D7933A-5E1A-43C4-BDE9-0B5FBEB9C082}" cache="Slicer_products.Category" caption="products.Category" rowHeight="234950"/>
  <slicer name="centers.Zone" xr10:uid="{3EBB0C7C-A3B9-42E9-8392-B13D4CE9A3D6}" cache="Slicer_centers.Zone" caption="centers.Zone" rowHeight="234950"/>
  <slicer name="Months (Order_Date)" xr10:uid="{FD6AAD7E-8C11-4D84-9883-F7E6BF533203}" cache="Slicer_Months__Order_Date" caption="Months (Order_Date)" rowHeight="234950"/>
  <slicer name="Status" xr10:uid="{4823AA45-7705-4F63-8496-CDE7B9FD3B59}"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Category 1" xr10:uid="{796DEC59-9159-4145-B543-20BE2329CDE5}" cache="Slicer_products.Category" caption="products.Category" style="Slicer Style 2" rowHeight="234950"/>
  <slicer name="centers.Zone 1" xr10:uid="{271DF759-6A41-4DDB-9B03-5FB52911BC6E}" cache="Slicer_centers.Zone" caption="centers.Zone" style="Slicer Style 2" rowHeight="234950"/>
  <slicer name="Months (Order_Date) 1" xr10:uid="{63F2CC66-EEBF-4A2A-BA1D-5193877CC139}" cache="Slicer_Months__Order_Date" caption="Months (Order_Date)" style="Slicer Style 2" rowHeight="234950"/>
  <slicer name="Status 1" xr10:uid="{1528949B-4688-4506-AC7A-5B53E470AA46}" cache="Slicer_Status" caption="Status" style="Slicer Style 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6D503F-937A-4610-98FA-A7DE674CCA89}" name="orders" displayName="orders" ref="A1:H1501" totalsRowShown="0" headerRowDxfId="160" dataDxfId="159">
  <autoFilter ref="A1:H1501" xr:uid="{886D503F-937A-4610-98FA-A7DE674CCA89}"/>
  <tableColumns count="8">
    <tableColumn id="1" xr3:uid="{0F006F94-41D3-4ACA-B12B-CF3B498B615A}" name="Order_ID" dataDxfId="158"/>
    <tableColumn id="2" xr3:uid="{CD97A3F7-ABCD-49EA-9494-1BA75CF1F859}" name="Customer_ID" dataDxfId="157"/>
    <tableColumn id="3" xr3:uid="{1682F837-D26A-4154-9E6D-0A61FC5D96E1}" name="Product_ID" dataDxfId="156"/>
    <tableColumn id="4" xr3:uid="{2498E2A6-F8E7-4E02-9BEF-89B288FD3A6E}" name="Warehouse_ID" dataDxfId="155"/>
    <tableColumn id="5" xr3:uid="{716BE549-EDEA-44AA-92AD-791257D45274}" name="Order_Date" dataDxfId="154"/>
    <tableColumn id="6" xr3:uid="{7B0FA77D-14BD-46C0-AB7C-79200330D369}" name="Ship_Date" dataDxfId="153"/>
    <tableColumn id="7" xr3:uid="{BC59B3FD-249C-4789-8A1B-2ED178C0C76B}" name="Quantity" dataDxfId="152"/>
    <tableColumn id="8" xr3:uid="{24AA038A-0E8D-4DC7-9686-C5964CED2E78}" name="Status" dataDxfId="1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BB2A29-9E6D-4E4E-B03E-AA4719202C96}" name="products_1" displayName="products_1" ref="A1:D101" tableType="queryTable" totalsRowShown="0">
  <autoFilter ref="A1:D101" xr:uid="{79BB2A29-9E6D-4E4E-B03E-AA4719202C96}"/>
  <tableColumns count="4">
    <tableColumn id="1" xr3:uid="{5D87EB98-D06B-45B1-A3F6-C0BEAAF6A96E}" uniqueName="1" name="Product_ID" queryTableFieldId="1" dataDxfId="150"/>
    <tableColumn id="2" xr3:uid="{2A3E590A-D5A7-4E74-B23D-B238935849E5}" uniqueName="2" name="Category" queryTableFieldId="2" dataDxfId="149"/>
    <tableColumn id="3" xr3:uid="{B486E459-B30E-44FF-8D66-D1891A690E15}" uniqueName="3" name="Unit_Weight" queryTableFieldId="3" dataDxfId="148"/>
    <tableColumn id="4" xr3:uid="{574EA050-73C2-4845-BDC3-04DC7364EE5A}" uniqueName="4" name="Base_Price" queryTableFieldId="4" dataDxfId="1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C98911-ACE0-49F8-AF33-E99A24282FFA}" name="centers_" displayName="centers_" ref="A1:D21" tableType="queryTable" totalsRowShown="0">
  <autoFilter ref="A1:D21" xr:uid="{C8C98911-ACE0-49F8-AF33-E99A24282FFA}"/>
  <tableColumns count="4">
    <tableColumn id="1" xr3:uid="{7E58A3C8-C966-4AF4-BFFF-61A24FE794E6}" uniqueName="1" name="Warehouse_ID" queryTableFieldId="1"/>
    <tableColumn id="2" xr3:uid="{55ABA080-07E7-40BD-8407-91E2707636E2}" uniqueName="2" name="City" queryTableFieldId="2" dataDxfId="146"/>
    <tableColumn id="3" xr3:uid="{9C53C8C6-F215-4EA9-86C8-16C12943CADF}" uniqueName="3" name="Zone" queryTableFieldId="3" dataDxfId="145"/>
    <tableColumn id="4" xr3:uid="{152B893F-F10C-4FA2-8E44-8E7BE76946F5}" uniqueName="4" name="Capacity_Status" queryTableFieldId="4" dataDxfId="14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65E872-B1EA-446D-B218-53ECBF0CDD66}" name="orders_1" displayName="orders_1" ref="A1:P1501" tableType="queryTable" totalsRowShown="0">
  <autoFilter ref="A1:P1501" xr:uid="{3D65E872-B1EA-446D-B218-53ECBF0CDD66}"/>
  <tableColumns count="16">
    <tableColumn id="1" xr3:uid="{72D3DFA3-8CCB-4AF8-A356-7E6133886204}" uniqueName="1" name="Order_ID" queryTableFieldId="1" dataDxfId="143"/>
    <tableColumn id="2" xr3:uid="{EFC53641-4531-4198-890F-DD8E15E0A788}" uniqueName="2" name="Customer_ID" queryTableFieldId="2" dataDxfId="142"/>
    <tableColumn id="3" xr3:uid="{BC3F675E-3A43-46A1-9ABA-6D98E99B955A}" uniqueName="3" name="Product_ID" queryTableFieldId="3" dataDxfId="141"/>
    <tableColumn id="4" xr3:uid="{8E9F6E03-3232-462C-A720-47514210FB6E}" uniqueName="4" name="Warehouse_ID" queryTableFieldId="4" dataDxfId="140"/>
    <tableColumn id="5" xr3:uid="{C7799EEC-DF22-42C0-BBF9-52C11C810037}" uniqueName="5" name="Order_Date" queryTableFieldId="5" dataDxfId="139"/>
    <tableColumn id="6" xr3:uid="{42FB7071-6E65-4BDC-832F-8B786920BEAE}" uniqueName="6" name="Ship_Date" queryTableFieldId="6" dataDxfId="138"/>
    <tableColumn id="15" xr3:uid="{852DC0AC-3C0C-4F69-B979-D49DC4E03EDA}" uniqueName="15" name="Shipping days" queryTableFieldId="15" dataDxfId="137">
      <calculatedColumnFormula>F2-E2</calculatedColumnFormula>
    </tableColumn>
    <tableColumn id="7" xr3:uid="{276DC917-3AFD-41EF-BA6F-5CD62372F96E}" uniqueName="7" name="Quantity" queryTableFieldId="7" dataDxfId="136"/>
    <tableColumn id="8" xr3:uid="{FC753980-4E6E-4FF6-9D3F-C663F76D9331}" uniqueName="8" name="Status" queryTableFieldId="8" dataDxfId="135"/>
    <tableColumn id="9" xr3:uid="{CE8F4A3B-CB47-423B-93BE-9CCAE3B38B90}" uniqueName="9" name="products.Category" queryTableFieldId="9" dataDxfId="134"/>
    <tableColumn id="10" xr3:uid="{EB8D228F-6509-4825-A02F-DC8F5596BE88}" uniqueName="10" name="products.Unit_Weight" queryTableFieldId="10" dataDxfId="133"/>
    <tableColumn id="11" xr3:uid="{2322020B-52FC-4092-97D6-D0FDED12643C}" uniqueName="11" name="products.Base_Price" queryTableFieldId="11" dataDxfId="132"/>
    <tableColumn id="16" xr3:uid="{48309710-AACE-4239-BD60-C015EAB43AE8}" uniqueName="16" name="Total Order Value" queryTableFieldId="16" dataDxfId="131">
      <calculatedColumnFormula>orders_1[[#This Row],[products.Base_Price]]*orders_1[[#This Row],[Quantity]]</calculatedColumnFormula>
    </tableColumn>
    <tableColumn id="12" xr3:uid="{DFE7B50C-7965-4623-98B9-D3BD84C38A67}" uniqueName="12" name="centers.City" queryTableFieldId="12" dataDxfId="130"/>
    <tableColumn id="13" xr3:uid="{890CD42C-B319-4526-8FFA-4CF273512B2F}" uniqueName="13" name="centers.Zone" queryTableFieldId="13" dataDxfId="129"/>
    <tableColumn id="14" xr3:uid="{C62C71C5-89F1-4E5B-B869-06F83BA109FA}" uniqueName="14" name="centers.Capacity_Status" queryTableFieldId="14" dataDxfId="128"/>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1"/>
  <sheetViews>
    <sheetView zoomScaleNormal="100" workbookViewId="0">
      <selection activeCell="R7" sqref="R7"/>
    </sheetView>
  </sheetViews>
  <sheetFormatPr defaultColWidth="14.44140625" defaultRowHeight="15" customHeight="1" x14ac:dyDescent="0.3"/>
  <cols>
    <col min="1" max="1" width="10.44140625" style="2" customWidth="1"/>
    <col min="2" max="2" width="13.77734375" style="2" customWidth="1"/>
    <col min="3" max="3" width="12.33203125" style="2" customWidth="1"/>
    <col min="4" max="4" width="15.21875" style="2" customWidth="1"/>
    <col min="5" max="5" width="12.5546875" customWidth="1"/>
    <col min="6" max="6" width="11.44140625" customWidth="1"/>
    <col min="7" max="7" width="10.21875" customWidth="1"/>
    <col min="8" max="8" width="9.44140625" customWidth="1"/>
    <col min="9" max="9" width="12.33203125" customWidth="1"/>
    <col min="10" max="24" width="8.6640625" customWidth="1"/>
  </cols>
  <sheetData>
    <row r="1" spans="1:8" ht="14.4" x14ac:dyDescent="0.3">
      <c r="A1" s="10" t="s">
        <v>28</v>
      </c>
      <c r="B1" s="10" t="s">
        <v>29</v>
      </c>
      <c r="C1" s="10" t="s">
        <v>0</v>
      </c>
      <c r="D1" s="10" t="s">
        <v>1</v>
      </c>
      <c r="E1" s="1" t="s">
        <v>30</v>
      </c>
      <c r="F1" s="1" t="s">
        <v>31</v>
      </c>
      <c r="G1" s="1" t="s">
        <v>32</v>
      </c>
      <c r="H1" s="1" t="s">
        <v>33</v>
      </c>
    </row>
    <row r="2" spans="1:8" ht="14.4" x14ac:dyDescent="0.3">
      <c r="A2" s="10">
        <v>10001</v>
      </c>
      <c r="B2" s="10">
        <v>642</v>
      </c>
      <c r="C2" s="10">
        <v>2013</v>
      </c>
      <c r="D2" s="10">
        <v>304</v>
      </c>
      <c r="E2" s="1" t="s">
        <v>34</v>
      </c>
      <c r="F2" s="1" t="s">
        <v>35</v>
      </c>
      <c r="G2" s="10">
        <v>5</v>
      </c>
      <c r="H2" s="1" t="s">
        <v>36</v>
      </c>
    </row>
    <row r="3" spans="1:8" ht="14.4" x14ac:dyDescent="0.3">
      <c r="A3" s="10">
        <v>10002</v>
      </c>
      <c r="B3" s="10">
        <v>881</v>
      </c>
      <c r="C3" s="10">
        <v>2004</v>
      </c>
      <c r="D3" s="10">
        <v>305</v>
      </c>
      <c r="E3" s="1" t="s">
        <v>37</v>
      </c>
      <c r="F3" s="1" t="s">
        <v>38</v>
      </c>
      <c r="G3" s="10">
        <v>5</v>
      </c>
      <c r="H3" s="1" t="s">
        <v>39</v>
      </c>
    </row>
    <row r="4" spans="1:8" ht="14.4" x14ac:dyDescent="0.3">
      <c r="A4" s="10">
        <v>10003</v>
      </c>
      <c r="B4" s="10">
        <v>639</v>
      </c>
      <c r="C4" s="10">
        <v>2019</v>
      </c>
      <c r="D4" s="10">
        <v>308</v>
      </c>
      <c r="E4" s="1" t="s">
        <v>40</v>
      </c>
      <c r="F4" s="1" t="s">
        <v>41</v>
      </c>
      <c r="G4" s="10">
        <v>95</v>
      </c>
      <c r="H4" s="1" t="s">
        <v>42</v>
      </c>
    </row>
    <row r="5" spans="1:8" ht="14.4" x14ac:dyDescent="0.3">
      <c r="A5" s="10">
        <v>10004</v>
      </c>
      <c r="B5" s="10">
        <v>517</v>
      </c>
      <c r="C5" s="10">
        <v>2007</v>
      </c>
      <c r="D5" s="10">
        <v>312</v>
      </c>
      <c r="E5" s="1" t="s">
        <v>43</v>
      </c>
      <c r="F5" s="1" t="s">
        <v>44</v>
      </c>
      <c r="G5" s="10">
        <v>52</v>
      </c>
      <c r="H5" s="1" t="s">
        <v>39</v>
      </c>
    </row>
    <row r="6" spans="1:8" ht="14.4" x14ac:dyDescent="0.3">
      <c r="A6" s="10">
        <v>10005</v>
      </c>
      <c r="B6" s="10">
        <v>797</v>
      </c>
      <c r="C6" s="10">
        <v>2057</v>
      </c>
      <c r="D6" s="10">
        <v>308</v>
      </c>
      <c r="E6" s="1" t="s">
        <v>45</v>
      </c>
      <c r="F6" s="1" t="s">
        <v>46</v>
      </c>
      <c r="G6" s="10">
        <v>20</v>
      </c>
      <c r="H6" s="1" t="s">
        <v>39</v>
      </c>
    </row>
    <row r="7" spans="1:8" ht="14.4" x14ac:dyDescent="0.3">
      <c r="A7" s="10">
        <v>10006</v>
      </c>
      <c r="B7" s="10">
        <v>502</v>
      </c>
      <c r="C7" s="10">
        <v>2018</v>
      </c>
      <c r="D7" s="10">
        <v>305</v>
      </c>
      <c r="E7" s="1" t="s">
        <v>47</v>
      </c>
      <c r="F7" s="1" t="s">
        <v>48</v>
      </c>
      <c r="G7" s="10">
        <v>96</v>
      </c>
      <c r="H7" s="1" t="s">
        <v>42</v>
      </c>
    </row>
    <row r="8" spans="1:8" ht="14.4" x14ac:dyDescent="0.3">
      <c r="A8" s="10">
        <v>10007</v>
      </c>
      <c r="B8" s="10">
        <v>614</v>
      </c>
      <c r="C8" s="10">
        <v>2090</v>
      </c>
      <c r="D8" s="10">
        <v>318</v>
      </c>
      <c r="E8" s="1" t="s">
        <v>49</v>
      </c>
      <c r="F8" s="1" t="s">
        <v>50</v>
      </c>
      <c r="G8" s="10">
        <v>46</v>
      </c>
      <c r="H8" s="1" t="s">
        <v>39</v>
      </c>
    </row>
    <row r="9" spans="1:8" ht="14.4" x14ac:dyDescent="0.3">
      <c r="A9" s="10">
        <v>10008</v>
      </c>
      <c r="B9" s="10">
        <v>895</v>
      </c>
      <c r="C9" s="10">
        <v>2084</v>
      </c>
      <c r="D9" s="10">
        <v>311</v>
      </c>
      <c r="E9" s="1" t="s">
        <v>51</v>
      </c>
      <c r="F9" s="1" t="s">
        <v>52</v>
      </c>
      <c r="G9" s="10">
        <v>5</v>
      </c>
      <c r="H9" s="1" t="s">
        <v>36</v>
      </c>
    </row>
    <row r="10" spans="1:8" ht="14.4" x14ac:dyDescent="0.3">
      <c r="A10" s="10">
        <v>10009</v>
      </c>
      <c r="B10" s="10">
        <v>843</v>
      </c>
      <c r="C10" s="10">
        <v>2060</v>
      </c>
      <c r="D10" s="10">
        <v>318</v>
      </c>
      <c r="E10" s="1" t="s">
        <v>53</v>
      </c>
      <c r="F10" s="1" t="s">
        <v>54</v>
      </c>
      <c r="G10" s="10">
        <v>35</v>
      </c>
      <c r="H10" s="1" t="s">
        <v>39</v>
      </c>
    </row>
    <row r="11" spans="1:8" ht="14.4" x14ac:dyDescent="0.3">
      <c r="A11" s="10">
        <v>10010</v>
      </c>
      <c r="B11" s="10">
        <v>527</v>
      </c>
      <c r="C11" s="10">
        <v>2088</v>
      </c>
      <c r="D11" s="10">
        <v>304</v>
      </c>
      <c r="E11" s="1" t="s">
        <v>55</v>
      </c>
      <c r="F11" s="1" t="s">
        <v>56</v>
      </c>
      <c r="G11" s="10">
        <v>70</v>
      </c>
      <c r="H11" s="1" t="s">
        <v>42</v>
      </c>
    </row>
    <row r="12" spans="1:8" ht="14.4" x14ac:dyDescent="0.3">
      <c r="A12" s="10">
        <v>10011</v>
      </c>
      <c r="B12" s="10">
        <v>779</v>
      </c>
      <c r="C12" s="10">
        <v>2048</v>
      </c>
      <c r="D12" s="10">
        <v>305</v>
      </c>
      <c r="E12" s="1" t="s">
        <v>57</v>
      </c>
      <c r="F12" s="1" t="s">
        <v>58</v>
      </c>
      <c r="G12" s="10">
        <v>87</v>
      </c>
      <c r="H12" s="1" t="s">
        <v>36</v>
      </c>
    </row>
    <row r="13" spans="1:8" ht="14.4" x14ac:dyDescent="0.3">
      <c r="A13" s="10">
        <v>10012</v>
      </c>
      <c r="B13" s="10">
        <v>767</v>
      </c>
      <c r="C13" s="10">
        <v>2070</v>
      </c>
      <c r="D13" s="10">
        <v>318</v>
      </c>
      <c r="E13" s="1" t="s">
        <v>59</v>
      </c>
      <c r="F13" s="1" t="s">
        <v>60</v>
      </c>
      <c r="G13" s="10">
        <v>78</v>
      </c>
      <c r="H13" s="1" t="s">
        <v>36</v>
      </c>
    </row>
    <row r="14" spans="1:8" ht="14.4" x14ac:dyDescent="0.3">
      <c r="A14" s="10">
        <v>10013</v>
      </c>
      <c r="B14" s="10">
        <v>516</v>
      </c>
      <c r="C14" s="10">
        <v>2023</v>
      </c>
      <c r="D14" s="10">
        <v>315</v>
      </c>
      <c r="E14" s="1" t="s">
        <v>61</v>
      </c>
      <c r="F14" s="1" t="s">
        <v>62</v>
      </c>
      <c r="G14" s="10">
        <v>15</v>
      </c>
      <c r="H14" s="1" t="s">
        <v>36</v>
      </c>
    </row>
    <row r="15" spans="1:8" ht="14.4" x14ac:dyDescent="0.3">
      <c r="A15" s="10">
        <v>10014</v>
      </c>
      <c r="B15" s="10">
        <v>815</v>
      </c>
      <c r="C15" s="10">
        <v>2036</v>
      </c>
      <c r="D15" s="10">
        <v>319</v>
      </c>
      <c r="E15" s="1" t="s">
        <v>63</v>
      </c>
      <c r="F15" s="1" t="s">
        <v>64</v>
      </c>
      <c r="G15" s="10">
        <v>56</v>
      </c>
      <c r="H15" s="1" t="s">
        <v>36</v>
      </c>
    </row>
    <row r="16" spans="1:8" ht="14.4" x14ac:dyDescent="0.3">
      <c r="A16" s="10">
        <v>10015</v>
      </c>
      <c r="B16" s="10">
        <v>568</v>
      </c>
      <c r="C16" s="10">
        <v>2046</v>
      </c>
      <c r="D16" s="10">
        <v>308</v>
      </c>
      <c r="E16" s="1" t="s">
        <v>65</v>
      </c>
      <c r="F16" s="1" t="s">
        <v>66</v>
      </c>
      <c r="G16" s="10">
        <v>93</v>
      </c>
      <c r="H16" s="1" t="s">
        <v>42</v>
      </c>
    </row>
    <row r="17" spans="1:8" ht="14.4" x14ac:dyDescent="0.3">
      <c r="A17" s="10">
        <v>10016</v>
      </c>
      <c r="B17" s="10">
        <v>883</v>
      </c>
      <c r="C17" s="10">
        <v>2005</v>
      </c>
      <c r="D17" s="10">
        <v>304</v>
      </c>
      <c r="E17" s="1" t="s">
        <v>67</v>
      </c>
      <c r="F17" s="1" t="s">
        <v>41</v>
      </c>
      <c r="G17" s="10">
        <v>47</v>
      </c>
      <c r="H17" s="1" t="s">
        <v>39</v>
      </c>
    </row>
    <row r="18" spans="1:8" ht="14.4" x14ac:dyDescent="0.3">
      <c r="A18" s="10">
        <v>10017</v>
      </c>
      <c r="B18" s="10">
        <v>708</v>
      </c>
      <c r="C18" s="10">
        <v>2009</v>
      </c>
      <c r="D18" s="10">
        <v>317</v>
      </c>
      <c r="E18" s="1" t="s">
        <v>68</v>
      </c>
      <c r="F18" s="1" t="s">
        <v>69</v>
      </c>
      <c r="G18" s="10">
        <v>25</v>
      </c>
      <c r="H18" s="1" t="s">
        <v>39</v>
      </c>
    </row>
    <row r="19" spans="1:8" ht="14.4" x14ac:dyDescent="0.3">
      <c r="A19" s="10">
        <v>10018</v>
      </c>
      <c r="B19" s="10">
        <v>672</v>
      </c>
      <c r="C19" s="10">
        <v>2080</v>
      </c>
      <c r="D19" s="10">
        <v>306</v>
      </c>
      <c r="E19" s="1" t="s">
        <v>70</v>
      </c>
      <c r="F19" s="1" t="s">
        <v>71</v>
      </c>
      <c r="G19" s="10">
        <v>12</v>
      </c>
      <c r="H19" s="1" t="s">
        <v>36</v>
      </c>
    </row>
    <row r="20" spans="1:8" ht="14.4" x14ac:dyDescent="0.3">
      <c r="A20" s="10">
        <v>10019</v>
      </c>
      <c r="B20" s="10">
        <v>562</v>
      </c>
      <c r="C20" s="10">
        <v>2006</v>
      </c>
      <c r="D20" s="10">
        <v>303</v>
      </c>
      <c r="E20" s="1" t="s">
        <v>72</v>
      </c>
      <c r="F20" s="1" t="s">
        <v>73</v>
      </c>
      <c r="G20" s="10">
        <v>55</v>
      </c>
      <c r="H20" s="1" t="s">
        <v>42</v>
      </c>
    </row>
    <row r="21" spans="1:8" ht="15.75" customHeight="1" x14ac:dyDescent="0.3">
      <c r="A21" s="10">
        <v>10020</v>
      </c>
      <c r="B21" s="10">
        <v>737</v>
      </c>
      <c r="C21" s="10">
        <v>2091</v>
      </c>
      <c r="D21" s="10">
        <v>305</v>
      </c>
      <c r="E21" s="1" t="s">
        <v>74</v>
      </c>
      <c r="F21" s="1" t="s">
        <v>75</v>
      </c>
      <c r="G21" s="10">
        <v>48</v>
      </c>
      <c r="H21" s="1" t="s">
        <v>42</v>
      </c>
    </row>
    <row r="22" spans="1:8" ht="15.75" customHeight="1" x14ac:dyDescent="0.3">
      <c r="A22" s="10">
        <v>10021</v>
      </c>
      <c r="B22" s="10">
        <v>689</v>
      </c>
      <c r="C22" s="10">
        <v>2012</v>
      </c>
      <c r="D22" s="10">
        <v>309</v>
      </c>
      <c r="E22" s="1" t="s">
        <v>76</v>
      </c>
      <c r="F22" s="1" t="s">
        <v>77</v>
      </c>
      <c r="G22" s="10">
        <v>19</v>
      </c>
      <c r="H22" s="1" t="s">
        <v>78</v>
      </c>
    </row>
    <row r="23" spans="1:8" ht="15.75" customHeight="1" x14ac:dyDescent="0.3">
      <c r="A23" s="10">
        <v>10022</v>
      </c>
      <c r="B23" s="10">
        <v>865</v>
      </c>
      <c r="C23" s="10">
        <v>2065</v>
      </c>
      <c r="D23" s="10">
        <v>317</v>
      </c>
      <c r="E23" s="1" t="s">
        <v>79</v>
      </c>
      <c r="F23" s="1" t="s">
        <v>80</v>
      </c>
      <c r="G23" s="10">
        <v>29</v>
      </c>
      <c r="H23" s="1" t="s">
        <v>36</v>
      </c>
    </row>
    <row r="24" spans="1:8" ht="15.75" customHeight="1" x14ac:dyDescent="0.3">
      <c r="A24" s="10">
        <v>10023</v>
      </c>
      <c r="B24" s="10">
        <v>813</v>
      </c>
      <c r="C24" s="10">
        <v>2095</v>
      </c>
      <c r="D24" s="10">
        <v>310</v>
      </c>
      <c r="E24" s="1" t="s">
        <v>80</v>
      </c>
      <c r="F24" s="1" t="s">
        <v>81</v>
      </c>
      <c r="G24" s="10">
        <v>9</v>
      </c>
      <c r="H24" s="1" t="s">
        <v>42</v>
      </c>
    </row>
    <row r="25" spans="1:8" ht="15.75" customHeight="1" x14ac:dyDescent="0.3">
      <c r="A25" s="10">
        <v>10024</v>
      </c>
      <c r="B25" s="10">
        <v>525</v>
      </c>
      <c r="C25" s="10">
        <v>2004</v>
      </c>
      <c r="D25" s="10">
        <v>319</v>
      </c>
      <c r="E25" s="1" t="s">
        <v>82</v>
      </c>
      <c r="F25" s="1" t="s">
        <v>83</v>
      </c>
      <c r="G25" s="10">
        <v>65</v>
      </c>
      <c r="H25" s="1" t="s">
        <v>42</v>
      </c>
    </row>
    <row r="26" spans="1:8" ht="15.75" customHeight="1" x14ac:dyDescent="0.3">
      <c r="A26" s="10">
        <v>10025</v>
      </c>
      <c r="B26" s="10">
        <v>829</v>
      </c>
      <c r="C26" s="10">
        <v>2055</v>
      </c>
      <c r="D26" s="10">
        <v>304</v>
      </c>
      <c r="E26" s="1" t="s">
        <v>72</v>
      </c>
      <c r="F26" s="1" t="s">
        <v>73</v>
      </c>
      <c r="G26" s="10">
        <v>67</v>
      </c>
      <c r="H26" s="1" t="s">
        <v>78</v>
      </c>
    </row>
    <row r="27" spans="1:8" ht="15.75" customHeight="1" x14ac:dyDescent="0.3">
      <c r="A27" s="10">
        <v>10026</v>
      </c>
      <c r="B27" s="10">
        <v>661</v>
      </c>
      <c r="C27" s="10">
        <v>2066</v>
      </c>
      <c r="D27" s="10">
        <v>316</v>
      </c>
      <c r="E27" s="1" t="s">
        <v>84</v>
      </c>
      <c r="F27" s="1" t="s">
        <v>85</v>
      </c>
      <c r="G27" s="10">
        <v>31</v>
      </c>
      <c r="H27" s="1" t="s">
        <v>42</v>
      </c>
    </row>
    <row r="28" spans="1:8" ht="15.75" customHeight="1" x14ac:dyDescent="0.3">
      <c r="A28" s="10">
        <v>10027</v>
      </c>
      <c r="B28" s="10">
        <v>569</v>
      </c>
      <c r="C28" s="10">
        <v>2098</v>
      </c>
      <c r="D28" s="10">
        <v>307</v>
      </c>
      <c r="E28" s="1" t="s">
        <v>86</v>
      </c>
      <c r="F28" s="1" t="s">
        <v>87</v>
      </c>
      <c r="G28" s="10">
        <v>50</v>
      </c>
      <c r="H28" s="1" t="s">
        <v>78</v>
      </c>
    </row>
    <row r="29" spans="1:8" ht="15.75" customHeight="1" x14ac:dyDescent="0.3">
      <c r="A29" s="10">
        <v>10028</v>
      </c>
      <c r="B29" s="10">
        <v>861</v>
      </c>
      <c r="C29" s="10">
        <v>2013</v>
      </c>
      <c r="D29" s="10">
        <v>319</v>
      </c>
      <c r="E29" s="1" t="s">
        <v>88</v>
      </c>
      <c r="F29" s="1" t="s">
        <v>86</v>
      </c>
      <c r="G29" s="10">
        <v>37</v>
      </c>
      <c r="H29" s="1" t="s">
        <v>42</v>
      </c>
    </row>
    <row r="30" spans="1:8" ht="15.75" customHeight="1" x14ac:dyDescent="0.3">
      <c r="A30" s="10">
        <v>10029</v>
      </c>
      <c r="B30" s="10">
        <v>869</v>
      </c>
      <c r="C30" s="10">
        <v>2009</v>
      </c>
      <c r="D30" s="10">
        <v>305</v>
      </c>
      <c r="E30" s="1" t="s">
        <v>89</v>
      </c>
      <c r="F30" s="1" t="s">
        <v>90</v>
      </c>
      <c r="G30" s="10">
        <v>85</v>
      </c>
      <c r="H30" s="1" t="s">
        <v>78</v>
      </c>
    </row>
    <row r="31" spans="1:8" ht="15.75" customHeight="1" x14ac:dyDescent="0.3">
      <c r="A31" s="10">
        <v>10030</v>
      </c>
      <c r="B31" s="10">
        <v>839</v>
      </c>
      <c r="C31" s="10">
        <v>2091</v>
      </c>
      <c r="D31" s="10">
        <v>304</v>
      </c>
      <c r="E31" s="1" t="s">
        <v>91</v>
      </c>
      <c r="F31" s="1" t="s">
        <v>92</v>
      </c>
      <c r="G31" s="10">
        <v>81</v>
      </c>
      <c r="H31" s="1" t="s">
        <v>42</v>
      </c>
    </row>
    <row r="32" spans="1:8" ht="15.75" customHeight="1" x14ac:dyDescent="0.3">
      <c r="A32" s="10">
        <v>10031</v>
      </c>
      <c r="B32" s="10">
        <v>824</v>
      </c>
      <c r="C32" s="10">
        <v>2017</v>
      </c>
      <c r="D32" s="10">
        <v>311</v>
      </c>
      <c r="E32" s="1" t="s">
        <v>93</v>
      </c>
      <c r="F32" s="1" t="s">
        <v>94</v>
      </c>
      <c r="G32" s="10">
        <v>77</v>
      </c>
      <c r="H32" s="1" t="s">
        <v>36</v>
      </c>
    </row>
    <row r="33" spans="1:8" ht="15.75" customHeight="1" x14ac:dyDescent="0.3">
      <c r="A33" s="10">
        <v>10032</v>
      </c>
      <c r="B33" s="10">
        <v>566</v>
      </c>
      <c r="C33" s="10">
        <v>2057</v>
      </c>
      <c r="D33" s="10">
        <v>309</v>
      </c>
      <c r="E33" s="1" t="s">
        <v>95</v>
      </c>
      <c r="F33" s="1" t="s">
        <v>59</v>
      </c>
      <c r="G33" s="10">
        <v>33</v>
      </c>
      <c r="H33" s="1" t="s">
        <v>36</v>
      </c>
    </row>
    <row r="34" spans="1:8" ht="15.75" customHeight="1" x14ac:dyDescent="0.3">
      <c r="A34" s="10">
        <v>10033</v>
      </c>
      <c r="B34" s="10">
        <v>890</v>
      </c>
      <c r="C34" s="10">
        <v>2056</v>
      </c>
      <c r="D34" s="10">
        <v>319</v>
      </c>
      <c r="E34" s="1" t="s">
        <v>96</v>
      </c>
      <c r="F34" s="1" t="s">
        <v>97</v>
      </c>
      <c r="G34" s="10">
        <v>92</v>
      </c>
      <c r="H34" s="1" t="s">
        <v>78</v>
      </c>
    </row>
    <row r="35" spans="1:8" ht="15.75" customHeight="1" x14ac:dyDescent="0.3">
      <c r="A35" s="10">
        <v>10034</v>
      </c>
      <c r="B35" s="10">
        <v>509</v>
      </c>
      <c r="C35" s="10">
        <v>2030</v>
      </c>
      <c r="D35" s="10">
        <v>313</v>
      </c>
      <c r="E35" s="1" t="s">
        <v>98</v>
      </c>
      <c r="F35" s="1" t="s">
        <v>99</v>
      </c>
      <c r="G35" s="10">
        <v>58</v>
      </c>
      <c r="H35" s="1" t="s">
        <v>42</v>
      </c>
    </row>
    <row r="36" spans="1:8" ht="15.75" customHeight="1" x14ac:dyDescent="0.3">
      <c r="A36" s="10">
        <v>10035</v>
      </c>
      <c r="B36" s="10">
        <v>562</v>
      </c>
      <c r="C36" s="10">
        <v>2096</v>
      </c>
      <c r="D36" s="10">
        <v>316</v>
      </c>
      <c r="E36" s="1" t="s">
        <v>100</v>
      </c>
      <c r="F36" s="1" t="s">
        <v>101</v>
      </c>
      <c r="G36" s="10">
        <v>45</v>
      </c>
      <c r="H36" s="1" t="s">
        <v>39</v>
      </c>
    </row>
    <row r="37" spans="1:8" ht="15.75" customHeight="1" x14ac:dyDescent="0.3">
      <c r="A37" s="10">
        <v>10036</v>
      </c>
      <c r="B37" s="10">
        <v>735</v>
      </c>
      <c r="C37" s="10">
        <v>2095</v>
      </c>
      <c r="D37" s="10">
        <v>309</v>
      </c>
      <c r="E37" s="1" t="s">
        <v>102</v>
      </c>
      <c r="F37" s="1" t="s">
        <v>103</v>
      </c>
      <c r="G37" s="10">
        <v>79</v>
      </c>
      <c r="H37" s="1" t="s">
        <v>36</v>
      </c>
    </row>
    <row r="38" spans="1:8" ht="15.75" customHeight="1" x14ac:dyDescent="0.3">
      <c r="A38" s="10">
        <v>10037</v>
      </c>
      <c r="B38" s="10">
        <v>575</v>
      </c>
      <c r="C38" s="10">
        <v>2095</v>
      </c>
      <c r="D38" s="10">
        <v>311</v>
      </c>
      <c r="E38" s="1" t="s">
        <v>104</v>
      </c>
      <c r="F38" s="1" t="s">
        <v>105</v>
      </c>
      <c r="G38" s="10">
        <v>23</v>
      </c>
      <c r="H38" s="1" t="s">
        <v>42</v>
      </c>
    </row>
    <row r="39" spans="1:8" ht="15.75" customHeight="1" x14ac:dyDescent="0.3">
      <c r="A39" s="10">
        <v>10038</v>
      </c>
      <c r="B39" s="10">
        <v>815</v>
      </c>
      <c r="C39" s="10">
        <v>2062</v>
      </c>
      <c r="D39" s="10">
        <v>301</v>
      </c>
      <c r="E39" s="1" t="s">
        <v>95</v>
      </c>
      <c r="F39" s="1" t="s">
        <v>59</v>
      </c>
      <c r="G39" s="10">
        <v>64</v>
      </c>
      <c r="H39" s="1" t="s">
        <v>78</v>
      </c>
    </row>
    <row r="40" spans="1:8" ht="15.75" customHeight="1" x14ac:dyDescent="0.3">
      <c r="A40" s="10">
        <v>10039</v>
      </c>
      <c r="B40" s="10">
        <v>520</v>
      </c>
      <c r="C40" s="10">
        <v>2075</v>
      </c>
      <c r="D40" s="10">
        <v>309</v>
      </c>
      <c r="E40" s="1" t="s">
        <v>106</v>
      </c>
      <c r="F40" s="1" t="s">
        <v>107</v>
      </c>
      <c r="G40" s="10">
        <v>90</v>
      </c>
      <c r="H40" s="1" t="s">
        <v>78</v>
      </c>
    </row>
    <row r="41" spans="1:8" ht="15.75" customHeight="1" x14ac:dyDescent="0.3">
      <c r="A41" s="10">
        <v>10040</v>
      </c>
      <c r="B41" s="10">
        <v>871</v>
      </c>
      <c r="C41" s="10">
        <v>2040</v>
      </c>
      <c r="D41" s="10">
        <v>318</v>
      </c>
      <c r="E41" s="1" t="s">
        <v>108</v>
      </c>
      <c r="F41" s="1" t="s">
        <v>109</v>
      </c>
      <c r="G41" s="10">
        <v>94</v>
      </c>
      <c r="H41" s="1" t="s">
        <v>36</v>
      </c>
    </row>
    <row r="42" spans="1:8" ht="15.75" customHeight="1" x14ac:dyDescent="0.3">
      <c r="A42" s="10">
        <v>10041</v>
      </c>
      <c r="B42" s="10">
        <v>539</v>
      </c>
      <c r="C42" s="10">
        <v>2004</v>
      </c>
      <c r="D42" s="10">
        <v>307</v>
      </c>
      <c r="E42" s="1" t="s">
        <v>110</v>
      </c>
      <c r="F42" s="1" t="s">
        <v>111</v>
      </c>
      <c r="G42" s="10">
        <v>89</v>
      </c>
      <c r="H42" s="1" t="s">
        <v>36</v>
      </c>
    </row>
    <row r="43" spans="1:8" ht="15.75" customHeight="1" x14ac:dyDescent="0.3">
      <c r="A43" s="10">
        <v>10042</v>
      </c>
      <c r="B43" s="10">
        <v>519</v>
      </c>
      <c r="C43" s="10">
        <v>2097</v>
      </c>
      <c r="D43" s="10">
        <v>309</v>
      </c>
      <c r="E43" s="1" t="s">
        <v>63</v>
      </c>
      <c r="F43" s="1" t="s">
        <v>112</v>
      </c>
      <c r="G43" s="10">
        <v>13</v>
      </c>
      <c r="H43" s="1" t="s">
        <v>78</v>
      </c>
    </row>
    <row r="44" spans="1:8" ht="15.75" customHeight="1" x14ac:dyDescent="0.3">
      <c r="A44" s="10">
        <v>10043</v>
      </c>
      <c r="B44" s="10">
        <v>798</v>
      </c>
      <c r="C44" s="10">
        <v>2066</v>
      </c>
      <c r="D44" s="10">
        <v>315</v>
      </c>
      <c r="E44" s="1" t="s">
        <v>113</v>
      </c>
      <c r="F44" s="1" t="s">
        <v>114</v>
      </c>
      <c r="G44" s="10">
        <v>30</v>
      </c>
      <c r="H44" s="1" t="s">
        <v>36</v>
      </c>
    </row>
    <row r="45" spans="1:8" ht="15.75" customHeight="1" x14ac:dyDescent="0.3">
      <c r="A45" s="10">
        <v>10044</v>
      </c>
      <c r="B45" s="10">
        <v>612</v>
      </c>
      <c r="C45" s="10">
        <v>2031</v>
      </c>
      <c r="D45" s="10">
        <v>314</v>
      </c>
      <c r="E45" s="1" t="s">
        <v>115</v>
      </c>
      <c r="F45" s="1" t="s">
        <v>116</v>
      </c>
      <c r="G45" s="10">
        <v>86</v>
      </c>
      <c r="H45" s="1" t="s">
        <v>36</v>
      </c>
    </row>
    <row r="46" spans="1:8" ht="15.75" customHeight="1" x14ac:dyDescent="0.3">
      <c r="A46" s="10">
        <v>10045</v>
      </c>
      <c r="B46" s="10">
        <v>878</v>
      </c>
      <c r="C46" s="10">
        <v>2070</v>
      </c>
      <c r="D46" s="10">
        <v>318</v>
      </c>
      <c r="E46" s="1" t="s">
        <v>117</v>
      </c>
      <c r="F46" s="1" t="s">
        <v>118</v>
      </c>
      <c r="G46" s="10">
        <v>71</v>
      </c>
      <c r="H46" s="1" t="s">
        <v>39</v>
      </c>
    </row>
    <row r="47" spans="1:8" ht="15.75" customHeight="1" x14ac:dyDescent="0.3">
      <c r="A47" s="10">
        <v>10046</v>
      </c>
      <c r="B47" s="10">
        <v>597</v>
      </c>
      <c r="C47" s="10">
        <v>2021</v>
      </c>
      <c r="D47" s="10">
        <v>317</v>
      </c>
      <c r="E47" s="1" t="s">
        <v>74</v>
      </c>
      <c r="F47" s="1" t="s">
        <v>119</v>
      </c>
      <c r="G47" s="10">
        <v>23</v>
      </c>
      <c r="H47" s="1" t="s">
        <v>78</v>
      </c>
    </row>
    <row r="48" spans="1:8" ht="15.75" customHeight="1" x14ac:dyDescent="0.3">
      <c r="A48" s="10">
        <v>10047</v>
      </c>
      <c r="B48" s="10">
        <v>813</v>
      </c>
      <c r="C48" s="10">
        <v>2074</v>
      </c>
      <c r="D48" s="10">
        <v>313</v>
      </c>
      <c r="E48" s="1" t="s">
        <v>120</v>
      </c>
      <c r="F48" s="1" t="s">
        <v>121</v>
      </c>
      <c r="G48" s="10">
        <v>98</v>
      </c>
      <c r="H48" s="1" t="s">
        <v>42</v>
      </c>
    </row>
    <row r="49" spans="1:8" ht="15.75" customHeight="1" x14ac:dyDescent="0.3">
      <c r="A49" s="10">
        <v>10048</v>
      </c>
      <c r="B49" s="10">
        <v>582</v>
      </c>
      <c r="C49" s="10">
        <v>2010</v>
      </c>
      <c r="D49" s="10">
        <v>304</v>
      </c>
      <c r="E49" s="1" t="s">
        <v>122</v>
      </c>
      <c r="F49" s="1" t="s">
        <v>52</v>
      </c>
      <c r="G49" s="10">
        <v>61</v>
      </c>
      <c r="H49" s="1" t="s">
        <v>36</v>
      </c>
    </row>
    <row r="50" spans="1:8" ht="15.75" customHeight="1" x14ac:dyDescent="0.3">
      <c r="A50" s="10">
        <v>10049</v>
      </c>
      <c r="B50" s="10">
        <v>680</v>
      </c>
      <c r="C50" s="10">
        <v>2055</v>
      </c>
      <c r="D50" s="10">
        <v>306</v>
      </c>
      <c r="E50" s="1" t="s">
        <v>123</v>
      </c>
      <c r="F50" s="1" t="s">
        <v>107</v>
      </c>
      <c r="G50" s="10">
        <v>59</v>
      </c>
      <c r="H50" s="1" t="s">
        <v>36</v>
      </c>
    </row>
    <row r="51" spans="1:8" ht="15.75" customHeight="1" x14ac:dyDescent="0.3">
      <c r="A51" s="10">
        <v>10050</v>
      </c>
      <c r="B51" s="10">
        <v>569</v>
      </c>
      <c r="C51" s="10">
        <v>2100</v>
      </c>
      <c r="D51" s="10">
        <v>304</v>
      </c>
      <c r="E51" s="1" t="s">
        <v>124</v>
      </c>
      <c r="F51" s="1" t="s">
        <v>125</v>
      </c>
      <c r="G51" s="10">
        <v>32</v>
      </c>
      <c r="H51" s="1" t="s">
        <v>39</v>
      </c>
    </row>
    <row r="52" spans="1:8" ht="15.75" customHeight="1" x14ac:dyDescent="0.3">
      <c r="A52" s="10">
        <v>10051</v>
      </c>
      <c r="B52" s="10">
        <v>601</v>
      </c>
      <c r="C52" s="10">
        <v>2016</v>
      </c>
      <c r="D52" s="10">
        <v>312</v>
      </c>
      <c r="E52" s="1" t="s">
        <v>126</v>
      </c>
      <c r="F52" s="1" t="s">
        <v>34</v>
      </c>
      <c r="G52" s="10">
        <v>79</v>
      </c>
      <c r="H52" s="1" t="s">
        <v>36</v>
      </c>
    </row>
    <row r="53" spans="1:8" ht="15.75" customHeight="1" x14ac:dyDescent="0.3">
      <c r="A53" s="10">
        <v>10052</v>
      </c>
      <c r="B53" s="10">
        <v>624</v>
      </c>
      <c r="C53" s="10">
        <v>2062</v>
      </c>
      <c r="D53" s="10">
        <v>315</v>
      </c>
      <c r="E53" s="1" t="s">
        <v>127</v>
      </c>
      <c r="F53" s="1" t="s">
        <v>75</v>
      </c>
      <c r="G53" s="10">
        <v>56</v>
      </c>
      <c r="H53" s="1" t="s">
        <v>78</v>
      </c>
    </row>
    <row r="54" spans="1:8" ht="15.75" customHeight="1" x14ac:dyDescent="0.3">
      <c r="A54" s="10">
        <v>10053</v>
      </c>
      <c r="B54" s="10">
        <v>824</v>
      </c>
      <c r="C54" s="10">
        <v>2029</v>
      </c>
      <c r="D54" s="10">
        <v>306</v>
      </c>
      <c r="E54" s="1" t="s">
        <v>128</v>
      </c>
      <c r="F54" s="1" t="s">
        <v>129</v>
      </c>
      <c r="G54" s="10">
        <v>49</v>
      </c>
      <c r="H54" s="1" t="s">
        <v>78</v>
      </c>
    </row>
    <row r="55" spans="1:8" ht="15.75" customHeight="1" x14ac:dyDescent="0.3">
      <c r="A55" s="10">
        <v>10054</v>
      </c>
      <c r="B55" s="10">
        <v>778</v>
      </c>
      <c r="C55" s="10">
        <v>2046</v>
      </c>
      <c r="D55" s="10">
        <v>301</v>
      </c>
      <c r="E55" s="1" t="s">
        <v>130</v>
      </c>
      <c r="F55" s="1" t="s">
        <v>131</v>
      </c>
      <c r="G55" s="10">
        <v>17</v>
      </c>
      <c r="H55" s="1" t="s">
        <v>78</v>
      </c>
    </row>
    <row r="56" spans="1:8" ht="15.75" customHeight="1" x14ac:dyDescent="0.3">
      <c r="A56" s="10">
        <v>10055</v>
      </c>
      <c r="B56" s="10">
        <v>569</v>
      </c>
      <c r="C56" s="10">
        <v>2037</v>
      </c>
      <c r="D56" s="10">
        <v>311</v>
      </c>
      <c r="E56" s="1" t="s">
        <v>82</v>
      </c>
      <c r="F56" s="1" t="s">
        <v>132</v>
      </c>
      <c r="G56" s="10">
        <v>22</v>
      </c>
      <c r="H56" s="1" t="s">
        <v>78</v>
      </c>
    </row>
    <row r="57" spans="1:8" ht="15.75" customHeight="1" x14ac:dyDescent="0.3">
      <c r="A57" s="10">
        <v>10056</v>
      </c>
      <c r="B57" s="10">
        <v>604</v>
      </c>
      <c r="C57" s="10">
        <v>2007</v>
      </c>
      <c r="D57" s="10">
        <v>318</v>
      </c>
      <c r="E57" s="1" t="s">
        <v>125</v>
      </c>
      <c r="F57" s="1" t="s">
        <v>114</v>
      </c>
      <c r="G57" s="10">
        <v>94</v>
      </c>
      <c r="H57" s="1" t="s">
        <v>78</v>
      </c>
    </row>
    <row r="58" spans="1:8" ht="15.75" customHeight="1" x14ac:dyDescent="0.3">
      <c r="A58" s="10">
        <v>10057</v>
      </c>
      <c r="B58" s="10">
        <v>741</v>
      </c>
      <c r="C58" s="10">
        <v>2060</v>
      </c>
      <c r="D58" s="10">
        <v>301</v>
      </c>
      <c r="E58" s="1" t="s">
        <v>133</v>
      </c>
      <c r="F58" s="1" t="s">
        <v>134</v>
      </c>
      <c r="G58" s="10">
        <v>4</v>
      </c>
      <c r="H58" s="1" t="s">
        <v>36</v>
      </c>
    </row>
    <row r="59" spans="1:8" ht="15.75" customHeight="1" x14ac:dyDescent="0.3">
      <c r="A59" s="10">
        <v>10058</v>
      </c>
      <c r="B59" s="10">
        <v>711</v>
      </c>
      <c r="C59" s="10">
        <v>2004</v>
      </c>
      <c r="D59" s="10">
        <v>316</v>
      </c>
      <c r="E59" s="1" t="s">
        <v>135</v>
      </c>
      <c r="F59" s="1" t="s">
        <v>136</v>
      </c>
      <c r="G59" s="10">
        <v>13</v>
      </c>
      <c r="H59" s="1" t="s">
        <v>36</v>
      </c>
    </row>
    <row r="60" spans="1:8" ht="15.75" customHeight="1" x14ac:dyDescent="0.3">
      <c r="A60" s="10">
        <v>10059</v>
      </c>
      <c r="B60" s="10">
        <v>514</v>
      </c>
      <c r="C60" s="10">
        <v>2071</v>
      </c>
      <c r="D60" s="10">
        <v>320</v>
      </c>
      <c r="E60" s="1" t="s">
        <v>137</v>
      </c>
      <c r="F60" s="1" t="s">
        <v>130</v>
      </c>
      <c r="G60" s="10">
        <v>73</v>
      </c>
      <c r="H60" s="1" t="s">
        <v>78</v>
      </c>
    </row>
    <row r="61" spans="1:8" ht="15.75" customHeight="1" x14ac:dyDescent="0.3">
      <c r="A61" s="10">
        <v>10060</v>
      </c>
      <c r="B61" s="10">
        <v>581</v>
      </c>
      <c r="C61" s="10">
        <v>2018</v>
      </c>
      <c r="D61" s="10">
        <v>318</v>
      </c>
      <c r="E61" s="1" t="s">
        <v>138</v>
      </c>
      <c r="F61" s="1" t="s">
        <v>139</v>
      </c>
      <c r="G61" s="10">
        <v>85</v>
      </c>
      <c r="H61" s="1" t="s">
        <v>36</v>
      </c>
    </row>
    <row r="62" spans="1:8" ht="15.75" customHeight="1" x14ac:dyDescent="0.3">
      <c r="A62" s="10">
        <v>10061</v>
      </c>
      <c r="B62" s="10">
        <v>610</v>
      </c>
      <c r="C62" s="10">
        <v>2035</v>
      </c>
      <c r="D62" s="10">
        <v>311</v>
      </c>
      <c r="E62" s="1" t="s">
        <v>140</v>
      </c>
      <c r="F62" s="1" t="s">
        <v>141</v>
      </c>
      <c r="G62" s="10">
        <v>45</v>
      </c>
      <c r="H62" s="1" t="s">
        <v>78</v>
      </c>
    </row>
    <row r="63" spans="1:8" ht="15.75" customHeight="1" x14ac:dyDescent="0.3">
      <c r="A63" s="10">
        <v>10062</v>
      </c>
      <c r="B63" s="10">
        <v>647</v>
      </c>
      <c r="C63" s="10">
        <v>2001</v>
      </c>
      <c r="D63" s="10">
        <v>313</v>
      </c>
      <c r="E63" s="1" t="s">
        <v>142</v>
      </c>
      <c r="F63" s="1" t="s">
        <v>143</v>
      </c>
      <c r="G63" s="10">
        <v>6</v>
      </c>
      <c r="H63" s="1" t="s">
        <v>36</v>
      </c>
    </row>
    <row r="64" spans="1:8" ht="15.75" customHeight="1" x14ac:dyDescent="0.3">
      <c r="A64" s="10">
        <v>10063</v>
      </c>
      <c r="B64" s="10">
        <v>653</v>
      </c>
      <c r="C64" s="10">
        <v>2057</v>
      </c>
      <c r="D64" s="10">
        <v>317</v>
      </c>
      <c r="E64" s="1" t="s">
        <v>88</v>
      </c>
      <c r="F64" s="1" t="s">
        <v>144</v>
      </c>
      <c r="G64" s="10">
        <v>35</v>
      </c>
      <c r="H64" s="1" t="s">
        <v>36</v>
      </c>
    </row>
    <row r="65" spans="1:8" ht="15.75" customHeight="1" x14ac:dyDescent="0.3">
      <c r="A65" s="10">
        <v>10064</v>
      </c>
      <c r="B65" s="10">
        <v>507</v>
      </c>
      <c r="C65" s="10">
        <v>2070</v>
      </c>
      <c r="D65" s="10">
        <v>305</v>
      </c>
      <c r="E65" s="1" t="s">
        <v>145</v>
      </c>
      <c r="F65" s="1" t="s">
        <v>146</v>
      </c>
      <c r="G65" s="10">
        <v>76</v>
      </c>
      <c r="H65" s="1" t="s">
        <v>36</v>
      </c>
    </row>
    <row r="66" spans="1:8" ht="15.75" customHeight="1" x14ac:dyDescent="0.3">
      <c r="A66" s="10">
        <v>10065</v>
      </c>
      <c r="B66" s="10">
        <v>834</v>
      </c>
      <c r="C66" s="10">
        <v>2033</v>
      </c>
      <c r="D66" s="10">
        <v>311</v>
      </c>
      <c r="E66" s="1" t="s">
        <v>147</v>
      </c>
      <c r="F66" s="1" t="s">
        <v>148</v>
      </c>
      <c r="G66" s="10">
        <v>78</v>
      </c>
      <c r="H66" s="1" t="s">
        <v>39</v>
      </c>
    </row>
    <row r="67" spans="1:8" ht="15.75" customHeight="1" x14ac:dyDescent="0.3">
      <c r="A67" s="10">
        <v>10066</v>
      </c>
      <c r="B67" s="10">
        <v>608</v>
      </c>
      <c r="C67" s="10">
        <v>2044</v>
      </c>
      <c r="D67" s="10">
        <v>320</v>
      </c>
      <c r="E67" s="1" t="s">
        <v>149</v>
      </c>
      <c r="F67" s="1" t="s">
        <v>150</v>
      </c>
      <c r="G67" s="10">
        <v>48</v>
      </c>
      <c r="H67" s="1" t="s">
        <v>39</v>
      </c>
    </row>
    <row r="68" spans="1:8" ht="15.75" customHeight="1" x14ac:dyDescent="0.3">
      <c r="A68" s="10">
        <v>10067</v>
      </c>
      <c r="B68" s="10">
        <v>844</v>
      </c>
      <c r="C68" s="10">
        <v>2092</v>
      </c>
      <c r="D68" s="10">
        <v>312</v>
      </c>
      <c r="E68" s="1" t="s">
        <v>151</v>
      </c>
      <c r="F68" s="1" t="s">
        <v>152</v>
      </c>
      <c r="G68" s="10">
        <v>61</v>
      </c>
      <c r="H68" s="1" t="s">
        <v>36</v>
      </c>
    </row>
    <row r="69" spans="1:8" ht="15.75" customHeight="1" x14ac:dyDescent="0.3">
      <c r="A69" s="10">
        <v>10068</v>
      </c>
      <c r="B69" s="10">
        <v>544</v>
      </c>
      <c r="C69" s="10">
        <v>2059</v>
      </c>
      <c r="D69" s="10">
        <v>310</v>
      </c>
      <c r="E69" s="1" t="s">
        <v>153</v>
      </c>
      <c r="F69" s="1" t="s">
        <v>154</v>
      </c>
      <c r="G69" s="10">
        <v>54</v>
      </c>
      <c r="H69" s="1" t="s">
        <v>42</v>
      </c>
    </row>
    <row r="70" spans="1:8" ht="15.75" customHeight="1" x14ac:dyDescent="0.3">
      <c r="A70" s="10">
        <v>10069</v>
      </c>
      <c r="B70" s="10">
        <v>556</v>
      </c>
      <c r="C70" s="10">
        <v>2043</v>
      </c>
      <c r="D70" s="10">
        <v>304</v>
      </c>
      <c r="E70" s="1" t="s">
        <v>155</v>
      </c>
      <c r="F70" s="1" t="s">
        <v>156</v>
      </c>
      <c r="G70" s="10">
        <v>26</v>
      </c>
      <c r="H70" s="1" t="s">
        <v>42</v>
      </c>
    </row>
    <row r="71" spans="1:8" ht="15.75" customHeight="1" x14ac:dyDescent="0.3">
      <c r="A71" s="10">
        <v>10070</v>
      </c>
      <c r="B71" s="10">
        <v>735</v>
      </c>
      <c r="C71" s="10">
        <v>2071</v>
      </c>
      <c r="D71" s="10">
        <v>312</v>
      </c>
      <c r="E71" s="1" t="s">
        <v>157</v>
      </c>
      <c r="F71" s="1" t="s">
        <v>103</v>
      </c>
      <c r="G71" s="10">
        <v>46</v>
      </c>
      <c r="H71" s="1" t="s">
        <v>36</v>
      </c>
    </row>
    <row r="72" spans="1:8" ht="15.75" customHeight="1" x14ac:dyDescent="0.3">
      <c r="A72" s="10">
        <v>10071</v>
      </c>
      <c r="B72" s="10">
        <v>800</v>
      </c>
      <c r="C72" s="10">
        <v>2041</v>
      </c>
      <c r="D72" s="10">
        <v>312</v>
      </c>
      <c r="E72" s="1" t="s">
        <v>158</v>
      </c>
      <c r="F72" s="1" t="s">
        <v>159</v>
      </c>
      <c r="G72" s="10">
        <v>1</v>
      </c>
      <c r="H72" s="1" t="s">
        <v>78</v>
      </c>
    </row>
    <row r="73" spans="1:8" ht="15.75" customHeight="1" x14ac:dyDescent="0.3">
      <c r="A73" s="10">
        <v>10072</v>
      </c>
      <c r="B73" s="10">
        <v>816</v>
      </c>
      <c r="C73" s="10">
        <v>2020</v>
      </c>
      <c r="D73" s="10">
        <v>308</v>
      </c>
      <c r="E73" s="1" t="s">
        <v>160</v>
      </c>
      <c r="F73" s="1" t="s">
        <v>161</v>
      </c>
      <c r="G73" s="10">
        <v>64</v>
      </c>
      <c r="H73" s="1" t="s">
        <v>78</v>
      </c>
    </row>
    <row r="74" spans="1:8" ht="15.75" customHeight="1" x14ac:dyDescent="0.3">
      <c r="A74" s="10">
        <v>10073</v>
      </c>
      <c r="B74" s="10">
        <v>736</v>
      </c>
      <c r="C74" s="10">
        <v>2076</v>
      </c>
      <c r="D74" s="10">
        <v>302</v>
      </c>
      <c r="E74" s="1" t="s">
        <v>51</v>
      </c>
      <c r="F74" s="1" t="s">
        <v>162</v>
      </c>
      <c r="G74" s="10">
        <v>89</v>
      </c>
      <c r="H74" s="1" t="s">
        <v>39</v>
      </c>
    </row>
    <row r="75" spans="1:8" ht="15.75" customHeight="1" x14ac:dyDescent="0.3">
      <c r="A75" s="10">
        <v>10074</v>
      </c>
      <c r="B75" s="10">
        <v>809</v>
      </c>
      <c r="C75" s="10">
        <v>2057</v>
      </c>
      <c r="D75" s="10">
        <v>305</v>
      </c>
      <c r="E75" s="1" t="s">
        <v>163</v>
      </c>
      <c r="F75" s="1" t="s">
        <v>164</v>
      </c>
      <c r="G75" s="10">
        <v>93</v>
      </c>
      <c r="H75" s="1" t="s">
        <v>36</v>
      </c>
    </row>
    <row r="76" spans="1:8" ht="15.75" customHeight="1" x14ac:dyDescent="0.3">
      <c r="A76" s="10">
        <v>10075</v>
      </c>
      <c r="B76" s="10">
        <v>576</v>
      </c>
      <c r="C76" s="10">
        <v>2007</v>
      </c>
      <c r="D76" s="10">
        <v>320</v>
      </c>
      <c r="E76" s="1" t="s">
        <v>165</v>
      </c>
      <c r="F76" s="1" t="s">
        <v>166</v>
      </c>
      <c r="G76" s="10">
        <v>62</v>
      </c>
      <c r="H76" s="1" t="s">
        <v>36</v>
      </c>
    </row>
    <row r="77" spans="1:8" ht="15.75" customHeight="1" x14ac:dyDescent="0.3">
      <c r="A77" s="10">
        <v>10076</v>
      </c>
      <c r="B77" s="10">
        <v>638</v>
      </c>
      <c r="C77" s="10">
        <v>2047</v>
      </c>
      <c r="D77" s="10">
        <v>306</v>
      </c>
      <c r="E77" s="1" t="s">
        <v>167</v>
      </c>
      <c r="F77" s="1" t="s">
        <v>168</v>
      </c>
      <c r="G77" s="10">
        <v>86</v>
      </c>
      <c r="H77" s="1" t="s">
        <v>42</v>
      </c>
    </row>
    <row r="78" spans="1:8" ht="15.75" customHeight="1" x14ac:dyDescent="0.3">
      <c r="A78" s="10">
        <v>10077</v>
      </c>
      <c r="B78" s="10">
        <v>705</v>
      </c>
      <c r="C78" s="10">
        <v>2098</v>
      </c>
      <c r="D78" s="10">
        <v>311</v>
      </c>
      <c r="E78" s="1" t="s">
        <v>138</v>
      </c>
      <c r="F78" s="1" t="s">
        <v>169</v>
      </c>
      <c r="G78" s="10">
        <v>45</v>
      </c>
      <c r="H78" s="1" t="s">
        <v>39</v>
      </c>
    </row>
    <row r="79" spans="1:8" ht="15.75" customHeight="1" x14ac:dyDescent="0.3">
      <c r="A79" s="10">
        <v>10078</v>
      </c>
      <c r="B79" s="10">
        <v>820</v>
      </c>
      <c r="C79" s="10">
        <v>2028</v>
      </c>
      <c r="D79" s="10">
        <v>318</v>
      </c>
      <c r="E79" s="1" t="s">
        <v>34</v>
      </c>
      <c r="F79" s="1" t="s">
        <v>104</v>
      </c>
      <c r="G79" s="10">
        <v>71</v>
      </c>
      <c r="H79" s="1" t="s">
        <v>42</v>
      </c>
    </row>
    <row r="80" spans="1:8" ht="15.75" customHeight="1" x14ac:dyDescent="0.3">
      <c r="A80" s="10">
        <v>10079</v>
      </c>
      <c r="B80" s="10">
        <v>601</v>
      </c>
      <c r="C80" s="10">
        <v>2058</v>
      </c>
      <c r="D80" s="10">
        <v>315</v>
      </c>
      <c r="E80" s="1" t="s">
        <v>103</v>
      </c>
      <c r="F80" s="1" t="s">
        <v>107</v>
      </c>
      <c r="G80" s="10">
        <v>57</v>
      </c>
      <c r="H80" s="1" t="s">
        <v>78</v>
      </c>
    </row>
    <row r="81" spans="1:8" ht="15.75" customHeight="1" x14ac:dyDescent="0.3">
      <c r="A81" s="10">
        <v>10080</v>
      </c>
      <c r="B81" s="10">
        <v>792</v>
      </c>
      <c r="C81" s="10">
        <v>2080</v>
      </c>
      <c r="D81" s="10">
        <v>301</v>
      </c>
      <c r="E81" s="1" t="s">
        <v>170</v>
      </c>
      <c r="F81" s="1" t="s">
        <v>55</v>
      </c>
      <c r="G81" s="10">
        <v>86</v>
      </c>
      <c r="H81" s="1" t="s">
        <v>36</v>
      </c>
    </row>
    <row r="82" spans="1:8" ht="15.75" customHeight="1" x14ac:dyDescent="0.3">
      <c r="A82" s="10">
        <v>10081</v>
      </c>
      <c r="B82" s="10">
        <v>896</v>
      </c>
      <c r="C82" s="10">
        <v>2006</v>
      </c>
      <c r="D82" s="10">
        <v>309</v>
      </c>
      <c r="E82" s="1" t="s">
        <v>80</v>
      </c>
      <c r="F82" s="1" t="s">
        <v>171</v>
      </c>
      <c r="G82" s="10">
        <v>55</v>
      </c>
      <c r="H82" s="1" t="s">
        <v>78</v>
      </c>
    </row>
    <row r="83" spans="1:8" ht="15.75" customHeight="1" x14ac:dyDescent="0.3">
      <c r="A83" s="10">
        <v>10082</v>
      </c>
      <c r="B83" s="10">
        <v>881</v>
      </c>
      <c r="C83" s="10">
        <v>2031</v>
      </c>
      <c r="D83" s="10">
        <v>306</v>
      </c>
      <c r="E83" s="1" t="s">
        <v>172</v>
      </c>
      <c r="F83" s="1" t="s">
        <v>173</v>
      </c>
      <c r="G83" s="10">
        <v>3</v>
      </c>
      <c r="H83" s="1" t="s">
        <v>39</v>
      </c>
    </row>
    <row r="84" spans="1:8" ht="15.75" customHeight="1" x14ac:dyDescent="0.3">
      <c r="A84" s="10">
        <v>10083</v>
      </c>
      <c r="B84" s="10">
        <v>787</v>
      </c>
      <c r="C84" s="10">
        <v>2050</v>
      </c>
      <c r="D84" s="10">
        <v>317</v>
      </c>
      <c r="E84" s="1" t="s">
        <v>99</v>
      </c>
      <c r="F84" s="1" t="s">
        <v>174</v>
      </c>
      <c r="G84" s="10">
        <v>2</v>
      </c>
      <c r="H84" s="1" t="s">
        <v>78</v>
      </c>
    </row>
    <row r="85" spans="1:8" ht="15.75" customHeight="1" x14ac:dyDescent="0.3">
      <c r="A85" s="10">
        <v>10084</v>
      </c>
      <c r="B85" s="10">
        <v>673</v>
      </c>
      <c r="C85" s="10">
        <v>2020</v>
      </c>
      <c r="D85" s="10">
        <v>307</v>
      </c>
      <c r="E85" s="1" t="s">
        <v>117</v>
      </c>
      <c r="F85" s="1" t="s">
        <v>175</v>
      </c>
      <c r="G85" s="10">
        <v>22</v>
      </c>
      <c r="H85" s="1" t="s">
        <v>42</v>
      </c>
    </row>
    <row r="86" spans="1:8" ht="15.75" customHeight="1" x14ac:dyDescent="0.3">
      <c r="A86" s="10">
        <v>10085</v>
      </c>
      <c r="B86" s="10">
        <v>860</v>
      </c>
      <c r="C86" s="10">
        <v>2094</v>
      </c>
      <c r="D86" s="10">
        <v>305</v>
      </c>
      <c r="E86" s="1" t="s">
        <v>176</v>
      </c>
      <c r="F86" s="1" t="s">
        <v>177</v>
      </c>
      <c r="G86" s="10">
        <v>75</v>
      </c>
      <c r="H86" s="1" t="s">
        <v>36</v>
      </c>
    </row>
    <row r="87" spans="1:8" ht="15.75" customHeight="1" x14ac:dyDescent="0.3">
      <c r="A87" s="10">
        <v>10086</v>
      </c>
      <c r="B87" s="10">
        <v>856</v>
      </c>
      <c r="C87" s="10">
        <v>2045</v>
      </c>
      <c r="D87" s="10">
        <v>305</v>
      </c>
      <c r="E87" s="1" t="s">
        <v>169</v>
      </c>
      <c r="F87" s="1" t="s">
        <v>92</v>
      </c>
      <c r="G87" s="10">
        <v>57</v>
      </c>
      <c r="H87" s="1" t="s">
        <v>39</v>
      </c>
    </row>
    <row r="88" spans="1:8" ht="15.75" customHeight="1" x14ac:dyDescent="0.3">
      <c r="A88" s="10">
        <v>10087</v>
      </c>
      <c r="B88" s="10">
        <v>868</v>
      </c>
      <c r="C88" s="10">
        <v>2050</v>
      </c>
      <c r="D88" s="10">
        <v>310</v>
      </c>
      <c r="E88" s="1" t="s">
        <v>67</v>
      </c>
      <c r="F88" s="1" t="s">
        <v>178</v>
      </c>
      <c r="G88" s="10">
        <v>76</v>
      </c>
      <c r="H88" s="1" t="s">
        <v>39</v>
      </c>
    </row>
    <row r="89" spans="1:8" ht="15.75" customHeight="1" x14ac:dyDescent="0.3">
      <c r="A89" s="10">
        <v>10088</v>
      </c>
      <c r="B89" s="10">
        <v>731</v>
      </c>
      <c r="C89" s="10">
        <v>2015</v>
      </c>
      <c r="D89" s="10">
        <v>305</v>
      </c>
      <c r="E89" s="1" t="s">
        <v>179</v>
      </c>
      <c r="F89" s="1" t="s">
        <v>180</v>
      </c>
      <c r="G89" s="10">
        <v>53</v>
      </c>
      <c r="H89" s="1" t="s">
        <v>39</v>
      </c>
    </row>
    <row r="90" spans="1:8" ht="15.75" customHeight="1" x14ac:dyDescent="0.3">
      <c r="A90" s="10">
        <v>10089</v>
      </c>
      <c r="B90" s="10">
        <v>522</v>
      </c>
      <c r="C90" s="10">
        <v>2037</v>
      </c>
      <c r="D90" s="10">
        <v>306</v>
      </c>
      <c r="E90" s="1" t="s">
        <v>51</v>
      </c>
      <c r="F90" s="1" t="s">
        <v>52</v>
      </c>
      <c r="G90" s="10">
        <v>96</v>
      </c>
      <c r="H90" s="1" t="s">
        <v>39</v>
      </c>
    </row>
    <row r="91" spans="1:8" ht="15.75" customHeight="1" x14ac:dyDescent="0.3">
      <c r="A91" s="10">
        <v>10090</v>
      </c>
      <c r="B91" s="10">
        <v>626</v>
      </c>
      <c r="C91" s="10">
        <v>2056</v>
      </c>
      <c r="D91" s="10">
        <v>309</v>
      </c>
      <c r="E91" s="1" t="s">
        <v>181</v>
      </c>
      <c r="F91" s="1" t="s">
        <v>182</v>
      </c>
      <c r="G91" s="10">
        <v>14</v>
      </c>
      <c r="H91" s="1" t="s">
        <v>36</v>
      </c>
    </row>
    <row r="92" spans="1:8" ht="15.75" customHeight="1" x14ac:dyDescent="0.3">
      <c r="A92" s="10">
        <v>10091</v>
      </c>
      <c r="B92" s="10">
        <v>773</v>
      </c>
      <c r="C92" s="10">
        <v>2012</v>
      </c>
      <c r="D92" s="10">
        <v>319</v>
      </c>
      <c r="E92" s="1" t="s">
        <v>128</v>
      </c>
      <c r="F92" s="1" t="s">
        <v>96</v>
      </c>
      <c r="G92" s="10">
        <v>71</v>
      </c>
      <c r="H92" s="1" t="s">
        <v>36</v>
      </c>
    </row>
    <row r="93" spans="1:8" ht="15.75" customHeight="1" x14ac:dyDescent="0.3">
      <c r="A93" s="10">
        <v>10092</v>
      </c>
      <c r="B93" s="10">
        <v>803</v>
      </c>
      <c r="C93" s="10">
        <v>2084</v>
      </c>
      <c r="D93" s="10">
        <v>311</v>
      </c>
      <c r="E93" s="1" t="s">
        <v>183</v>
      </c>
      <c r="F93" s="1" t="s">
        <v>184</v>
      </c>
      <c r="G93" s="10">
        <v>41</v>
      </c>
      <c r="H93" s="1" t="s">
        <v>42</v>
      </c>
    </row>
    <row r="94" spans="1:8" ht="15.75" customHeight="1" x14ac:dyDescent="0.3">
      <c r="A94" s="10">
        <v>10093</v>
      </c>
      <c r="B94" s="10">
        <v>716</v>
      </c>
      <c r="C94" s="10">
        <v>2072</v>
      </c>
      <c r="D94" s="10">
        <v>306</v>
      </c>
      <c r="E94" s="1" t="s">
        <v>185</v>
      </c>
      <c r="F94" s="1" t="s">
        <v>94</v>
      </c>
      <c r="G94" s="10">
        <v>49</v>
      </c>
      <c r="H94" s="1" t="s">
        <v>42</v>
      </c>
    </row>
    <row r="95" spans="1:8" ht="15.75" customHeight="1" x14ac:dyDescent="0.3">
      <c r="A95" s="10">
        <v>10094</v>
      </c>
      <c r="B95" s="10">
        <v>714</v>
      </c>
      <c r="C95" s="10">
        <v>2043</v>
      </c>
      <c r="D95" s="10">
        <v>305</v>
      </c>
      <c r="E95" s="1" t="s">
        <v>186</v>
      </c>
      <c r="F95" s="1" t="s">
        <v>187</v>
      </c>
      <c r="G95" s="10">
        <v>61</v>
      </c>
      <c r="H95" s="1" t="s">
        <v>36</v>
      </c>
    </row>
    <row r="96" spans="1:8" ht="15.75" customHeight="1" x14ac:dyDescent="0.3">
      <c r="A96" s="10">
        <v>10095</v>
      </c>
      <c r="B96" s="10">
        <v>706</v>
      </c>
      <c r="C96" s="10">
        <v>2027</v>
      </c>
      <c r="D96" s="10">
        <v>316</v>
      </c>
      <c r="E96" s="1" t="s">
        <v>188</v>
      </c>
      <c r="F96" s="1" t="s">
        <v>189</v>
      </c>
      <c r="G96" s="10">
        <v>42</v>
      </c>
      <c r="H96" s="1" t="s">
        <v>78</v>
      </c>
    </row>
    <row r="97" spans="1:8" ht="15.75" customHeight="1" x14ac:dyDescent="0.3">
      <c r="A97" s="10">
        <v>10096</v>
      </c>
      <c r="B97" s="10">
        <v>692</v>
      </c>
      <c r="C97" s="10">
        <v>2083</v>
      </c>
      <c r="D97" s="10">
        <v>318</v>
      </c>
      <c r="E97" s="1" t="s">
        <v>190</v>
      </c>
      <c r="F97" s="1" t="s">
        <v>167</v>
      </c>
      <c r="G97" s="10">
        <v>8</v>
      </c>
      <c r="H97" s="1" t="s">
        <v>36</v>
      </c>
    </row>
    <row r="98" spans="1:8" ht="15.75" customHeight="1" x14ac:dyDescent="0.3">
      <c r="A98" s="10">
        <v>10097</v>
      </c>
      <c r="B98" s="10">
        <v>760</v>
      </c>
      <c r="C98" s="10">
        <v>2071</v>
      </c>
      <c r="D98" s="10">
        <v>306</v>
      </c>
      <c r="E98" s="1" t="s">
        <v>81</v>
      </c>
      <c r="F98" s="1" t="s">
        <v>191</v>
      </c>
      <c r="G98" s="10">
        <v>70</v>
      </c>
      <c r="H98" s="1" t="s">
        <v>42</v>
      </c>
    </row>
    <row r="99" spans="1:8" ht="15.75" customHeight="1" x14ac:dyDescent="0.3">
      <c r="A99" s="10">
        <v>10098</v>
      </c>
      <c r="B99" s="10">
        <v>590</v>
      </c>
      <c r="C99" s="10">
        <v>2030</v>
      </c>
      <c r="D99" s="10">
        <v>307</v>
      </c>
      <c r="E99" s="1" t="s">
        <v>134</v>
      </c>
      <c r="F99" s="1" t="s">
        <v>102</v>
      </c>
      <c r="G99" s="10">
        <v>85</v>
      </c>
      <c r="H99" s="1" t="s">
        <v>78</v>
      </c>
    </row>
    <row r="100" spans="1:8" ht="15.75" customHeight="1" x14ac:dyDescent="0.3">
      <c r="A100" s="10">
        <v>10099</v>
      </c>
      <c r="B100" s="10">
        <v>883</v>
      </c>
      <c r="C100" s="10">
        <v>2035</v>
      </c>
      <c r="D100" s="10">
        <v>313</v>
      </c>
      <c r="E100" s="1" t="s">
        <v>110</v>
      </c>
      <c r="F100" s="1" t="s">
        <v>111</v>
      </c>
      <c r="G100" s="10">
        <v>90</v>
      </c>
      <c r="H100" s="1" t="s">
        <v>42</v>
      </c>
    </row>
    <row r="101" spans="1:8" ht="15.75" customHeight="1" x14ac:dyDescent="0.3">
      <c r="A101" s="10">
        <v>10100</v>
      </c>
      <c r="B101" s="10">
        <v>736</v>
      </c>
      <c r="C101" s="10">
        <v>2028</v>
      </c>
      <c r="D101" s="10">
        <v>301</v>
      </c>
      <c r="E101" s="1" t="s">
        <v>110</v>
      </c>
      <c r="F101" s="1" t="s">
        <v>192</v>
      </c>
      <c r="G101" s="10">
        <v>25</v>
      </c>
      <c r="H101" s="1" t="s">
        <v>78</v>
      </c>
    </row>
    <row r="102" spans="1:8" ht="15.75" customHeight="1" x14ac:dyDescent="0.3">
      <c r="A102" s="10">
        <v>10101</v>
      </c>
      <c r="B102" s="10">
        <v>789</v>
      </c>
      <c r="C102" s="10">
        <v>2048</v>
      </c>
      <c r="D102" s="10">
        <v>315</v>
      </c>
      <c r="E102" s="1" t="s">
        <v>193</v>
      </c>
      <c r="F102" s="1" t="s">
        <v>194</v>
      </c>
      <c r="G102" s="10">
        <v>97</v>
      </c>
      <c r="H102" s="1" t="s">
        <v>42</v>
      </c>
    </row>
    <row r="103" spans="1:8" ht="15.75" customHeight="1" x14ac:dyDescent="0.3">
      <c r="A103" s="10">
        <v>10102</v>
      </c>
      <c r="B103" s="10">
        <v>751</v>
      </c>
      <c r="C103" s="10">
        <v>2055</v>
      </c>
      <c r="D103" s="10">
        <v>318</v>
      </c>
      <c r="E103" s="1" t="s">
        <v>195</v>
      </c>
      <c r="F103" s="1" t="s">
        <v>196</v>
      </c>
      <c r="G103" s="10">
        <v>50</v>
      </c>
      <c r="H103" s="1" t="s">
        <v>36</v>
      </c>
    </row>
    <row r="104" spans="1:8" ht="15.75" customHeight="1" x14ac:dyDescent="0.3">
      <c r="A104" s="10">
        <v>10103</v>
      </c>
      <c r="B104" s="10">
        <v>533</v>
      </c>
      <c r="C104" s="10">
        <v>2041</v>
      </c>
      <c r="D104" s="10">
        <v>307</v>
      </c>
      <c r="E104" s="1" t="s">
        <v>138</v>
      </c>
      <c r="F104" s="1" t="s">
        <v>167</v>
      </c>
      <c r="G104" s="10">
        <v>67</v>
      </c>
      <c r="H104" s="1" t="s">
        <v>78</v>
      </c>
    </row>
    <row r="105" spans="1:8" ht="15.75" customHeight="1" x14ac:dyDescent="0.3">
      <c r="A105" s="10">
        <v>10104</v>
      </c>
      <c r="B105" s="10">
        <v>596</v>
      </c>
      <c r="C105" s="10">
        <v>2011</v>
      </c>
      <c r="D105" s="10">
        <v>308</v>
      </c>
      <c r="E105" s="1" t="s">
        <v>197</v>
      </c>
      <c r="F105" s="1" t="s">
        <v>181</v>
      </c>
      <c r="G105" s="10">
        <v>82</v>
      </c>
      <c r="H105" s="1" t="s">
        <v>78</v>
      </c>
    </row>
    <row r="106" spans="1:8" ht="15.75" customHeight="1" x14ac:dyDescent="0.3">
      <c r="A106" s="10">
        <v>10105</v>
      </c>
      <c r="B106" s="10">
        <v>715</v>
      </c>
      <c r="C106" s="10">
        <v>2078</v>
      </c>
      <c r="D106" s="10">
        <v>303</v>
      </c>
      <c r="E106" s="1" t="s">
        <v>198</v>
      </c>
      <c r="F106" s="1" t="s">
        <v>199</v>
      </c>
      <c r="G106" s="10">
        <v>40</v>
      </c>
      <c r="H106" s="1" t="s">
        <v>78</v>
      </c>
    </row>
    <row r="107" spans="1:8" ht="15.75" customHeight="1" x14ac:dyDescent="0.3">
      <c r="A107" s="10">
        <v>10106</v>
      </c>
      <c r="B107" s="10">
        <v>676</v>
      </c>
      <c r="C107" s="10">
        <v>2049</v>
      </c>
      <c r="D107" s="10">
        <v>319</v>
      </c>
      <c r="E107" s="1" t="s">
        <v>88</v>
      </c>
      <c r="F107" s="1" t="s">
        <v>86</v>
      </c>
      <c r="G107" s="10">
        <v>94</v>
      </c>
      <c r="H107" s="1" t="s">
        <v>78</v>
      </c>
    </row>
    <row r="108" spans="1:8" ht="15.75" customHeight="1" x14ac:dyDescent="0.3">
      <c r="A108" s="10">
        <v>10107</v>
      </c>
      <c r="B108" s="10">
        <v>542</v>
      </c>
      <c r="C108" s="10">
        <v>2023</v>
      </c>
      <c r="D108" s="10">
        <v>311</v>
      </c>
      <c r="E108" s="1" t="s">
        <v>161</v>
      </c>
      <c r="F108" s="1" t="s">
        <v>200</v>
      </c>
      <c r="G108" s="10">
        <v>3</v>
      </c>
      <c r="H108" s="1" t="s">
        <v>42</v>
      </c>
    </row>
    <row r="109" spans="1:8" ht="15.75" customHeight="1" x14ac:dyDescent="0.3">
      <c r="A109" s="10">
        <v>10108</v>
      </c>
      <c r="B109" s="10">
        <v>500</v>
      </c>
      <c r="C109" s="10">
        <v>2039</v>
      </c>
      <c r="D109" s="10">
        <v>319</v>
      </c>
      <c r="E109" s="1" t="s">
        <v>143</v>
      </c>
      <c r="F109" s="1" t="s">
        <v>97</v>
      </c>
      <c r="G109" s="10">
        <v>69</v>
      </c>
      <c r="H109" s="1" t="s">
        <v>78</v>
      </c>
    </row>
    <row r="110" spans="1:8" ht="15.75" customHeight="1" x14ac:dyDescent="0.3">
      <c r="A110" s="10">
        <v>10109</v>
      </c>
      <c r="B110" s="10">
        <v>695</v>
      </c>
      <c r="C110" s="10">
        <v>2072</v>
      </c>
      <c r="D110" s="10">
        <v>307</v>
      </c>
      <c r="E110" s="1" t="s">
        <v>201</v>
      </c>
      <c r="F110" s="1" t="s">
        <v>202</v>
      </c>
      <c r="G110" s="10">
        <v>10</v>
      </c>
      <c r="H110" s="1" t="s">
        <v>39</v>
      </c>
    </row>
    <row r="111" spans="1:8" ht="15.75" customHeight="1" x14ac:dyDescent="0.3">
      <c r="A111" s="10">
        <v>10110</v>
      </c>
      <c r="B111" s="10">
        <v>799</v>
      </c>
      <c r="C111" s="10">
        <v>2099</v>
      </c>
      <c r="D111" s="10">
        <v>313</v>
      </c>
      <c r="E111" s="1" t="s">
        <v>203</v>
      </c>
      <c r="F111" s="1" t="s">
        <v>55</v>
      </c>
      <c r="G111" s="10">
        <v>5</v>
      </c>
      <c r="H111" s="1" t="s">
        <v>42</v>
      </c>
    </row>
    <row r="112" spans="1:8" ht="15.75" customHeight="1" x14ac:dyDescent="0.3">
      <c r="A112" s="10">
        <v>10111</v>
      </c>
      <c r="B112" s="10">
        <v>849</v>
      </c>
      <c r="C112" s="10">
        <v>2085</v>
      </c>
      <c r="D112" s="10">
        <v>310</v>
      </c>
      <c r="E112" s="1" t="s">
        <v>204</v>
      </c>
      <c r="F112" s="1" t="s">
        <v>48</v>
      </c>
      <c r="G112" s="10">
        <v>49</v>
      </c>
      <c r="H112" s="1" t="s">
        <v>39</v>
      </c>
    </row>
    <row r="113" spans="1:8" ht="15.75" customHeight="1" x14ac:dyDescent="0.3">
      <c r="A113" s="10">
        <v>10112</v>
      </c>
      <c r="B113" s="10">
        <v>875</v>
      </c>
      <c r="C113" s="10">
        <v>2083</v>
      </c>
      <c r="D113" s="10">
        <v>306</v>
      </c>
      <c r="E113" s="1" t="s">
        <v>106</v>
      </c>
      <c r="F113" s="1" t="s">
        <v>123</v>
      </c>
      <c r="G113" s="10">
        <v>41</v>
      </c>
      <c r="H113" s="1" t="s">
        <v>36</v>
      </c>
    </row>
    <row r="114" spans="1:8" ht="15.75" customHeight="1" x14ac:dyDescent="0.3">
      <c r="A114" s="10">
        <v>10113</v>
      </c>
      <c r="B114" s="10">
        <v>763</v>
      </c>
      <c r="C114" s="10">
        <v>2080</v>
      </c>
      <c r="D114" s="10">
        <v>318</v>
      </c>
      <c r="E114" s="1" t="s">
        <v>171</v>
      </c>
      <c r="F114" s="1" t="s">
        <v>144</v>
      </c>
      <c r="G114" s="10">
        <v>93</v>
      </c>
      <c r="H114" s="1" t="s">
        <v>42</v>
      </c>
    </row>
    <row r="115" spans="1:8" ht="15.75" customHeight="1" x14ac:dyDescent="0.3">
      <c r="A115" s="10">
        <v>10114</v>
      </c>
      <c r="B115" s="10">
        <v>813</v>
      </c>
      <c r="C115" s="10">
        <v>2025</v>
      </c>
      <c r="D115" s="10">
        <v>307</v>
      </c>
      <c r="E115" s="1" t="s">
        <v>159</v>
      </c>
      <c r="F115" s="1" t="s">
        <v>98</v>
      </c>
      <c r="G115" s="10">
        <v>34</v>
      </c>
      <c r="H115" s="1" t="s">
        <v>36</v>
      </c>
    </row>
    <row r="116" spans="1:8" ht="15.75" customHeight="1" x14ac:dyDescent="0.3">
      <c r="A116" s="10">
        <v>10115</v>
      </c>
      <c r="B116" s="10">
        <v>679</v>
      </c>
      <c r="C116" s="10">
        <v>2052</v>
      </c>
      <c r="D116" s="10">
        <v>305</v>
      </c>
      <c r="E116" s="1" t="s">
        <v>205</v>
      </c>
      <c r="F116" s="1" t="s">
        <v>206</v>
      </c>
      <c r="G116" s="10">
        <v>10</v>
      </c>
      <c r="H116" s="1" t="s">
        <v>36</v>
      </c>
    </row>
    <row r="117" spans="1:8" ht="15.75" customHeight="1" x14ac:dyDescent="0.3">
      <c r="A117" s="10">
        <v>10116</v>
      </c>
      <c r="B117" s="10">
        <v>740</v>
      </c>
      <c r="C117" s="10">
        <v>2081</v>
      </c>
      <c r="D117" s="10">
        <v>319</v>
      </c>
      <c r="E117" s="1" t="s">
        <v>149</v>
      </c>
      <c r="F117" s="1" t="s">
        <v>165</v>
      </c>
      <c r="G117" s="10">
        <v>65</v>
      </c>
      <c r="H117" s="1" t="s">
        <v>78</v>
      </c>
    </row>
    <row r="118" spans="1:8" ht="15.75" customHeight="1" x14ac:dyDescent="0.3">
      <c r="A118" s="10">
        <v>10117</v>
      </c>
      <c r="B118" s="10">
        <v>712</v>
      </c>
      <c r="C118" s="10">
        <v>2050</v>
      </c>
      <c r="D118" s="10">
        <v>319</v>
      </c>
      <c r="E118" s="1" t="s">
        <v>207</v>
      </c>
      <c r="F118" s="1" t="s">
        <v>208</v>
      </c>
      <c r="G118" s="10">
        <v>80</v>
      </c>
      <c r="H118" s="1" t="s">
        <v>42</v>
      </c>
    </row>
    <row r="119" spans="1:8" ht="15.75" customHeight="1" x14ac:dyDescent="0.3">
      <c r="A119" s="10">
        <v>10118</v>
      </c>
      <c r="B119" s="10">
        <v>602</v>
      </c>
      <c r="C119" s="10">
        <v>2056</v>
      </c>
      <c r="D119" s="10">
        <v>310</v>
      </c>
      <c r="E119" s="1" t="s">
        <v>144</v>
      </c>
      <c r="F119" s="1" t="s">
        <v>209</v>
      </c>
      <c r="G119" s="10">
        <v>36</v>
      </c>
      <c r="H119" s="1" t="s">
        <v>39</v>
      </c>
    </row>
    <row r="120" spans="1:8" ht="15.75" customHeight="1" x14ac:dyDescent="0.3">
      <c r="A120" s="10">
        <v>10119</v>
      </c>
      <c r="B120" s="10">
        <v>894</v>
      </c>
      <c r="C120" s="10">
        <v>2010</v>
      </c>
      <c r="D120" s="10">
        <v>320</v>
      </c>
      <c r="E120" s="1" t="s">
        <v>210</v>
      </c>
      <c r="F120" s="1" t="s">
        <v>186</v>
      </c>
      <c r="G120" s="10">
        <v>59</v>
      </c>
      <c r="H120" s="1" t="s">
        <v>39</v>
      </c>
    </row>
    <row r="121" spans="1:8" ht="15.75" customHeight="1" x14ac:dyDescent="0.3">
      <c r="A121" s="10">
        <v>10120</v>
      </c>
      <c r="B121" s="10">
        <v>770</v>
      </c>
      <c r="C121" s="10">
        <v>2089</v>
      </c>
      <c r="D121" s="10">
        <v>317</v>
      </c>
      <c r="E121" s="1" t="s">
        <v>211</v>
      </c>
      <c r="F121" s="1" t="s">
        <v>212</v>
      </c>
      <c r="G121" s="10">
        <v>82</v>
      </c>
      <c r="H121" s="1" t="s">
        <v>39</v>
      </c>
    </row>
    <row r="122" spans="1:8" ht="15.75" customHeight="1" x14ac:dyDescent="0.3">
      <c r="A122" s="10">
        <v>10121</v>
      </c>
      <c r="B122" s="10">
        <v>601</v>
      </c>
      <c r="C122" s="10">
        <v>2007</v>
      </c>
      <c r="D122" s="10">
        <v>301</v>
      </c>
      <c r="E122" s="1" t="s">
        <v>213</v>
      </c>
      <c r="F122" s="1" t="s">
        <v>214</v>
      </c>
      <c r="G122" s="10">
        <v>60</v>
      </c>
      <c r="H122" s="1" t="s">
        <v>78</v>
      </c>
    </row>
    <row r="123" spans="1:8" ht="15.75" customHeight="1" x14ac:dyDescent="0.3">
      <c r="A123" s="10">
        <v>10122</v>
      </c>
      <c r="B123" s="10">
        <v>720</v>
      </c>
      <c r="C123" s="10">
        <v>2052</v>
      </c>
      <c r="D123" s="10">
        <v>311</v>
      </c>
      <c r="E123" s="1" t="s">
        <v>215</v>
      </c>
      <c r="F123" s="1" t="s">
        <v>206</v>
      </c>
      <c r="G123" s="10">
        <v>74</v>
      </c>
      <c r="H123" s="1" t="s">
        <v>36</v>
      </c>
    </row>
    <row r="124" spans="1:8" ht="15.75" customHeight="1" x14ac:dyDescent="0.3">
      <c r="A124" s="10">
        <v>10123</v>
      </c>
      <c r="B124" s="10">
        <v>713</v>
      </c>
      <c r="C124" s="10">
        <v>2010</v>
      </c>
      <c r="D124" s="10">
        <v>314</v>
      </c>
      <c r="E124" s="1" t="s">
        <v>55</v>
      </c>
      <c r="F124" s="1" t="s">
        <v>216</v>
      </c>
      <c r="G124" s="10">
        <v>7</v>
      </c>
      <c r="H124" s="1" t="s">
        <v>39</v>
      </c>
    </row>
    <row r="125" spans="1:8" ht="15.75" customHeight="1" x14ac:dyDescent="0.3">
      <c r="A125" s="10">
        <v>10124</v>
      </c>
      <c r="B125" s="10">
        <v>853</v>
      </c>
      <c r="C125" s="10">
        <v>2006</v>
      </c>
      <c r="D125" s="10">
        <v>314</v>
      </c>
      <c r="E125" s="1" t="s">
        <v>217</v>
      </c>
      <c r="F125" s="1" t="s">
        <v>218</v>
      </c>
      <c r="G125" s="10">
        <v>71</v>
      </c>
      <c r="H125" s="1" t="s">
        <v>39</v>
      </c>
    </row>
    <row r="126" spans="1:8" ht="15.75" customHeight="1" x14ac:dyDescent="0.3">
      <c r="A126" s="10">
        <v>10125</v>
      </c>
      <c r="B126" s="10">
        <v>686</v>
      </c>
      <c r="C126" s="10">
        <v>2033</v>
      </c>
      <c r="D126" s="10">
        <v>317</v>
      </c>
      <c r="E126" s="1" t="s">
        <v>219</v>
      </c>
      <c r="F126" s="1" t="s">
        <v>213</v>
      </c>
      <c r="G126" s="10">
        <v>93</v>
      </c>
      <c r="H126" s="1" t="s">
        <v>78</v>
      </c>
    </row>
    <row r="127" spans="1:8" ht="15.75" customHeight="1" x14ac:dyDescent="0.3">
      <c r="A127" s="10">
        <v>10126</v>
      </c>
      <c r="B127" s="10">
        <v>506</v>
      </c>
      <c r="C127" s="10">
        <v>2079</v>
      </c>
      <c r="D127" s="10">
        <v>301</v>
      </c>
      <c r="E127" s="1" t="s">
        <v>91</v>
      </c>
      <c r="F127" s="1" t="s">
        <v>220</v>
      </c>
      <c r="G127" s="10">
        <v>1</v>
      </c>
      <c r="H127" s="1" t="s">
        <v>39</v>
      </c>
    </row>
    <row r="128" spans="1:8" ht="15.75" customHeight="1" x14ac:dyDescent="0.3">
      <c r="A128" s="10">
        <v>10127</v>
      </c>
      <c r="B128" s="10">
        <v>506</v>
      </c>
      <c r="C128" s="10">
        <v>2043</v>
      </c>
      <c r="D128" s="10">
        <v>307</v>
      </c>
      <c r="E128" s="1" t="s">
        <v>57</v>
      </c>
      <c r="F128" s="1" t="s">
        <v>221</v>
      </c>
      <c r="G128" s="10">
        <v>92</v>
      </c>
      <c r="H128" s="1" t="s">
        <v>36</v>
      </c>
    </row>
    <row r="129" spans="1:8" ht="15.75" customHeight="1" x14ac:dyDescent="0.3">
      <c r="A129" s="10">
        <v>10128</v>
      </c>
      <c r="B129" s="10">
        <v>703</v>
      </c>
      <c r="C129" s="10">
        <v>2100</v>
      </c>
      <c r="D129" s="10">
        <v>314</v>
      </c>
      <c r="E129" s="1" t="s">
        <v>222</v>
      </c>
      <c r="F129" s="1" t="s">
        <v>223</v>
      </c>
      <c r="G129" s="10">
        <v>62</v>
      </c>
      <c r="H129" s="1" t="s">
        <v>39</v>
      </c>
    </row>
    <row r="130" spans="1:8" ht="15.75" customHeight="1" x14ac:dyDescent="0.3">
      <c r="A130" s="10">
        <v>10129</v>
      </c>
      <c r="B130" s="10">
        <v>603</v>
      </c>
      <c r="C130" s="10">
        <v>2071</v>
      </c>
      <c r="D130" s="10">
        <v>309</v>
      </c>
      <c r="E130" s="1" t="s">
        <v>187</v>
      </c>
      <c r="F130" s="1" t="s">
        <v>178</v>
      </c>
      <c r="G130" s="10">
        <v>32</v>
      </c>
      <c r="H130" s="1" t="s">
        <v>42</v>
      </c>
    </row>
    <row r="131" spans="1:8" ht="15.75" customHeight="1" x14ac:dyDescent="0.3">
      <c r="A131" s="10">
        <v>10130</v>
      </c>
      <c r="B131" s="10">
        <v>596</v>
      </c>
      <c r="C131" s="10">
        <v>2080</v>
      </c>
      <c r="D131" s="10">
        <v>312</v>
      </c>
      <c r="E131" s="1" t="s">
        <v>188</v>
      </c>
      <c r="F131" s="1" t="s">
        <v>189</v>
      </c>
      <c r="G131" s="10">
        <v>8</v>
      </c>
      <c r="H131" s="1" t="s">
        <v>42</v>
      </c>
    </row>
    <row r="132" spans="1:8" ht="15.75" customHeight="1" x14ac:dyDescent="0.3">
      <c r="A132" s="10">
        <v>10131</v>
      </c>
      <c r="B132" s="10">
        <v>659</v>
      </c>
      <c r="C132" s="10">
        <v>2012</v>
      </c>
      <c r="D132" s="10">
        <v>304</v>
      </c>
      <c r="E132" s="1" t="s">
        <v>134</v>
      </c>
      <c r="F132" s="1" t="s">
        <v>102</v>
      </c>
      <c r="G132" s="10">
        <v>21</v>
      </c>
      <c r="H132" s="1" t="s">
        <v>39</v>
      </c>
    </row>
    <row r="133" spans="1:8" ht="15.75" customHeight="1" x14ac:dyDescent="0.3">
      <c r="A133" s="10">
        <v>10132</v>
      </c>
      <c r="B133" s="10">
        <v>582</v>
      </c>
      <c r="C133" s="10">
        <v>2054</v>
      </c>
      <c r="D133" s="10">
        <v>315</v>
      </c>
      <c r="E133" s="1" t="s">
        <v>91</v>
      </c>
      <c r="F133" s="1" t="s">
        <v>133</v>
      </c>
      <c r="G133" s="10">
        <v>66</v>
      </c>
      <c r="H133" s="1" t="s">
        <v>39</v>
      </c>
    </row>
    <row r="134" spans="1:8" ht="15.75" customHeight="1" x14ac:dyDescent="0.3">
      <c r="A134" s="10">
        <v>10133</v>
      </c>
      <c r="B134" s="10">
        <v>835</v>
      </c>
      <c r="C134" s="10">
        <v>2059</v>
      </c>
      <c r="D134" s="10">
        <v>306</v>
      </c>
      <c r="E134" s="1" t="s">
        <v>224</v>
      </c>
      <c r="F134" s="1" t="s">
        <v>80</v>
      </c>
      <c r="G134" s="10">
        <v>24</v>
      </c>
      <c r="H134" s="1" t="s">
        <v>39</v>
      </c>
    </row>
    <row r="135" spans="1:8" ht="15.75" customHeight="1" x14ac:dyDescent="0.3">
      <c r="A135" s="10">
        <v>10134</v>
      </c>
      <c r="B135" s="10">
        <v>776</v>
      </c>
      <c r="C135" s="10">
        <v>2072</v>
      </c>
      <c r="D135" s="10">
        <v>314</v>
      </c>
      <c r="E135" s="1" t="s">
        <v>225</v>
      </c>
      <c r="F135" s="1" t="s">
        <v>196</v>
      </c>
      <c r="G135" s="10">
        <v>64</v>
      </c>
      <c r="H135" s="1" t="s">
        <v>39</v>
      </c>
    </row>
    <row r="136" spans="1:8" ht="15.75" customHeight="1" x14ac:dyDescent="0.3">
      <c r="A136" s="10">
        <v>10135</v>
      </c>
      <c r="B136" s="10">
        <v>803</v>
      </c>
      <c r="C136" s="10">
        <v>2013</v>
      </c>
      <c r="D136" s="10">
        <v>314</v>
      </c>
      <c r="E136" s="1" t="s">
        <v>158</v>
      </c>
      <c r="F136" s="1" t="s">
        <v>226</v>
      </c>
      <c r="G136" s="10">
        <v>52</v>
      </c>
      <c r="H136" s="1" t="s">
        <v>42</v>
      </c>
    </row>
    <row r="137" spans="1:8" ht="15.75" customHeight="1" x14ac:dyDescent="0.3">
      <c r="A137" s="10">
        <v>10136</v>
      </c>
      <c r="B137" s="10">
        <v>834</v>
      </c>
      <c r="C137" s="10">
        <v>2052</v>
      </c>
      <c r="D137" s="10">
        <v>303</v>
      </c>
      <c r="E137" s="1" t="s">
        <v>227</v>
      </c>
      <c r="F137" s="1" t="s">
        <v>95</v>
      </c>
      <c r="G137" s="10">
        <v>49</v>
      </c>
      <c r="H137" s="1" t="s">
        <v>36</v>
      </c>
    </row>
    <row r="138" spans="1:8" ht="15.75" customHeight="1" x14ac:dyDescent="0.3">
      <c r="A138" s="10">
        <v>10137</v>
      </c>
      <c r="B138" s="10">
        <v>582</v>
      </c>
      <c r="C138" s="10">
        <v>2047</v>
      </c>
      <c r="D138" s="10">
        <v>316</v>
      </c>
      <c r="E138" s="1" t="s">
        <v>228</v>
      </c>
      <c r="F138" s="1" t="s">
        <v>229</v>
      </c>
      <c r="G138" s="10">
        <v>26</v>
      </c>
      <c r="H138" s="1" t="s">
        <v>39</v>
      </c>
    </row>
    <row r="139" spans="1:8" ht="15.75" customHeight="1" x14ac:dyDescent="0.3">
      <c r="A139" s="10">
        <v>10138</v>
      </c>
      <c r="B139" s="10">
        <v>696</v>
      </c>
      <c r="C139" s="10">
        <v>2027</v>
      </c>
      <c r="D139" s="10">
        <v>316</v>
      </c>
      <c r="E139" s="1" t="s">
        <v>94</v>
      </c>
      <c r="F139" s="1" t="s">
        <v>230</v>
      </c>
      <c r="G139" s="10">
        <v>56</v>
      </c>
      <c r="H139" s="1" t="s">
        <v>39</v>
      </c>
    </row>
    <row r="140" spans="1:8" ht="15.75" customHeight="1" x14ac:dyDescent="0.3">
      <c r="A140" s="10">
        <v>10139</v>
      </c>
      <c r="B140" s="10">
        <v>771</v>
      </c>
      <c r="C140" s="10">
        <v>2055</v>
      </c>
      <c r="D140" s="10">
        <v>315</v>
      </c>
      <c r="E140" s="1" t="s">
        <v>138</v>
      </c>
      <c r="F140" s="1" t="s">
        <v>82</v>
      </c>
      <c r="G140" s="10">
        <v>71</v>
      </c>
      <c r="H140" s="1" t="s">
        <v>78</v>
      </c>
    </row>
    <row r="141" spans="1:8" ht="15.75" customHeight="1" x14ac:dyDescent="0.3">
      <c r="A141" s="10">
        <v>10140</v>
      </c>
      <c r="B141" s="10">
        <v>559</v>
      </c>
      <c r="C141" s="10">
        <v>2084</v>
      </c>
      <c r="D141" s="10">
        <v>316</v>
      </c>
      <c r="E141" s="1" t="s">
        <v>231</v>
      </c>
      <c r="F141" s="1" t="s">
        <v>53</v>
      </c>
      <c r="G141" s="10">
        <v>88</v>
      </c>
      <c r="H141" s="1" t="s">
        <v>78</v>
      </c>
    </row>
    <row r="142" spans="1:8" ht="15.75" customHeight="1" x14ac:dyDescent="0.3">
      <c r="A142" s="10">
        <v>10141</v>
      </c>
      <c r="B142" s="10">
        <v>716</v>
      </c>
      <c r="C142" s="10">
        <v>2093</v>
      </c>
      <c r="D142" s="10">
        <v>318</v>
      </c>
      <c r="E142" s="1" t="s">
        <v>210</v>
      </c>
      <c r="F142" s="1" t="s">
        <v>41</v>
      </c>
      <c r="G142" s="10">
        <v>13</v>
      </c>
      <c r="H142" s="1" t="s">
        <v>42</v>
      </c>
    </row>
    <row r="143" spans="1:8" ht="15.75" customHeight="1" x14ac:dyDescent="0.3">
      <c r="A143" s="10">
        <v>10142</v>
      </c>
      <c r="B143" s="10">
        <v>532</v>
      </c>
      <c r="C143" s="10">
        <v>2085</v>
      </c>
      <c r="D143" s="10">
        <v>305</v>
      </c>
      <c r="E143" s="1" t="s">
        <v>96</v>
      </c>
      <c r="F143" s="1" t="s">
        <v>163</v>
      </c>
      <c r="G143" s="10">
        <v>99</v>
      </c>
      <c r="H143" s="1" t="s">
        <v>36</v>
      </c>
    </row>
    <row r="144" spans="1:8" ht="15.75" customHeight="1" x14ac:dyDescent="0.3">
      <c r="A144" s="10">
        <v>10143</v>
      </c>
      <c r="B144" s="10">
        <v>730</v>
      </c>
      <c r="C144" s="10">
        <v>2016</v>
      </c>
      <c r="D144" s="10">
        <v>302</v>
      </c>
      <c r="E144" s="1" t="s">
        <v>197</v>
      </c>
      <c r="F144" s="1" t="s">
        <v>41</v>
      </c>
      <c r="G144" s="10">
        <v>53</v>
      </c>
      <c r="H144" s="1" t="s">
        <v>78</v>
      </c>
    </row>
    <row r="145" spans="1:8" ht="15.75" customHeight="1" x14ac:dyDescent="0.3">
      <c r="A145" s="10">
        <v>10144</v>
      </c>
      <c r="B145" s="10">
        <v>573</v>
      </c>
      <c r="C145" s="10">
        <v>2076</v>
      </c>
      <c r="D145" s="10">
        <v>319</v>
      </c>
      <c r="E145" s="1" t="s">
        <v>232</v>
      </c>
      <c r="F145" s="1" t="s">
        <v>211</v>
      </c>
      <c r="G145" s="10">
        <v>31</v>
      </c>
      <c r="H145" s="1" t="s">
        <v>36</v>
      </c>
    </row>
    <row r="146" spans="1:8" ht="15.75" customHeight="1" x14ac:dyDescent="0.3">
      <c r="A146" s="10">
        <v>10145</v>
      </c>
      <c r="B146" s="10">
        <v>604</v>
      </c>
      <c r="C146" s="10">
        <v>2066</v>
      </c>
      <c r="D146" s="10">
        <v>303</v>
      </c>
      <c r="E146" s="1" t="s">
        <v>233</v>
      </c>
      <c r="F146" s="1" t="s">
        <v>68</v>
      </c>
      <c r="G146" s="10">
        <v>3</v>
      </c>
      <c r="H146" s="1" t="s">
        <v>78</v>
      </c>
    </row>
    <row r="147" spans="1:8" ht="15.75" customHeight="1" x14ac:dyDescent="0.3">
      <c r="A147" s="10">
        <v>10146</v>
      </c>
      <c r="B147" s="10">
        <v>597</v>
      </c>
      <c r="C147" s="10">
        <v>2080</v>
      </c>
      <c r="D147" s="10">
        <v>315</v>
      </c>
      <c r="E147" s="1" t="s">
        <v>234</v>
      </c>
      <c r="F147" s="1" t="s">
        <v>79</v>
      </c>
      <c r="G147" s="10">
        <v>37</v>
      </c>
      <c r="H147" s="1" t="s">
        <v>39</v>
      </c>
    </row>
    <row r="148" spans="1:8" ht="15.75" customHeight="1" x14ac:dyDescent="0.3">
      <c r="A148" s="10">
        <v>10147</v>
      </c>
      <c r="B148" s="10">
        <v>812</v>
      </c>
      <c r="C148" s="10">
        <v>2040</v>
      </c>
      <c r="D148" s="10">
        <v>304</v>
      </c>
      <c r="E148" s="1" t="s">
        <v>235</v>
      </c>
      <c r="F148" s="1" t="s">
        <v>236</v>
      </c>
      <c r="G148" s="10">
        <v>4</v>
      </c>
      <c r="H148" s="1" t="s">
        <v>39</v>
      </c>
    </row>
    <row r="149" spans="1:8" ht="15.75" customHeight="1" x14ac:dyDescent="0.3">
      <c r="A149" s="10">
        <v>10148</v>
      </c>
      <c r="B149" s="10">
        <v>807</v>
      </c>
      <c r="C149" s="10">
        <v>2050</v>
      </c>
      <c r="D149" s="10">
        <v>314</v>
      </c>
      <c r="E149" s="1" t="s">
        <v>181</v>
      </c>
      <c r="F149" s="1" t="s">
        <v>214</v>
      </c>
      <c r="G149" s="10">
        <v>72</v>
      </c>
      <c r="H149" s="1" t="s">
        <v>39</v>
      </c>
    </row>
    <row r="150" spans="1:8" ht="15.75" customHeight="1" x14ac:dyDescent="0.3">
      <c r="A150" s="10">
        <v>10149</v>
      </c>
      <c r="B150" s="10">
        <v>536</v>
      </c>
      <c r="C150" s="10">
        <v>2030</v>
      </c>
      <c r="D150" s="10">
        <v>320</v>
      </c>
      <c r="E150" s="1" t="s">
        <v>107</v>
      </c>
      <c r="F150" s="1" t="s">
        <v>237</v>
      </c>
      <c r="G150" s="10">
        <v>27</v>
      </c>
      <c r="H150" s="1" t="s">
        <v>78</v>
      </c>
    </row>
    <row r="151" spans="1:8" ht="15.75" customHeight="1" x14ac:dyDescent="0.3">
      <c r="A151" s="10">
        <v>10150</v>
      </c>
      <c r="B151" s="10">
        <v>674</v>
      </c>
      <c r="C151" s="10">
        <v>2067</v>
      </c>
      <c r="D151" s="10">
        <v>318</v>
      </c>
      <c r="E151" s="1" t="s">
        <v>91</v>
      </c>
      <c r="F151" s="1" t="s">
        <v>238</v>
      </c>
      <c r="G151" s="10">
        <v>71</v>
      </c>
      <c r="H151" s="1" t="s">
        <v>36</v>
      </c>
    </row>
    <row r="152" spans="1:8" ht="15.75" customHeight="1" x14ac:dyDescent="0.3">
      <c r="A152" s="10">
        <v>10151</v>
      </c>
      <c r="B152" s="10">
        <v>880</v>
      </c>
      <c r="C152" s="10">
        <v>2099</v>
      </c>
      <c r="D152" s="10">
        <v>307</v>
      </c>
      <c r="E152" s="1" t="s">
        <v>239</v>
      </c>
      <c r="F152" s="1" t="s">
        <v>240</v>
      </c>
      <c r="G152" s="10">
        <v>20</v>
      </c>
      <c r="H152" s="1" t="s">
        <v>78</v>
      </c>
    </row>
    <row r="153" spans="1:8" ht="15.75" customHeight="1" x14ac:dyDescent="0.3">
      <c r="A153" s="10">
        <v>10152</v>
      </c>
      <c r="B153" s="10">
        <v>590</v>
      </c>
      <c r="C153" s="10">
        <v>2054</v>
      </c>
      <c r="D153" s="10">
        <v>313</v>
      </c>
      <c r="E153" s="1" t="s">
        <v>139</v>
      </c>
      <c r="F153" s="1" t="s">
        <v>220</v>
      </c>
      <c r="G153" s="10">
        <v>78</v>
      </c>
      <c r="H153" s="1" t="s">
        <v>42</v>
      </c>
    </row>
    <row r="154" spans="1:8" ht="15.75" customHeight="1" x14ac:dyDescent="0.3">
      <c r="A154" s="10">
        <v>10153</v>
      </c>
      <c r="B154" s="10">
        <v>573</v>
      </c>
      <c r="C154" s="10">
        <v>2098</v>
      </c>
      <c r="D154" s="10">
        <v>302</v>
      </c>
      <c r="E154" s="1" t="s">
        <v>233</v>
      </c>
      <c r="F154" s="1" t="s">
        <v>241</v>
      </c>
      <c r="G154" s="10">
        <v>98</v>
      </c>
      <c r="H154" s="1" t="s">
        <v>78</v>
      </c>
    </row>
    <row r="155" spans="1:8" ht="15.75" customHeight="1" x14ac:dyDescent="0.3">
      <c r="A155" s="10">
        <v>10154</v>
      </c>
      <c r="B155" s="10">
        <v>780</v>
      </c>
      <c r="C155" s="10">
        <v>2043</v>
      </c>
      <c r="D155" s="10">
        <v>316</v>
      </c>
      <c r="E155" s="1" t="s">
        <v>241</v>
      </c>
      <c r="F155" s="1" t="s">
        <v>68</v>
      </c>
      <c r="G155" s="10">
        <v>75</v>
      </c>
      <c r="H155" s="1" t="s">
        <v>42</v>
      </c>
    </row>
    <row r="156" spans="1:8" ht="15.75" customHeight="1" x14ac:dyDescent="0.3">
      <c r="A156" s="10">
        <v>10155</v>
      </c>
      <c r="B156" s="10">
        <v>615</v>
      </c>
      <c r="C156" s="10">
        <v>2029</v>
      </c>
      <c r="D156" s="10">
        <v>319</v>
      </c>
      <c r="E156" s="1" t="s">
        <v>242</v>
      </c>
      <c r="F156" s="1" t="s">
        <v>243</v>
      </c>
      <c r="G156" s="10">
        <v>32</v>
      </c>
      <c r="H156" s="1" t="s">
        <v>42</v>
      </c>
    </row>
    <row r="157" spans="1:8" ht="15.75" customHeight="1" x14ac:dyDescent="0.3">
      <c r="A157" s="10">
        <v>10156</v>
      </c>
      <c r="B157" s="10">
        <v>735</v>
      </c>
      <c r="C157" s="10">
        <v>2049</v>
      </c>
      <c r="D157" s="10">
        <v>303</v>
      </c>
      <c r="E157" s="1" t="s">
        <v>227</v>
      </c>
      <c r="F157" s="1" t="s">
        <v>59</v>
      </c>
      <c r="G157" s="10">
        <v>51</v>
      </c>
      <c r="H157" s="1" t="s">
        <v>39</v>
      </c>
    </row>
    <row r="158" spans="1:8" ht="15.75" customHeight="1" x14ac:dyDescent="0.3">
      <c r="A158" s="10">
        <v>10157</v>
      </c>
      <c r="B158" s="10">
        <v>769</v>
      </c>
      <c r="C158" s="10">
        <v>2018</v>
      </c>
      <c r="D158" s="10">
        <v>309</v>
      </c>
      <c r="E158" s="1" t="s">
        <v>207</v>
      </c>
      <c r="F158" s="1" t="s">
        <v>244</v>
      </c>
      <c r="G158" s="10">
        <v>52</v>
      </c>
      <c r="H158" s="1" t="s">
        <v>42</v>
      </c>
    </row>
    <row r="159" spans="1:8" ht="15.75" customHeight="1" x14ac:dyDescent="0.3">
      <c r="A159" s="10">
        <v>10158</v>
      </c>
      <c r="B159" s="10">
        <v>624</v>
      </c>
      <c r="C159" s="10">
        <v>2069</v>
      </c>
      <c r="D159" s="10">
        <v>309</v>
      </c>
      <c r="E159" s="1" t="s">
        <v>126</v>
      </c>
      <c r="F159" s="1" t="s">
        <v>245</v>
      </c>
      <c r="G159" s="10">
        <v>38</v>
      </c>
      <c r="H159" s="1" t="s">
        <v>39</v>
      </c>
    </row>
    <row r="160" spans="1:8" ht="15.75" customHeight="1" x14ac:dyDescent="0.3">
      <c r="A160" s="10">
        <v>10159</v>
      </c>
      <c r="B160" s="10">
        <v>573</v>
      </c>
      <c r="C160" s="10">
        <v>2013</v>
      </c>
      <c r="D160" s="10">
        <v>312</v>
      </c>
      <c r="E160" s="1" t="s">
        <v>246</v>
      </c>
      <c r="F160" s="1" t="s">
        <v>247</v>
      </c>
      <c r="G160" s="10">
        <v>6</v>
      </c>
      <c r="H160" s="1" t="s">
        <v>78</v>
      </c>
    </row>
    <row r="161" spans="1:8" ht="15.75" customHeight="1" x14ac:dyDescent="0.3">
      <c r="A161" s="10">
        <v>10160</v>
      </c>
      <c r="B161" s="10">
        <v>841</v>
      </c>
      <c r="C161" s="10">
        <v>2014</v>
      </c>
      <c r="D161" s="10">
        <v>319</v>
      </c>
      <c r="E161" s="1" t="s">
        <v>163</v>
      </c>
      <c r="F161" s="1" t="s">
        <v>227</v>
      </c>
      <c r="G161" s="10">
        <v>7</v>
      </c>
      <c r="H161" s="1" t="s">
        <v>36</v>
      </c>
    </row>
    <row r="162" spans="1:8" ht="15.75" customHeight="1" x14ac:dyDescent="0.3">
      <c r="A162" s="10">
        <v>10161</v>
      </c>
      <c r="B162" s="10">
        <v>583</v>
      </c>
      <c r="C162" s="10">
        <v>2061</v>
      </c>
      <c r="D162" s="10">
        <v>313</v>
      </c>
      <c r="E162" s="1" t="s">
        <v>248</v>
      </c>
      <c r="F162" s="1" t="s">
        <v>249</v>
      </c>
      <c r="G162" s="10">
        <v>56</v>
      </c>
      <c r="H162" s="1" t="s">
        <v>36</v>
      </c>
    </row>
    <row r="163" spans="1:8" ht="15.75" customHeight="1" x14ac:dyDescent="0.3">
      <c r="A163" s="10">
        <v>10162</v>
      </c>
      <c r="B163" s="10">
        <v>860</v>
      </c>
      <c r="C163" s="10">
        <v>2034</v>
      </c>
      <c r="D163" s="10">
        <v>315</v>
      </c>
      <c r="E163" s="1" t="s">
        <v>126</v>
      </c>
      <c r="F163" s="1" t="s">
        <v>114</v>
      </c>
      <c r="G163" s="10">
        <v>5</v>
      </c>
      <c r="H163" s="1" t="s">
        <v>36</v>
      </c>
    </row>
    <row r="164" spans="1:8" ht="15.75" customHeight="1" x14ac:dyDescent="0.3">
      <c r="A164" s="10">
        <v>10163</v>
      </c>
      <c r="B164" s="10">
        <v>519</v>
      </c>
      <c r="C164" s="10">
        <v>2090</v>
      </c>
      <c r="D164" s="10">
        <v>301</v>
      </c>
      <c r="E164" s="1" t="s">
        <v>130</v>
      </c>
      <c r="F164" s="1" t="s">
        <v>120</v>
      </c>
      <c r="G164" s="10">
        <v>10</v>
      </c>
      <c r="H164" s="1" t="s">
        <v>36</v>
      </c>
    </row>
    <row r="165" spans="1:8" ht="15.75" customHeight="1" x14ac:dyDescent="0.3">
      <c r="A165" s="10">
        <v>10164</v>
      </c>
      <c r="B165" s="10">
        <v>536</v>
      </c>
      <c r="C165" s="10">
        <v>2096</v>
      </c>
      <c r="D165" s="10">
        <v>307</v>
      </c>
      <c r="E165" s="1" t="s">
        <v>250</v>
      </c>
      <c r="F165" s="1" t="s">
        <v>251</v>
      </c>
      <c r="G165" s="10">
        <v>63</v>
      </c>
      <c r="H165" s="1" t="s">
        <v>42</v>
      </c>
    </row>
    <row r="166" spans="1:8" ht="15.75" customHeight="1" x14ac:dyDescent="0.3">
      <c r="A166" s="10">
        <v>10165</v>
      </c>
      <c r="B166" s="10">
        <v>883</v>
      </c>
      <c r="C166" s="10">
        <v>2007</v>
      </c>
      <c r="D166" s="10">
        <v>317</v>
      </c>
      <c r="E166" s="1" t="s">
        <v>252</v>
      </c>
      <c r="F166" s="1" t="s">
        <v>153</v>
      </c>
      <c r="G166" s="10">
        <v>78</v>
      </c>
      <c r="H166" s="1" t="s">
        <v>78</v>
      </c>
    </row>
    <row r="167" spans="1:8" ht="15.75" customHeight="1" x14ac:dyDescent="0.3">
      <c r="A167" s="10">
        <v>10166</v>
      </c>
      <c r="B167" s="10">
        <v>562</v>
      </c>
      <c r="C167" s="10">
        <v>2035</v>
      </c>
      <c r="D167" s="10">
        <v>313</v>
      </c>
      <c r="E167" s="1" t="s">
        <v>145</v>
      </c>
      <c r="F167" s="1" t="s">
        <v>120</v>
      </c>
      <c r="G167" s="10">
        <v>54</v>
      </c>
      <c r="H167" s="1" t="s">
        <v>78</v>
      </c>
    </row>
    <row r="168" spans="1:8" ht="15.75" customHeight="1" x14ac:dyDescent="0.3">
      <c r="A168" s="10">
        <v>10167</v>
      </c>
      <c r="B168" s="10">
        <v>510</v>
      </c>
      <c r="C168" s="10">
        <v>2082</v>
      </c>
      <c r="D168" s="10">
        <v>304</v>
      </c>
      <c r="E168" s="1" t="s">
        <v>178</v>
      </c>
      <c r="F168" s="1" t="s">
        <v>253</v>
      </c>
      <c r="G168" s="10">
        <v>78</v>
      </c>
      <c r="H168" s="1" t="s">
        <v>36</v>
      </c>
    </row>
    <row r="169" spans="1:8" ht="15.75" customHeight="1" x14ac:dyDescent="0.3">
      <c r="A169" s="10">
        <v>10168</v>
      </c>
      <c r="B169" s="10">
        <v>755</v>
      </c>
      <c r="C169" s="10">
        <v>2070</v>
      </c>
      <c r="D169" s="10">
        <v>319</v>
      </c>
      <c r="E169" s="1" t="s">
        <v>178</v>
      </c>
      <c r="F169" s="1" t="s">
        <v>182</v>
      </c>
      <c r="G169" s="10">
        <v>38</v>
      </c>
      <c r="H169" s="1" t="s">
        <v>39</v>
      </c>
    </row>
    <row r="170" spans="1:8" ht="15.75" customHeight="1" x14ac:dyDescent="0.3">
      <c r="A170" s="10">
        <v>10169</v>
      </c>
      <c r="B170" s="10">
        <v>786</v>
      </c>
      <c r="C170" s="10">
        <v>2020</v>
      </c>
      <c r="D170" s="10">
        <v>309</v>
      </c>
      <c r="E170" s="1" t="s">
        <v>144</v>
      </c>
      <c r="F170" s="1" t="s">
        <v>55</v>
      </c>
      <c r="G170" s="10">
        <v>41</v>
      </c>
      <c r="H170" s="1" t="s">
        <v>36</v>
      </c>
    </row>
    <row r="171" spans="1:8" ht="15.75" customHeight="1" x14ac:dyDescent="0.3">
      <c r="A171" s="10">
        <v>10170</v>
      </c>
      <c r="B171" s="10">
        <v>890</v>
      </c>
      <c r="C171" s="10">
        <v>2031</v>
      </c>
      <c r="D171" s="10">
        <v>316</v>
      </c>
      <c r="E171" s="1" t="s">
        <v>197</v>
      </c>
      <c r="F171" s="1" t="s">
        <v>254</v>
      </c>
      <c r="G171" s="10">
        <v>34</v>
      </c>
      <c r="H171" s="1" t="s">
        <v>78</v>
      </c>
    </row>
    <row r="172" spans="1:8" ht="15.75" customHeight="1" x14ac:dyDescent="0.3">
      <c r="A172" s="10">
        <v>10171</v>
      </c>
      <c r="B172" s="10">
        <v>714</v>
      </c>
      <c r="C172" s="10">
        <v>2033</v>
      </c>
      <c r="D172" s="10">
        <v>301</v>
      </c>
      <c r="E172" s="1" t="s">
        <v>255</v>
      </c>
      <c r="F172" s="1" t="s">
        <v>256</v>
      </c>
      <c r="G172" s="10">
        <v>88</v>
      </c>
      <c r="H172" s="1" t="s">
        <v>78</v>
      </c>
    </row>
    <row r="173" spans="1:8" ht="15.75" customHeight="1" x14ac:dyDescent="0.3">
      <c r="A173" s="10">
        <v>10172</v>
      </c>
      <c r="B173" s="10">
        <v>846</v>
      </c>
      <c r="C173" s="10">
        <v>2089</v>
      </c>
      <c r="D173" s="10">
        <v>311</v>
      </c>
      <c r="E173" s="1" t="s">
        <v>257</v>
      </c>
      <c r="F173" s="1" t="s">
        <v>258</v>
      </c>
      <c r="G173" s="10">
        <v>48</v>
      </c>
      <c r="H173" s="1" t="s">
        <v>36</v>
      </c>
    </row>
    <row r="174" spans="1:8" ht="15.75" customHeight="1" x14ac:dyDescent="0.3">
      <c r="A174" s="10">
        <v>10173</v>
      </c>
      <c r="B174" s="10">
        <v>732</v>
      </c>
      <c r="C174" s="10">
        <v>2087</v>
      </c>
      <c r="D174" s="10">
        <v>301</v>
      </c>
      <c r="E174" s="1" t="s">
        <v>61</v>
      </c>
      <c r="F174" s="1" t="s">
        <v>259</v>
      </c>
      <c r="G174" s="10">
        <v>91</v>
      </c>
      <c r="H174" s="1" t="s">
        <v>39</v>
      </c>
    </row>
    <row r="175" spans="1:8" ht="15.75" customHeight="1" x14ac:dyDescent="0.3">
      <c r="A175" s="10">
        <v>10174</v>
      </c>
      <c r="B175" s="10">
        <v>898</v>
      </c>
      <c r="C175" s="10">
        <v>2013</v>
      </c>
      <c r="D175" s="10">
        <v>316</v>
      </c>
      <c r="E175" s="1" t="s">
        <v>260</v>
      </c>
      <c r="F175" s="1" t="s">
        <v>261</v>
      </c>
      <c r="G175" s="10">
        <v>66</v>
      </c>
      <c r="H175" s="1" t="s">
        <v>39</v>
      </c>
    </row>
    <row r="176" spans="1:8" ht="15.75" customHeight="1" x14ac:dyDescent="0.3">
      <c r="A176" s="10">
        <v>10175</v>
      </c>
      <c r="B176" s="10">
        <v>657</v>
      </c>
      <c r="C176" s="10">
        <v>2014</v>
      </c>
      <c r="D176" s="10">
        <v>319</v>
      </c>
      <c r="E176" s="1" t="s">
        <v>93</v>
      </c>
      <c r="F176" s="1" t="s">
        <v>185</v>
      </c>
      <c r="G176" s="10">
        <v>59</v>
      </c>
      <c r="H176" s="1" t="s">
        <v>39</v>
      </c>
    </row>
    <row r="177" spans="1:8" ht="15.75" customHeight="1" x14ac:dyDescent="0.3">
      <c r="A177" s="10">
        <v>10176</v>
      </c>
      <c r="B177" s="10">
        <v>825</v>
      </c>
      <c r="C177" s="10">
        <v>2019</v>
      </c>
      <c r="D177" s="10">
        <v>308</v>
      </c>
      <c r="E177" s="1" t="s">
        <v>262</v>
      </c>
      <c r="F177" s="1" t="s">
        <v>174</v>
      </c>
      <c r="G177" s="10">
        <v>71</v>
      </c>
      <c r="H177" s="1" t="s">
        <v>42</v>
      </c>
    </row>
    <row r="178" spans="1:8" ht="15.75" customHeight="1" x14ac:dyDescent="0.3">
      <c r="A178" s="10">
        <v>10177</v>
      </c>
      <c r="B178" s="10">
        <v>740</v>
      </c>
      <c r="C178" s="10">
        <v>2028</v>
      </c>
      <c r="D178" s="10">
        <v>307</v>
      </c>
      <c r="E178" s="1" t="s">
        <v>263</v>
      </c>
      <c r="F178" s="1" t="s">
        <v>95</v>
      </c>
      <c r="G178" s="10">
        <v>41</v>
      </c>
      <c r="H178" s="1" t="s">
        <v>39</v>
      </c>
    </row>
    <row r="179" spans="1:8" ht="15.75" customHeight="1" x14ac:dyDescent="0.3">
      <c r="A179" s="10">
        <v>10178</v>
      </c>
      <c r="B179" s="10">
        <v>668</v>
      </c>
      <c r="C179" s="10">
        <v>2089</v>
      </c>
      <c r="D179" s="10">
        <v>317</v>
      </c>
      <c r="E179" s="1" t="s">
        <v>249</v>
      </c>
      <c r="F179" s="1" t="s">
        <v>264</v>
      </c>
      <c r="G179" s="10">
        <v>43</v>
      </c>
      <c r="H179" s="1" t="s">
        <v>36</v>
      </c>
    </row>
    <row r="180" spans="1:8" ht="15.75" customHeight="1" x14ac:dyDescent="0.3">
      <c r="A180" s="10">
        <v>10179</v>
      </c>
      <c r="B180" s="10">
        <v>630</v>
      </c>
      <c r="C180" s="10">
        <v>2032</v>
      </c>
      <c r="D180" s="10">
        <v>305</v>
      </c>
      <c r="E180" s="1" t="s">
        <v>226</v>
      </c>
      <c r="F180" s="1" t="s">
        <v>265</v>
      </c>
      <c r="G180" s="10">
        <v>61</v>
      </c>
      <c r="H180" s="1" t="s">
        <v>42</v>
      </c>
    </row>
    <row r="181" spans="1:8" ht="15.75" customHeight="1" x14ac:dyDescent="0.3">
      <c r="A181" s="10">
        <v>10180</v>
      </c>
      <c r="B181" s="10">
        <v>506</v>
      </c>
      <c r="C181" s="10">
        <v>2022</v>
      </c>
      <c r="D181" s="10">
        <v>314</v>
      </c>
      <c r="E181" s="1" t="s">
        <v>266</v>
      </c>
      <c r="F181" s="1" t="s">
        <v>267</v>
      </c>
      <c r="G181" s="10">
        <v>24</v>
      </c>
      <c r="H181" s="1" t="s">
        <v>42</v>
      </c>
    </row>
    <row r="182" spans="1:8" ht="15.75" customHeight="1" x14ac:dyDescent="0.3">
      <c r="A182" s="10">
        <v>10181</v>
      </c>
      <c r="B182" s="10">
        <v>900</v>
      </c>
      <c r="C182" s="10">
        <v>2048</v>
      </c>
      <c r="D182" s="10">
        <v>312</v>
      </c>
      <c r="E182" s="1" t="s">
        <v>268</v>
      </c>
      <c r="F182" s="1" t="s">
        <v>269</v>
      </c>
      <c r="G182" s="10">
        <v>70</v>
      </c>
      <c r="H182" s="1" t="s">
        <v>78</v>
      </c>
    </row>
    <row r="183" spans="1:8" ht="15.75" customHeight="1" x14ac:dyDescent="0.3">
      <c r="A183" s="10">
        <v>10182</v>
      </c>
      <c r="B183" s="10">
        <v>668</v>
      </c>
      <c r="C183" s="10">
        <v>2065</v>
      </c>
      <c r="D183" s="10">
        <v>319</v>
      </c>
      <c r="E183" s="1" t="s">
        <v>270</v>
      </c>
      <c r="F183" s="1" t="s">
        <v>271</v>
      </c>
      <c r="G183" s="10">
        <v>91</v>
      </c>
      <c r="H183" s="1" t="s">
        <v>36</v>
      </c>
    </row>
    <row r="184" spans="1:8" ht="15.75" customHeight="1" x14ac:dyDescent="0.3">
      <c r="A184" s="10">
        <v>10183</v>
      </c>
      <c r="B184" s="10">
        <v>834</v>
      </c>
      <c r="C184" s="10">
        <v>2052</v>
      </c>
      <c r="D184" s="10">
        <v>304</v>
      </c>
      <c r="E184" s="1" t="s">
        <v>272</v>
      </c>
      <c r="F184" s="1" t="s">
        <v>135</v>
      </c>
      <c r="G184" s="10">
        <v>72</v>
      </c>
      <c r="H184" s="1" t="s">
        <v>39</v>
      </c>
    </row>
    <row r="185" spans="1:8" ht="15.75" customHeight="1" x14ac:dyDescent="0.3">
      <c r="A185" s="10">
        <v>10184</v>
      </c>
      <c r="B185" s="10">
        <v>850</v>
      </c>
      <c r="C185" s="10">
        <v>2010</v>
      </c>
      <c r="D185" s="10">
        <v>304</v>
      </c>
      <c r="E185" s="1" t="s">
        <v>273</v>
      </c>
      <c r="F185" s="1" t="s">
        <v>207</v>
      </c>
      <c r="G185" s="10">
        <v>5</v>
      </c>
      <c r="H185" s="1" t="s">
        <v>36</v>
      </c>
    </row>
    <row r="186" spans="1:8" ht="15.75" customHeight="1" x14ac:dyDescent="0.3">
      <c r="A186" s="10">
        <v>10185</v>
      </c>
      <c r="B186" s="10">
        <v>788</v>
      </c>
      <c r="C186" s="10">
        <v>2011</v>
      </c>
      <c r="D186" s="10">
        <v>317</v>
      </c>
      <c r="E186" s="1" t="s">
        <v>274</v>
      </c>
      <c r="F186" s="1" t="s">
        <v>157</v>
      </c>
      <c r="G186" s="10">
        <v>36</v>
      </c>
      <c r="H186" s="1" t="s">
        <v>78</v>
      </c>
    </row>
    <row r="187" spans="1:8" ht="15.75" customHeight="1" x14ac:dyDescent="0.3">
      <c r="A187" s="10">
        <v>10186</v>
      </c>
      <c r="B187" s="10">
        <v>844</v>
      </c>
      <c r="C187" s="10">
        <v>2093</v>
      </c>
      <c r="D187" s="10">
        <v>301</v>
      </c>
      <c r="E187" s="1" t="s">
        <v>105</v>
      </c>
      <c r="F187" s="1" t="s">
        <v>275</v>
      </c>
      <c r="G187" s="10">
        <v>83</v>
      </c>
      <c r="H187" s="1" t="s">
        <v>78</v>
      </c>
    </row>
    <row r="188" spans="1:8" ht="15.75" customHeight="1" x14ac:dyDescent="0.3">
      <c r="A188" s="10">
        <v>10187</v>
      </c>
      <c r="B188" s="10">
        <v>776</v>
      </c>
      <c r="C188" s="10">
        <v>2098</v>
      </c>
      <c r="D188" s="10">
        <v>314</v>
      </c>
      <c r="E188" s="1" t="s">
        <v>276</v>
      </c>
      <c r="F188" s="1" t="s">
        <v>159</v>
      </c>
      <c r="G188" s="10">
        <v>43</v>
      </c>
      <c r="H188" s="1" t="s">
        <v>36</v>
      </c>
    </row>
    <row r="189" spans="1:8" ht="15.75" customHeight="1" x14ac:dyDescent="0.3">
      <c r="A189" s="10">
        <v>10188</v>
      </c>
      <c r="B189" s="10">
        <v>635</v>
      </c>
      <c r="C189" s="10">
        <v>2093</v>
      </c>
      <c r="D189" s="10">
        <v>306</v>
      </c>
      <c r="E189" s="1" t="s">
        <v>277</v>
      </c>
      <c r="F189" s="1" t="s">
        <v>228</v>
      </c>
      <c r="G189" s="10">
        <v>11</v>
      </c>
      <c r="H189" s="1" t="s">
        <v>78</v>
      </c>
    </row>
    <row r="190" spans="1:8" ht="15.75" customHeight="1" x14ac:dyDescent="0.3">
      <c r="A190" s="10">
        <v>10189</v>
      </c>
      <c r="B190" s="10">
        <v>779</v>
      </c>
      <c r="C190" s="10">
        <v>2097</v>
      </c>
      <c r="D190" s="10">
        <v>309</v>
      </c>
      <c r="E190" s="1" t="s">
        <v>278</v>
      </c>
      <c r="F190" s="1" t="s">
        <v>279</v>
      </c>
      <c r="G190" s="10">
        <v>69</v>
      </c>
      <c r="H190" s="1" t="s">
        <v>42</v>
      </c>
    </row>
    <row r="191" spans="1:8" ht="15.75" customHeight="1" x14ac:dyDescent="0.3">
      <c r="A191" s="10">
        <v>10190</v>
      </c>
      <c r="B191" s="10">
        <v>744</v>
      </c>
      <c r="C191" s="10">
        <v>2084</v>
      </c>
      <c r="D191" s="10">
        <v>313</v>
      </c>
      <c r="E191" s="1" t="s">
        <v>165</v>
      </c>
      <c r="F191" s="1" t="s">
        <v>150</v>
      </c>
      <c r="G191" s="10">
        <v>35</v>
      </c>
      <c r="H191" s="1" t="s">
        <v>42</v>
      </c>
    </row>
    <row r="192" spans="1:8" ht="15.75" customHeight="1" x14ac:dyDescent="0.3">
      <c r="A192" s="10">
        <v>10191</v>
      </c>
      <c r="B192" s="10">
        <v>657</v>
      </c>
      <c r="C192" s="10">
        <v>2038</v>
      </c>
      <c r="D192" s="10">
        <v>301</v>
      </c>
      <c r="E192" s="1" t="s">
        <v>280</v>
      </c>
      <c r="F192" s="1" t="s">
        <v>40</v>
      </c>
      <c r="G192" s="10">
        <v>7</v>
      </c>
      <c r="H192" s="1" t="s">
        <v>36</v>
      </c>
    </row>
    <row r="193" spans="1:8" ht="15.75" customHeight="1" x14ac:dyDescent="0.3">
      <c r="A193" s="10">
        <v>10192</v>
      </c>
      <c r="B193" s="10">
        <v>522</v>
      </c>
      <c r="C193" s="10">
        <v>2020</v>
      </c>
      <c r="D193" s="10">
        <v>306</v>
      </c>
      <c r="E193" s="1" t="s">
        <v>135</v>
      </c>
      <c r="F193" s="1" t="s">
        <v>281</v>
      </c>
      <c r="G193" s="10">
        <v>92</v>
      </c>
      <c r="H193" s="1" t="s">
        <v>42</v>
      </c>
    </row>
    <row r="194" spans="1:8" ht="15.75" customHeight="1" x14ac:dyDescent="0.3">
      <c r="A194" s="10">
        <v>10193</v>
      </c>
      <c r="B194" s="10">
        <v>808</v>
      </c>
      <c r="C194" s="10">
        <v>2096</v>
      </c>
      <c r="D194" s="10">
        <v>301</v>
      </c>
      <c r="E194" s="1" t="s">
        <v>282</v>
      </c>
      <c r="F194" s="1" t="s">
        <v>170</v>
      </c>
      <c r="G194" s="10">
        <v>73</v>
      </c>
      <c r="H194" s="1" t="s">
        <v>36</v>
      </c>
    </row>
    <row r="195" spans="1:8" ht="15.75" customHeight="1" x14ac:dyDescent="0.3">
      <c r="A195" s="10">
        <v>10194</v>
      </c>
      <c r="B195" s="10">
        <v>603</v>
      </c>
      <c r="C195" s="10">
        <v>2093</v>
      </c>
      <c r="D195" s="10">
        <v>307</v>
      </c>
      <c r="E195" s="1" t="s">
        <v>283</v>
      </c>
      <c r="F195" s="1" t="s">
        <v>59</v>
      </c>
      <c r="G195" s="10">
        <v>43</v>
      </c>
      <c r="H195" s="1" t="s">
        <v>42</v>
      </c>
    </row>
    <row r="196" spans="1:8" ht="15.75" customHeight="1" x14ac:dyDescent="0.3">
      <c r="A196" s="10">
        <v>10195</v>
      </c>
      <c r="B196" s="10">
        <v>531</v>
      </c>
      <c r="C196" s="10">
        <v>2033</v>
      </c>
      <c r="D196" s="10">
        <v>302</v>
      </c>
      <c r="E196" s="1" t="s">
        <v>284</v>
      </c>
      <c r="F196" s="1" t="s">
        <v>134</v>
      </c>
      <c r="G196" s="10">
        <v>34</v>
      </c>
      <c r="H196" s="1" t="s">
        <v>36</v>
      </c>
    </row>
    <row r="197" spans="1:8" ht="15.75" customHeight="1" x14ac:dyDescent="0.3">
      <c r="A197" s="10">
        <v>10196</v>
      </c>
      <c r="B197" s="10">
        <v>639</v>
      </c>
      <c r="C197" s="10">
        <v>2030</v>
      </c>
      <c r="D197" s="10">
        <v>317</v>
      </c>
      <c r="E197" s="1" t="s">
        <v>251</v>
      </c>
      <c r="F197" s="1" t="s">
        <v>285</v>
      </c>
      <c r="G197" s="10">
        <v>61</v>
      </c>
      <c r="H197" s="1" t="s">
        <v>36</v>
      </c>
    </row>
    <row r="198" spans="1:8" ht="15.75" customHeight="1" x14ac:dyDescent="0.3">
      <c r="A198" s="10">
        <v>10197</v>
      </c>
      <c r="B198" s="10">
        <v>808</v>
      </c>
      <c r="C198" s="10">
        <v>2055</v>
      </c>
      <c r="D198" s="10">
        <v>302</v>
      </c>
      <c r="E198" s="1" t="s">
        <v>286</v>
      </c>
      <c r="F198" s="1" t="s">
        <v>250</v>
      </c>
      <c r="G198" s="10">
        <v>45</v>
      </c>
      <c r="H198" s="1" t="s">
        <v>42</v>
      </c>
    </row>
    <row r="199" spans="1:8" ht="15.75" customHeight="1" x14ac:dyDescent="0.3">
      <c r="A199" s="10">
        <v>10198</v>
      </c>
      <c r="B199" s="10">
        <v>830</v>
      </c>
      <c r="C199" s="10">
        <v>2013</v>
      </c>
      <c r="D199" s="10">
        <v>313</v>
      </c>
      <c r="E199" s="1" t="s">
        <v>113</v>
      </c>
      <c r="F199" s="1" t="s">
        <v>63</v>
      </c>
      <c r="G199" s="10">
        <v>31</v>
      </c>
      <c r="H199" s="1" t="s">
        <v>36</v>
      </c>
    </row>
    <row r="200" spans="1:8" ht="15.75" customHeight="1" x14ac:dyDescent="0.3">
      <c r="A200" s="10">
        <v>10199</v>
      </c>
      <c r="B200" s="10">
        <v>530</v>
      </c>
      <c r="C200" s="10">
        <v>2027</v>
      </c>
      <c r="D200" s="10">
        <v>307</v>
      </c>
      <c r="E200" s="1" t="s">
        <v>218</v>
      </c>
      <c r="F200" s="1" t="s">
        <v>237</v>
      </c>
      <c r="G200" s="10">
        <v>61</v>
      </c>
      <c r="H200" s="1" t="s">
        <v>39</v>
      </c>
    </row>
    <row r="201" spans="1:8" ht="15.75" customHeight="1" x14ac:dyDescent="0.3">
      <c r="A201" s="10">
        <v>10200</v>
      </c>
      <c r="B201" s="10">
        <v>538</v>
      </c>
      <c r="C201" s="10">
        <v>2018</v>
      </c>
      <c r="D201" s="10">
        <v>316</v>
      </c>
      <c r="E201" s="1" t="s">
        <v>52</v>
      </c>
      <c r="F201" s="1" t="s">
        <v>287</v>
      </c>
      <c r="G201" s="10">
        <v>27</v>
      </c>
      <c r="H201" s="1" t="s">
        <v>42</v>
      </c>
    </row>
    <row r="202" spans="1:8" ht="15.75" customHeight="1" x14ac:dyDescent="0.3">
      <c r="A202" s="10">
        <v>10201</v>
      </c>
      <c r="B202" s="10">
        <v>843</v>
      </c>
      <c r="C202" s="10">
        <v>2032</v>
      </c>
      <c r="D202" s="10">
        <v>308</v>
      </c>
      <c r="E202" s="1" t="s">
        <v>224</v>
      </c>
      <c r="F202" s="1" t="s">
        <v>161</v>
      </c>
      <c r="G202" s="10">
        <v>60</v>
      </c>
      <c r="H202" s="1" t="s">
        <v>36</v>
      </c>
    </row>
    <row r="203" spans="1:8" ht="15.75" customHeight="1" x14ac:dyDescent="0.3">
      <c r="A203" s="10">
        <v>10202</v>
      </c>
      <c r="B203" s="10">
        <v>642</v>
      </c>
      <c r="C203" s="10">
        <v>2001</v>
      </c>
      <c r="D203" s="10">
        <v>314</v>
      </c>
      <c r="E203" s="1" t="s">
        <v>90</v>
      </c>
      <c r="F203" s="1" t="s">
        <v>288</v>
      </c>
      <c r="G203" s="10">
        <v>93</v>
      </c>
      <c r="H203" s="1" t="s">
        <v>39</v>
      </c>
    </row>
    <row r="204" spans="1:8" ht="15.75" customHeight="1" x14ac:dyDescent="0.3">
      <c r="A204" s="10">
        <v>10203</v>
      </c>
      <c r="B204" s="10">
        <v>729</v>
      </c>
      <c r="C204" s="10">
        <v>2024</v>
      </c>
      <c r="D204" s="10">
        <v>316</v>
      </c>
      <c r="E204" s="1" t="s">
        <v>37</v>
      </c>
      <c r="F204" s="1" t="s">
        <v>38</v>
      </c>
      <c r="G204" s="10">
        <v>41</v>
      </c>
      <c r="H204" s="1" t="s">
        <v>39</v>
      </c>
    </row>
    <row r="205" spans="1:8" ht="15.75" customHeight="1" x14ac:dyDescent="0.3">
      <c r="A205" s="10">
        <v>10204</v>
      </c>
      <c r="B205" s="10">
        <v>728</v>
      </c>
      <c r="C205" s="10">
        <v>2028</v>
      </c>
      <c r="D205" s="10">
        <v>318</v>
      </c>
      <c r="E205" s="1" t="s">
        <v>289</v>
      </c>
      <c r="F205" s="1" t="s">
        <v>145</v>
      </c>
      <c r="G205" s="10">
        <v>70</v>
      </c>
      <c r="H205" s="1" t="s">
        <v>39</v>
      </c>
    </row>
    <row r="206" spans="1:8" ht="15.75" customHeight="1" x14ac:dyDescent="0.3">
      <c r="A206" s="10">
        <v>10205</v>
      </c>
      <c r="B206" s="10">
        <v>719</v>
      </c>
      <c r="C206" s="10">
        <v>2077</v>
      </c>
      <c r="D206" s="10">
        <v>319</v>
      </c>
      <c r="E206" s="1" t="s">
        <v>284</v>
      </c>
      <c r="F206" s="1" t="s">
        <v>274</v>
      </c>
      <c r="G206" s="10">
        <v>44</v>
      </c>
      <c r="H206" s="1" t="s">
        <v>36</v>
      </c>
    </row>
    <row r="207" spans="1:8" ht="15.75" customHeight="1" x14ac:dyDescent="0.3">
      <c r="A207" s="10">
        <v>10206</v>
      </c>
      <c r="B207" s="10">
        <v>754</v>
      </c>
      <c r="C207" s="10">
        <v>2013</v>
      </c>
      <c r="D207" s="10">
        <v>319</v>
      </c>
      <c r="E207" s="1" t="s">
        <v>290</v>
      </c>
      <c r="F207" s="1" t="s">
        <v>291</v>
      </c>
      <c r="G207" s="10">
        <v>55</v>
      </c>
      <c r="H207" s="1" t="s">
        <v>39</v>
      </c>
    </row>
    <row r="208" spans="1:8" ht="15.75" customHeight="1" x14ac:dyDescent="0.3">
      <c r="A208" s="10">
        <v>10207</v>
      </c>
      <c r="B208" s="10">
        <v>759</v>
      </c>
      <c r="C208" s="10">
        <v>2079</v>
      </c>
      <c r="D208" s="10">
        <v>316</v>
      </c>
      <c r="E208" s="1" t="s">
        <v>292</v>
      </c>
      <c r="F208" s="1" t="s">
        <v>293</v>
      </c>
      <c r="G208" s="10">
        <v>14</v>
      </c>
      <c r="H208" s="1" t="s">
        <v>78</v>
      </c>
    </row>
    <row r="209" spans="1:8" ht="15.75" customHeight="1" x14ac:dyDescent="0.3">
      <c r="A209" s="10">
        <v>10208</v>
      </c>
      <c r="B209" s="10">
        <v>670</v>
      </c>
      <c r="C209" s="10">
        <v>2054</v>
      </c>
      <c r="D209" s="10">
        <v>302</v>
      </c>
      <c r="E209" s="1" t="s">
        <v>294</v>
      </c>
      <c r="F209" s="1" t="s">
        <v>250</v>
      </c>
      <c r="G209" s="10">
        <v>81</v>
      </c>
      <c r="H209" s="1" t="s">
        <v>42</v>
      </c>
    </row>
    <row r="210" spans="1:8" ht="15.75" customHeight="1" x14ac:dyDescent="0.3">
      <c r="A210" s="10">
        <v>10209</v>
      </c>
      <c r="B210" s="10">
        <v>890</v>
      </c>
      <c r="C210" s="10">
        <v>2013</v>
      </c>
      <c r="D210" s="10">
        <v>318</v>
      </c>
      <c r="E210" s="1" t="s">
        <v>217</v>
      </c>
      <c r="F210" s="1" t="s">
        <v>237</v>
      </c>
      <c r="G210" s="10">
        <v>27</v>
      </c>
      <c r="H210" s="1" t="s">
        <v>36</v>
      </c>
    </row>
    <row r="211" spans="1:8" ht="15.75" customHeight="1" x14ac:dyDescent="0.3">
      <c r="A211" s="10">
        <v>10210</v>
      </c>
      <c r="B211" s="10">
        <v>537</v>
      </c>
      <c r="C211" s="10">
        <v>2013</v>
      </c>
      <c r="D211" s="10">
        <v>314</v>
      </c>
      <c r="E211" s="1" t="s">
        <v>82</v>
      </c>
      <c r="F211" s="1" t="s">
        <v>132</v>
      </c>
      <c r="G211" s="10">
        <v>57</v>
      </c>
      <c r="H211" s="1" t="s">
        <v>78</v>
      </c>
    </row>
    <row r="212" spans="1:8" ht="15.75" customHeight="1" x14ac:dyDescent="0.3">
      <c r="A212" s="10">
        <v>10211</v>
      </c>
      <c r="B212" s="10">
        <v>886</v>
      </c>
      <c r="C212" s="10">
        <v>2056</v>
      </c>
      <c r="D212" s="10">
        <v>305</v>
      </c>
      <c r="E212" s="1" t="s">
        <v>295</v>
      </c>
      <c r="F212" s="1" t="s">
        <v>58</v>
      </c>
      <c r="G212" s="10">
        <v>5</v>
      </c>
      <c r="H212" s="1" t="s">
        <v>42</v>
      </c>
    </row>
    <row r="213" spans="1:8" ht="15.75" customHeight="1" x14ac:dyDescent="0.3">
      <c r="A213" s="10">
        <v>10212</v>
      </c>
      <c r="B213" s="10">
        <v>563</v>
      </c>
      <c r="C213" s="10">
        <v>2066</v>
      </c>
      <c r="D213" s="10">
        <v>307</v>
      </c>
      <c r="E213" s="1" t="s">
        <v>296</v>
      </c>
      <c r="F213" s="1" t="s">
        <v>284</v>
      </c>
      <c r="G213" s="10">
        <v>49</v>
      </c>
      <c r="H213" s="1" t="s">
        <v>39</v>
      </c>
    </row>
    <row r="214" spans="1:8" ht="15.75" customHeight="1" x14ac:dyDescent="0.3">
      <c r="A214" s="10">
        <v>10213</v>
      </c>
      <c r="B214" s="10">
        <v>521</v>
      </c>
      <c r="C214" s="10">
        <v>2076</v>
      </c>
      <c r="D214" s="10">
        <v>307</v>
      </c>
      <c r="E214" s="1" t="s">
        <v>136</v>
      </c>
      <c r="F214" s="1" t="s">
        <v>268</v>
      </c>
      <c r="G214" s="10">
        <v>67</v>
      </c>
      <c r="H214" s="1" t="s">
        <v>42</v>
      </c>
    </row>
    <row r="215" spans="1:8" ht="15.75" customHeight="1" x14ac:dyDescent="0.3">
      <c r="A215" s="10">
        <v>10214</v>
      </c>
      <c r="B215" s="10">
        <v>700</v>
      </c>
      <c r="C215" s="10">
        <v>2062</v>
      </c>
      <c r="D215" s="10">
        <v>305</v>
      </c>
      <c r="E215" s="1" t="s">
        <v>61</v>
      </c>
      <c r="F215" s="1" t="s">
        <v>198</v>
      </c>
      <c r="G215" s="10">
        <v>11</v>
      </c>
      <c r="H215" s="1" t="s">
        <v>42</v>
      </c>
    </row>
    <row r="216" spans="1:8" ht="15.75" customHeight="1" x14ac:dyDescent="0.3">
      <c r="A216" s="10">
        <v>10215</v>
      </c>
      <c r="B216" s="10">
        <v>895</v>
      </c>
      <c r="C216" s="10">
        <v>2100</v>
      </c>
      <c r="D216" s="10">
        <v>311</v>
      </c>
      <c r="E216" s="1" t="s">
        <v>66</v>
      </c>
      <c r="F216" s="1" t="s">
        <v>59</v>
      </c>
      <c r="G216" s="10">
        <v>64</v>
      </c>
      <c r="H216" s="1" t="s">
        <v>78</v>
      </c>
    </row>
    <row r="217" spans="1:8" ht="15.75" customHeight="1" x14ac:dyDescent="0.3">
      <c r="A217" s="10">
        <v>10216</v>
      </c>
      <c r="B217" s="10">
        <v>616</v>
      </c>
      <c r="C217" s="10">
        <v>2092</v>
      </c>
      <c r="D217" s="10">
        <v>315</v>
      </c>
      <c r="E217" s="1" t="s">
        <v>176</v>
      </c>
      <c r="F217" s="1" t="s">
        <v>297</v>
      </c>
      <c r="G217" s="10">
        <v>10</v>
      </c>
      <c r="H217" s="1" t="s">
        <v>39</v>
      </c>
    </row>
    <row r="218" spans="1:8" ht="15.75" customHeight="1" x14ac:dyDescent="0.3">
      <c r="A218" s="10">
        <v>10217</v>
      </c>
      <c r="B218" s="10">
        <v>818</v>
      </c>
      <c r="C218" s="10">
        <v>2067</v>
      </c>
      <c r="D218" s="10">
        <v>314</v>
      </c>
      <c r="E218" s="1" t="s">
        <v>95</v>
      </c>
      <c r="F218" s="1" t="s">
        <v>298</v>
      </c>
      <c r="G218" s="10">
        <v>85</v>
      </c>
      <c r="H218" s="1" t="s">
        <v>42</v>
      </c>
    </row>
    <row r="219" spans="1:8" ht="15.75" customHeight="1" x14ac:dyDescent="0.3">
      <c r="A219" s="10">
        <v>10218</v>
      </c>
      <c r="B219" s="10">
        <v>646</v>
      </c>
      <c r="C219" s="10">
        <v>2062</v>
      </c>
      <c r="D219" s="10">
        <v>313</v>
      </c>
      <c r="E219" s="1" t="s">
        <v>195</v>
      </c>
      <c r="F219" s="1" t="s">
        <v>101</v>
      </c>
      <c r="G219" s="10">
        <v>48</v>
      </c>
      <c r="H219" s="1" t="s">
        <v>78</v>
      </c>
    </row>
    <row r="220" spans="1:8" ht="15.75" customHeight="1" x14ac:dyDescent="0.3">
      <c r="A220" s="10">
        <v>10219</v>
      </c>
      <c r="B220" s="10">
        <v>782</v>
      </c>
      <c r="C220" s="10">
        <v>2046</v>
      </c>
      <c r="D220" s="10">
        <v>313</v>
      </c>
      <c r="E220" s="1" t="s">
        <v>196</v>
      </c>
      <c r="F220" s="1" t="s">
        <v>125</v>
      </c>
      <c r="G220" s="10">
        <v>63</v>
      </c>
      <c r="H220" s="1" t="s">
        <v>78</v>
      </c>
    </row>
    <row r="221" spans="1:8" ht="15.75" customHeight="1" x14ac:dyDescent="0.3">
      <c r="A221" s="10">
        <v>10220</v>
      </c>
      <c r="B221" s="10">
        <v>841</v>
      </c>
      <c r="C221" s="10">
        <v>2003</v>
      </c>
      <c r="D221" s="10">
        <v>303</v>
      </c>
      <c r="E221" s="1" t="s">
        <v>44</v>
      </c>
      <c r="F221" s="1" t="s">
        <v>288</v>
      </c>
      <c r="G221" s="10">
        <v>83</v>
      </c>
      <c r="H221" s="1" t="s">
        <v>42</v>
      </c>
    </row>
    <row r="222" spans="1:8" ht="15.75" customHeight="1" x14ac:dyDescent="0.3">
      <c r="A222" s="10">
        <v>10221</v>
      </c>
      <c r="B222" s="10">
        <v>569</v>
      </c>
      <c r="C222" s="10">
        <v>2069</v>
      </c>
      <c r="D222" s="10">
        <v>301</v>
      </c>
      <c r="E222" s="1" t="s">
        <v>250</v>
      </c>
      <c r="F222" s="1" t="s">
        <v>212</v>
      </c>
      <c r="G222" s="10">
        <v>44</v>
      </c>
      <c r="H222" s="1" t="s">
        <v>36</v>
      </c>
    </row>
    <row r="223" spans="1:8" ht="15.75" customHeight="1" x14ac:dyDescent="0.3">
      <c r="A223" s="10">
        <v>10222</v>
      </c>
      <c r="B223" s="10">
        <v>848</v>
      </c>
      <c r="C223" s="10">
        <v>2020</v>
      </c>
      <c r="D223" s="10">
        <v>308</v>
      </c>
      <c r="E223" s="1" t="s">
        <v>94</v>
      </c>
      <c r="F223" s="1" t="s">
        <v>299</v>
      </c>
      <c r="G223" s="10">
        <v>6</v>
      </c>
      <c r="H223" s="1" t="s">
        <v>36</v>
      </c>
    </row>
    <row r="224" spans="1:8" ht="15.75" customHeight="1" x14ac:dyDescent="0.3">
      <c r="A224" s="10">
        <v>10223</v>
      </c>
      <c r="B224" s="10">
        <v>774</v>
      </c>
      <c r="C224" s="10">
        <v>2068</v>
      </c>
      <c r="D224" s="10">
        <v>315</v>
      </c>
      <c r="E224" s="1" t="s">
        <v>74</v>
      </c>
      <c r="F224" s="1" t="s">
        <v>300</v>
      </c>
      <c r="G224" s="10">
        <v>3</v>
      </c>
      <c r="H224" s="1" t="s">
        <v>39</v>
      </c>
    </row>
    <row r="225" spans="1:8" ht="15.75" customHeight="1" x14ac:dyDescent="0.3">
      <c r="A225" s="10">
        <v>10224</v>
      </c>
      <c r="B225" s="10">
        <v>727</v>
      </c>
      <c r="C225" s="10">
        <v>2096</v>
      </c>
      <c r="D225" s="10">
        <v>301</v>
      </c>
      <c r="E225" s="1" t="s">
        <v>94</v>
      </c>
      <c r="F225" s="1" t="s">
        <v>269</v>
      </c>
      <c r="G225" s="10">
        <v>40</v>
      </c>
      <c r="H225" s="1" t="s">
        <v>42</v>
      </c>
    </row>
    <row r="226" spans="1:8" ht="15.75" customHeight="1" x14ac:dyDescent="0.3">
      <c r="A226" s="10">
        <v>10225</v>
      </c>
      <c r="B226" s="10">
        <v>643</v>
      </c>
      <c r="C226" s="10">
        <v>2026</v>
      </c>
      <c r="D226" s="10">
        <v>306</v>
      </c>
      <c r="E226" s="1" t="s">
        <v>145</v>
      </c>
      <c r="F226" s="1" t="s">
        <v>301</v>
      </c>
      <c r="G226" s="10">
        <v>29</v>
      </c>
      <c r="H226" s="1" t="s">
        <v>78</v>
      </c>
    </row>
    <row r="227" spans="1:8" ht="15.75" customHeight="1" x14ac:dyDescent="0.3">
      <c r="A227" s="10">
        <v>10226</v>
      </c>
      <c r="B227" s="10">
        <v>632</v>
      </c>
      <c r="C227" s="10">
        <v>2020</v>
      </c>
      <c r="D227" s="10">
        <v>310</v>
      </c>
      <c r="E227" s="1" t="s">
        <v>98</v>
      </c>
      <c r="F227" s="1" t="s">
        <v>245</v>
      </c>
      <c r="G227" s="10">
        <v>91</v>
      </c>
      <c r="H227" s="1" t="s">
        <v>39</v>
      </c>
    </row>
    <row r="228" spans="1:8" ht="15.75" customHeight="1" x14ac:dyDescent="0.3">
      <c r="A228" s="10">
        <v>10227</v>
      </c>
      <c r="B228" s="10">
        <v>860</v>
      </c>
      <c r="C228" s="10">
        <v>2078</v>
      </c>
      <c r="D228" s="10">
        <v>307</v>
      </c>
      <c r="E228" s="1" t="s">
        <v>302</v>
      </c>
      <c r="F228" s="1" t="s">
        <v>303</v>
      </c>
      <c r="G228" s="10">
        <v>43</v>
      </c>
      <c r="H228" s="1" t="s">
        <v>36</v>
      </c>
    </row>
    <row r="229" spans="1:8" ht="15.75" customHeight="1" x14ac:dyDescent="0.3">
      <c r="A229" s="10">
        <v>10228</v>
      </c>
      <c r="B229" s="10">
        <v>718</v>
      </c>
      <c r="C229" s="10">
        <v>2002</v>
      </c>
      <c r="D229" s="10">
        <v>317</v>
      </c>
      <c r="E229" s="1" t="s">
        <v>304</v>
      </c>
      <c r="F229" s="1" t="s">
        <v>305</v>
      </c>
      <c r="G229" s="10">
        <v>90</v>
      </c>
      <c r="H229" s="1" t="s">
        <v>36</v>
      </c>
    </row>
    <row r="230" spans="1:8" ht="15.75" customHeight="1" x14ac:dyDescent="0.3">
      <c r="A230" s="10">
        <v>10229</v>
      </c>
      <c r="B230" s="10">
        <v>541</v>
      </c>
      <c r="C230" s="10">
        <v>2033</v>
      </c>
      <c r="D230" s="10">
        <v>310</v>
      </c>
      <c r="E230" s="1" t="s">
        <v>264</v>
      </c>
      <c r="F230" s="1" t="s">
        <v>306</v>
      </c>
      <c r="G230" s="10">
        <v>99</v>
      </c>
      <c r="H230" s="1" t="s">
        <v>39</v>
      </c>
    </row>
    <row r="231" spans="1:8" ht="15.75" customHeight="1" x14ac:dyDescent="0.3">
      <c r="A231" s="10">
        <v>10230</v>
      </c>
      <c r="B231" s="10">
        <v>531</v>
      </c>
      <c r="C231" s="10">
        <v>2002</v>
      </c>
      <c r="D231" s="10">
        <v>318</v>
      </c>
      <c r="E231" s="1" t="s">
        <v>307</v>
      </c>
      <c r="F231" s="1" t="s">
        <v>256</v>
      </c>
      <c r="G231" s="10">
        <v>82</v>
      </c>
      <c r="H231" s="1" t="s">
        <v>39</v>
      </c>
    </row>
    <row r="232" spans="1:8" ht="15.75" customHeight="1" x14ac:dyDescent="0.3">
      <c r="A232" s="10">
        <v>10231</v>
      </c>
      <c r="B232" s="10">
        <v>845</v>
      </c>
      <c r="C232" s="10">
        <v>2062</v>
      </c>
      <c r="D232" s="10">
        <v>310</v>
      </c>
      <c r="E232" s="1" t="s">
        <v>83</v>
      </c>
      <c r="F232" s="1" t="s">
        <v>308</v>
      </c>
      <c r="G232" s="10">
        <v>38</v>
      </c>
      <c r="H232" s="1" t="s">
        <v>42</v>
      </c>
    </row>
    <row r="233" spans="1:8" ht="15.75" customHeight="1" x14ac:dyDescent="0.3">
      <c r="A233" s="10">
        <v>10232</v>
      </c>
      <c r="B233" s="10">
        <v>815</v>
      </c>
      <c r="C233" s="10">
        <v>2033</v>
      </c>
      <c r="D233" s="10">
        <v>303</v>
      </c>
      <c r="E233" s="1" t="s">
        <v>195</v>
      </c>
      <c r="F233" s="1" t="s">
        <v>98</v>
      </c>
      <c r="G233" s="10">
        <v>74</v>
      </c>
      <c r="H233" s="1" t="s">
        <v>42</v>
      </c>
    </row>
    <row r="234" spans="1:8" ht="15.75" customHeight="1" x14ac:dyDescent="0.3">
      <c r="A234" s="10">
        <v>10233</v>
      </c>
      <c r="B234" s="10">
        <v>865</v>
      </c>
      <c r="C234" s="10">
        <v>2056</v>
      </c>
      <c r="D234" s="10">
        <v>313</v>
      </c>
      <c r="E234" s="1" t="s">
        <v>157</v>
      </c>
      <c r="F234" s="1" t="s">
        <v>107</v>
      </c>
      <c r="G234" s="10">
        <v>84</v>
      </c>
      <c r="H234" s="1" t="s">
        <v>42</v>
      </c>
    </row>
    <row r="235" spans="1:8" ht="15.75" customHeight="1" x14ac:dyDescent="0.3">
      <c r="A235" s="10">
        <v>10234</v>
      </c>
      <c r="B235" s="10">
        <v>581</v>
      </c>
      <c r="C235" s="10">
        <v>2011</v>
      </c>
      <c r="D235" s="10">
        <v>320</v>
      </c>
      <c r="E235" s="1" t="s">
        <v>126</v>
      </c>
      <c r="F235" s="1" t="s">
        <v>63</v>
      </c>
      <c r="G235" s="10">
        <v>30</v>
      </c>
      <c r="H235" s="1" t="s">
        <v>36</v>
      </c>
    </row>
    <row r="236" spans="1:8" ht="15.75" customHeight="1" x14ac:dyDescent="0.3">
      <c r="A236" s="10">
        <v>10235</v>
      </c>
      <c r="B236" s="10">
        <v>793</v>
      </c>
      <c r="C236" s="10">
        <v>2041</v>
      </c>
      <c r="D236" s="10">
        <v>312</v>
      </c>
      <c r="E236" s="1" t="s">
        <v>70</v>
      </c>
      <c r="F236" s="1" t="s">
        <v>71</v>
      </c>
      <c r="G236" s="10">
        <v>10</v>
      </c>
      <c r="H236" s="1" t="s">
        <v>36</v>
      </c>
    </row>
    <row r="237" spans="1:8" ht="15.75" customHeight="1" x14ac:dyDescent="0.3">
      <c r="A237" s="10">
        <v>10236</v>
      </c>
      <c r="B237" s="10">
        <v>743</v>
      </c>
      <c r="C237" s="10">
        <v>2069</v>
      </c>
      <c r="D237" s="10">
        <v>316</v>
      </c>
      <c r="E237" s="1" t="s">
        <v>281</v>
      </c>
      <c r="F237" s="1" t="s">
        <v>122</v>
      </c>
      <c r="G237" s="10">
        <v>68</v>
      </c>
      <c r="H237" s="1" t="s">
        <v>42</v>
      </c>
    </row>
    <row r="238" spans="1:8" ht="15.75" customHeight="1" x14ac:dyDescent="0.3">
      <c r="A238" s="10">
        <v>10237</v>
      </c>
      <c r="B238" s="10">
        <v>865</v>
      </c>
      <c r="C238" s="10">
        <v>2065</v>
      </c>
      <c r="D238" s="10">
        <v>308</v>
      </c>
      <c r="E238" s="1" t="s">
        <v>242</v>
      </c>
      <c r="F238" s="1" t="s">
        <v>309</v>
      </c>
      <c r="G238" s="10">
        <v>68</v>
      </c>
      <c r="H238" s="1" t="s">
        <v>78</v>
      </c>
    </row>
    <row r="239" spans="1:8" ht="15.75" customHeight="1" x14ac:dyDescent="0.3">
      <c r="A239" s="10">
        <v>10238</v>
      </c>
      <c r="B239" s="10">
        <v>639</v>
      </c>
      <c r="C239" s="10">
        <v>2029</v>
      </c>
      <c r="D239" s="10">
        <v>314</v>
      </c>
      <c r="E239" s="1" t="s">
        <v>117</v>
      </c>
      <c r="F239" s="1" t="s">
        <v>104</v>
      </c>
      <c r="G239" s="10">
        <v>100</v>
      </c>
      <c r="H239" s="1" t="s">
        <v>39</v>
      </c>
    </row>
    <row r="240" spans="1:8" ht="15.75" customHeight="1" x14ac:dyDescent="0.3">
      <c r="A240" s="10">
        <v>10239</v>
      </c>
      <c r="B240" s="10">
        <v>503</v>
      </c>
      <c r="C240" s="10">
        <v>2034</v>
      </c>
      <c r="D240" s="10">
        <v>317</v>
      </c>
      <c r="E240" s="1" t="s">
        <v>70</v>
      </c>
      <c r="F240" s="1" t="s">
        <v>214</v>
      </c>
      <c r="G240" s="10">
        <v>62</v>
      </c>
      <c r="H240" s="1" t="s">
        <v>42</v>
      </c>
    </row>
    <row r="241" spans="1:8" ht="15.75" customHeight="1" x14ac:dyDescent="0.3">
      <c r="A241" s="10">
        <v>10240</v>
      </c>
      <c r="B241" s="10">
        <v>803</v>
      </c>
      <c r="C241" s="10">
        <v>2058</v>
      </c>
      <c r="D241" s="10">
        <v>302</v>
      </c>
      <c r="E241" s="1" t="s">
        <v>298</v>
      </c>
      <c r="F241" s="1" t="s">
        <v>165</v>
      </c>
      <c r="G241" s="10">
        <v>17</v>
      </c>
      <c r="H241" s="1" t="s">
        <v>36</v>
      </c>
    </row>
    <row r="242" spans="1:8" ht="15.75" customHeight="1" x14ac:dyDescent="0.3">
      <c r="A242" s="10">
        <v>10241</v>
      </c>
      <c r="B242" s="10">
        <v>842</v>
      </c>
      <c r="C242" s="10">
        <v>2058</v>
      </c>
      <c r="D242" s="10">
        <v>314</v>
      </c>
      <c r="E242" s="1" t="s">
        <v>229</v>
      </c>
      <c r="F242" s="1" t="s">
        <v>244</v>
      </c>
      <c r="G242" s="10">
        <v>53</v>
      </c>
      <c r="H242" s="1" t="s">
        <v>39</v>
      </c>
    </row>
    <row r="243" spans="1:8" ht="15.75" customHeight="1" x14ac:dyDescent="0.3">
      <c r="A243" s="10">
        <v>10242</v>
      </c>
      <c r="B243" s="10">
        <v>542</v>
      </c>
      <c r="C243" s="10">
        <v>2061</v>
      </c>
      <c r="D243" s="10">
        <v>313</v>
      </c>
      <c r="E243" s="1" t="s">
        <v>289</v>
      </c>
      <c r="F243" s="1" t="s">
        <v>120</v>
      </c>
      <c r="G243" s="10">
        <v>91</v>
      </c>
      <c r="H243" s="1" t="s">
        <v>42</v>
      </c>
    </row>
    <row r="244" spans="1:8" ht="15.75" customHeight="1" x14ac:dyDescent="0.3">
      <c r="A244" s="10">
        <v>10243</v>
      </c>
      <c r="B244" s="10">
        <v>536</v>
      </c>
      <c r="C244" s="10">
        <v>2076</v>
      </c>
      <c r="D244" s="10">
        <v>309</v>
      </c>
      <c r="E244" s="1" t="s">
        <v>293</v>
      </c>
      <c r="F244" s="1" t="s">
        <v>310</v>
      </c>
      <c r="G244" s="10">
        <v>5</v>
      </c>
      <c r="H244" s="1" t="s">
        <v>42</v>
      </c>
    </row>
    <row r="245" spans="1:8" ht="15.75" customHeight="1" x14ac:dyDescent="0.3">
      <c r="A245" s="10">
        <v>10244</v>
      </c>
      <c r="B245" s="10">
        <v>634</v>
      </c>
      <c r="C245" s="10">
        <v>2052</v>
      </c>
      <c r="D245" s="10">
        <v>319</v>
      </c>
      <c r="E245" s="1" t="s">
        <v>311</v>
      </c>
      <c r="F245" s="1" t="s">
        <v>312</v>
      </c>
      <c r="G245" s="10">
        <v>46</v>
      </c>
      <c r="H245" s="1" t="s">
        <v>78</v>
      </c>
    </row>
    <row r="246" spans="1:8" ht="15.75" customHeight="1" x14ac:dyDescent="0.3">
      <c r="A246" s="10">
        <v>10245</v>
      </c>
      <c r="B246" s="10">
        <v>729</v>
      </c>
      <c r="C246" s="10">
        <v>2047</v>
      </c>
      <c r="D246" s="10">
        <v>308</v>
      </c>
      <c r="E246" s="1" t="s">
        <v>181</v>
      </c>
      <c r="F246" s="1" t="s">
        <v>182</v>
      </c>
      <c r="G246" s="10">
        <v>92</v>
      </c>
      <c r="H246" s="1" t="s">
        <v>39</v>
      </c>
    </row>
    <row r="247" spans="1:8" ht="15.75" customHeight="1" x14ac:dyDescent="0.3">
      <c r="A247" s="10">
        <v>10246</v>
      </c>
      <c r="B247" s="10">
        <v>828</v>
      </c>
      <c r="C247" s="10">
        <v>2100</v>
      </c>
      <c r="D247" s="10">
        <v>316</v>
      </c>
      <c r="E247" s="1" t="s">
        <v>101</v>
      </c>
      <c r="F247" s="1" t="s">
        <v>125</v>
      </c>
      <c r="G247" s="10">
        <v>95</v>
      </c>
      <c r="H247" s="1" t="s">
        <v>42</v>
      </c>
    </row>
    <row r="248" spans="1:8" ht="15.75" customHeight="1" x14ac:dyDescent="0.3">
      <c r="A248" s="10">
        <v>10247</v>
      </c>
      <c r="B248" s="10">
        <v>896</v>
      </c>
      <c r="C248" s="10">
        <v>2009</v>
      </c>
      <c r="D248" s="10">
        <v>301</v>
      </c>
      <c r="E248" s="1" t="s">
        <v>203</v>
      </c>
      <c r="F248" s="1" t="s">
        <v>255</v>
      </c>
      <c r="G248" s="10">
        <v>66</v>
      </c>
      <c r="H248" s="1" t="s">
        <v>39</v>
      </c>
    </row>
    <row r="249" spans="1:8" ht="15.75" customHeight="1" x14ac:dyDescent="0.3">
      <c r="A249" s="10">
        <v>10248</v>
      </c>
      <c r="B249" s="10">
        <v>845</v>
      </c>
      <c r="C249" s="10">
        <v>2005</v>
      </c>
      <c r="D249" s="10">
        <v>315</v>
      </c>
      <c r="E249" s="1" t="s">
        <v>212</v>
      </c>
      <c r="F249" s="1" t="s">
        <v>313</v>
      </c>
      <c r="G249" s="10">
        <v>88</v>
      </c>
      <c r="H249" s="1" t="s">
        <v>42</v>
      </c>
    </row>
    <row r="250" spans="1:8" ht="15.75" customHeight="1" x14ac:dyDescent="0.3">
      <c r="A250" s="10">
        <v>10249</v>
      </c>
      <c r="B250" s="10">
        <v>716</v>
      </c>
      <c r="C250" s="10">
        <v>2032</v>
      </c>
      <c r="D250" s="10">
        <v>317</v>
      </c>
      <c r="E250" s="1" t="s">
        <v>314</v>
      </c>
      <c r="F250" s="1" t="s">
        <v>315</v>
      </c>
      <c r="G250" s="10">
        <v>24</v>
      </c>
      <c r="H250" s="1" t="s">
        <v>78</v>
      </c>
    </row>
    <row r="251" spans="1:8" ht="15.75" customHeight="1" x14ac:dyDescent="0.3">
      <c r="A251" s="10">
        <v>10250</v>
      </c>
      <c r="B251" s="10">
        <v>701</v>
      </c>
      <c r="C251" s="10">
        <v>2001</v>
      </c>
      <c r="D251" s="10">
        <v>307</v>
      </c>
      <c r="E251" s="1" t="s">
        <v>316</v>
      </c>
      <c r="F251" s="1" t="s">
        <v>317</v>
      </c>
      <c r="G251" s="10">
        <v>13</v>
      </c>
      <c r="H251" s="1" t="s">
        <v>42</v>
      </c>
    </row>
    <row r="252" spans="1:8" ht="15.75" customHeight="1" x14ac:dyDescent="0.3">
      <c r="A252" s="10">
        <v>10251</v>
      </c>
      <c r="B252" s="10">
        <v>500</v>
      </c>
      <c r="C252" s="10">
        <v>2090</v>
      </c>
      <c r="D252" s="10">
        <v>303</v>
      </c>
      <c r="E252" s="1" t="s">
        <v>121</v>
      </c>
      <c r="F252" s="1" t="s">
        <v>81</v>
      </c>
      <c r="G252" s="10">
        <v>44</v>
      </c>
      <c r="H252" s="1" t="s">
        <v>39</v>
      </c>
    </row>
    <row r="253" spans="1:8" ht="15.75" customHeight="1" x14ac:dyDescent="0.3">
      <c r="A253" s="10">
        <v>10252</v>
      </c>
      <c r="B253" s="10">
        <v>735</v>
      </c>
      <c r="C253" s="10">
        <v>2089</v>
      </c>
      <c r="D253" s="10">
        <v>319</v>
      </c>
      <c r="E253" s="1" t="s">
        <v>318</v>
      </c>
      <c r="F253" s="1" t="s">
        <v>148</v>
      </c>
      <c r="G253" s="10">
        <v>86</v>
      </c>
      <c r="H253" s="1" t="s">
        <v>42</v>
      </c>
    </row>
    <row r="254" spans="1:8" ht="15.75" customHeight="1" x14ac:dyDescent="0.3">
      <c r="A254" s="10">
        <v>10253</v>
      </c>
      <c r="B254" s="10">
        <v>804</v>
      </c>
      <c r="C254" s="10">
        <v>2004</v>
      </c>
      <c r="D254" s="10">
        <v>306</v>
      </c>
      <c r="E254" s="1" t="s">
        <v>312</v>
      </c>
      <c r="F254" s="1" t="s">
        <v>319</v>
      </c>
      <c r="G254" s="10">
        <v>55</v>
      </c>
      <c r="H254" s="1" t="s">
        <v>78</v>
      </c>
    </row>
    <row r="255" spans="1:8" ht="15.75" customHeight="1" x14ac:dyDescent="0.3">
      <c r="A255" s="10">
        <v>10254</v>
      </c>
      <c r="B255" s="10">
        <v>622</v>
      </c>
      <c r="C255" s="10">
        <v>2058</v>
      </c>
      <c r="D255" s="10">
        <v>305</v>
      </c>
      <c r="E255" s="1" t="s">
        <v>320</v>
      </c>
      <c r="F255" s="1" t="s">
        <v>68</v>
      </c>
      <c r="G255" s="10">
        <v>74</v>
      </c>
      <c r="H255" s="1" t="s">
        <v>78</v>
      </c>
    </row>
    <row r="256" spans="1:8" ht="15.75" customHeight="1" x14ac:dyDescent="0.3">
      <c r="A256" s="10">
        <v>10255</v>
      </c>
      <c r="B256" s="10">
        <v>773</v>
      </c>
      <c r="C256" s="10">
        <v>2085</v>
      </c>
      <c r="D256" s="10">
        <v>316</v>
      </c>
      <c r="E256" s="1" t="s">
        <v>114</v>
      </c>
      <c r="F256" s="1" t="s">
        <v>321</v>
      </c>
      <c r="G256" s="10">
        <v>53</v>
      </c>
      <c r="H256" s="1" t="s">
        <v>36</v>
      </c>
    </row>
    <row r="257" spans="1:8" ht="15.75" customHeight="1" x14ac:dyDescent="0.3">
      <c r="A257" s="10">
        <v>10256</v>
      </c>
      <c r="B257" s="10">
        <v>828</v>
      </c>
      <c r="C257" s="10">
        <v>2042</v>
      </c>
      <c r="D257" s="10">
        <v>312</v>
      </c>
      <c r="E257" s="1" t="s">
        <v>113</v>
      </c>
      <c r="F257" s="1" t="s">
        <v>175</v>
      </c>
      <c r="G257" s="10">
        <v>19</v>
      </c>
      <c r="H257" s="1" t="s">
        <v>42</v>
      </c>
    </row>
    <row r="258" spans="1:8" ht="15.75" customHeight="1" x14ac:dyDescent="0.3">
      <c r="A258" s="10">
        <v>10257</v>
      </c>
      <c r="B258" s="10">
        <v>747</v>
      </c>
      <c r="C258" s="10">
        <v>2081</v>
      </c>
      <c r="D258" s="10">
        <v>302</v>
      </c>
      <c r="E258" s="1" t="s">
        <v>322</v>
      </c>
      <c r="F258" s="1" t="s">
        <v>213</v>
      </c>
      <c r="G258" s="10">
        <v>22</v>
      </c>
      <c r="H258" s="1" t="s">
        <v>39</v>
      </c>
    </row>
    <row r="259" spans="1:8" ht="15.75" customHeight="1" x14ac:dyDescent="0.3">
      <c r="A259" s="10">
        <v>10258</v>
      </c>
      <c r="B259" s="10">
        <v>707</v>
      </c>
      <c r="C259" s="10">
        <v>2074</v>
      </c>
      <c r="D259" s="10">
        <v>303</v>
      </c>
      <c r="E259" s="1" t="s">
        <v>323</v>
      </c>
      <c r="F259" s="1" t="s">
        <v>308</v>
      </c>
      <c r="G259" s="10">
        <v>31</v>
      </c>
      <c r="H259" s="1" t="s">
        <v>42</v>
      </c>
    </row>
    <row r="260" spans="1:8" ht="15.75" customHeight="1" x14ac:dyDescent="0.3">
      <c r="A260" s="10">
        <v>10259</v>
      </c>
      <c r="B260" s="10">
        <v>815</v>
      </c>
      <c r="C260" s="10">
        <v>2024</v>
      </c>
      <c r="D260" s="10">
        <v>318</v>
      </c>
      <c r="E260" s="1" t="s">
        <v>262</v>
      </c>
      <c r="F260" s="1" t="s">
        <v>324</v>
      </c>
      <c r="G260" s="10">
        <v>64</v>
      </c>
      <c r="H260" s="1" t="s">
        <v>39</v>
      </c>
    </row>
    <row r="261" spans="1:8" ht="15.75" customHeight="1" x14ac:dyDescent="0.3">
      <c r="A261" s="10">
        <v>10260</v>
      </c>
      <c r="B261" s="10">
        <v>656</v>
      </c>
      <c r="C261" s="10">
        <v>2035</v>
      </c>
      <c r="D261" s="10">
        <v>314</v>
      </c>
      <c r="E261" s="1" t="s">
        <v>325</v>
      </c>
      <c r="F261" s="1" t="s">
        <v>84</v>
      </c>
      <c r="G261" s="10">
        <v>72</v>
      </c>
      <c r="H261" s="1" t="s">
        <v>36</v>
      </c>
    </row>
    <row r="262" spans="1:8" ht="15.75" customHeight="1" x14ac:dyDescent="0.3">
      <c r="A262" s="10">
        <v>10261</v>
      </c>
      <c r="B262" s="10">
        <v>698</v>
      </c>
      <c r="C262" s="10">
        <v>2091</v>
      </c>
      <c r="D262" s="10">
        <v>314</v>
      </c>
      <c r="E262" s="1" t="s">
        <v>297</v>
      </c>
      <c r="F262" s="1" t="s">
        <v>97</v>
      </c>
      <c r="G262" s="10">
        <v>78</v>
      </c>
      <c r="H262" s="1" t="s">
        <v>39</v>
      </c>
    </row>
    <row r="263" spans="1:8" ht="15.75" customHeight="1" x14ac:dyDescent="0.3">
      <c r="A263" s="10">
        <v>10262</v>
      </c>
      <c r="B263" s="10">
        <v>531</v>
      </c>
      <c r="C263" s="10">
        <v>2014</v>
      </c>
      <c r="D263" s="10">
        <v>302</v>
      </c>
      <c r="E263" s="1" t="s">
        <v>326</v>
      </c>
      <c r="F263" s="1" t="s">
        <v>292</v>
      </c>
      <c r="G263" s="10">
        <v>44</v>
      </c>
      <c r="H263" s="1" t="s">
        <v>42</v>
      </c>
    </row>
    <row r="264" spans="1:8" ht="15.75" customHeight="1" x14ac:dyDescent="0.3">
      <c r="A264" s="10">
        <v>10263</v>
      </c>
      <c r="B264" s="10">
        <v>707</v>
      </c>
      <c r="C264" s="10">
        <v>2082</v>
      </c>
      <c r="D264" s="10">
        <v>302</v>
      </c>
      <c r="E264" s="1" t="s">
        <v>98</v>
      </c>
      <c r="F264" s="1" t="s">
        <v>245</v>
      </c>
      <c r="G264" s="10">
        <v>85</v>
      </c>
      <c r="H264" s="1" t="s">
        <v>36</v>
      </c>
    </row>
    <row r="265" spans="1:8" ht="15.75" customHeight="1" x14ac:dyDescent="0.3">
      <c r="A265" s="10">
        <v>10264</v>
      </c>
      <c r="B265" s="10">
        <v>712</v>
      </c>
      <c r="C265" s="10">
        <v>2011</v>
      </c>
      <c r="D265" s="10">
        <v>308</v>
      </c>
      <c r="E265" s="1" t="s">
        <v>327</v>
      </c>
      <c r="F265" s="1" t="s">
        <v>169</v>
      </c>
      <c r="G265" s="10">
        <v>81</v>
      </c>
      <c r="H265" s="1" t="s">
        <v>36</v>
      </c>
    </row>
    <row r="266" spans="1:8" ht="15.75" customHeight="1" x14ac:dyDescent="0.3">
      <c r="A266" s="10">
        <v>10265</v>
      </c>
      <c r="B266" s="10">
        <v>818</v>
      </c>
      <c r="C266" s="10">
        <v>2068</v>
      </c>
      <c r="D266" s="10">
        <v>319</v>
      </c>
      <c r="E266" s="1" t="s">
        <v>75</v>
      </c>
      <c r="F266" s="1" t="s">
        <v>279</v>
      </c>
      <c r="G266" s="10">
        <v>80</v>
      </c>
      <c r="H266" s="1" t="s">
        <v>36</v>
      </c>
    </row>
    <row r="267" spans="1:8" ht="15.75" customHeight="1" x14ac:dyDescent="0.3">
      <c r="A267" s="10">
        <v>10266</v>
      </c>
      <c r="B267" s="10">
        <v>871</v>
      </c>
      <c r="C267" s="10">
        <v>2042</v>
      </c>
      <c r="D267" s="10">
        <v>318</v>
      </c>
      <c r="E267" s="1" t="s">
        <v>35</v>
      </c>
      <c r="F267" s="1" t="s">
        <v>190</v>
      </c>
      <c r="G267" s="10">
        <v>51</v>
      </c>
      <c r="H267" s="1" t="s">
        <v>39</v>
      </c>
    </row>
    <row r="268" spans="1:8" ht="15.75" customHeight="1" x14ac:dyDescent="0.3">
      <c r="A268" s="10">
        <v>10267</v>
      </c>
      <c r="B268" s="10">
        <v>508</v>
      </c>
      <c r="C268" s="10">
        <v>2020</v>
      </c>
      <c r="D268" s="10">
        <v>301</v>
      </c>
      <c r="E268" s="1" t="s">
        <v>229</v>
      </c>
      <c r="F268" s="1" t="s">
        <v>312</v>
      </c>
      <c r="G268" s="10">
        <v>6</v>
      </c>
      <c r="H268" s="1" t="s">
        <v>42</v>
      </c>
    </row>
    <row r="269" spans="1:8" ht="15.75" customHeight="1" x14ac:dyDescent="0.3">
      <c r="A269" s="10">
        <v>10268</v>
      </c>
      <c r="B269" s="10">
        <v>888</v>
      </c>
      <c r="C269" s="10">
        <v>2075</v>
      </c>
      <c r="D269" s="10">
        <v>305</v>
      </c>
      <c r="E269" s="1" t="s">
        <v>208</v>
      </c>
      <c r="F269" s="1" t="s">
        <v>312</v>
      </c>
      <c r="G269" s="10">
        <v>30</v>
      </c>
      <c r="H269" s="1" t="s">
        <v>78</v>
      </c>
    </row>
    <row r="270" spans="1:8" ht="15.75" customHeight="1" x14ac:dyDescent="0.3">
      <c r="A270" s="10">
        <v>10269</v>
      </c>
      <c r="B270" s="10">
        <v>526</v>
      </c>
      <c r="C270" s="10">
        <v>2041</v>
      </c>
      <c r="D270" s="10">
        <v>312</v>
      </c>
      <c r="E270" s="1" t="s">
        <v>157</v>
      </c>
      <c r="F270" s="1" t="s">
        <v>320</v>
      </c>
      <c r="G270" s="10">
        <v>1</v>
      </c>
      <c r="H270" s="1" t="s">
        <v>42</v>
      </c>
    </row>
    <row r="271" spans="1:8" ht="15.75" customHeight="1" x14ac:dyDescent="0.3">
      <c r="A271" s="10">
        <v>10270</v>
      </c>
      <c r="B271" s="10">
        <v>682</v>
      </c>
      <c r="C271" s="10">
        <v>2037</v>
      </c>
      <c r="D271" s="10">
        <v>316</v>
      </c>
      <c r="E271" s="1" t="s">
        <v>73</v>
      </c>
      <c r="F271" s="1" t="s">
        <v>247</v>
      </c>
      <c r="G271" s="10">
        <v>59</v>
      </c>
      <c r="H271" s="1" t="s">
        <v>36</v>
      </c>
    </row>
    <row r="272" spans="1:8" ht="15.75" customHeight="1" x14ac:dyDescent="0.3">
      <c r="A272" s="10">
        <v>10271</v>
      </c>
      <c r="B272" s="10">
        <v>677</v>
      </c>
      <c r="C272" s="10">
        <v>2016</v>
      </c>
      <c r="D272" s="10">
        <v>305</v>
      </c>
      <c r="E272" s="1" t="s">
        <v>275</v>
      </c>
      <c r="F272" s="1" t="s">
        <v>138</v>
      </c>
      <c r="G272" s="10">
        <v>69</v>
      </c>
      <c r="H272" s="1" t="s">
        <v>36</v>
      </c>
    </row>
    <row r="273" spans="1:8" ht="15.75" customHeight="1" x14ac:dyDescent="0.3">
      <c r="A273" s="10">
        <v>10272</v>
      </c>
      <c r="B273" s="10">
        <v>552</v>
      </c>
      <c r="C273" s="10">
        <v>2074</v>
      </c>
      <c r="D273" s="10">
        <v>315</v>
      </c>
      <c r="E273" s="1" t="s">
        <v>87</v>
      </c>
      <c r="F273" s="1" t="s">
        <v>304</v>
      </c>
      <c r="G273" s="10">
        <v>97</v>
      </c>
      <c r="H273" s="1" t="s">
        <v>42</v>
      </c>
    </row>
    <row r="274" spans="1:8" ht="15.75" customHeight="1" x14ac:dyDescent="0.3">
      <c r="A274" s="10">
        <v>10273</v>
      </c>
      <c r="B274" s="10">
        <v>510</v>
      </c>
      <c r="C274" s="10">
        <v>2001</v>
      </c>
      <c r="D274" s="10">
        <v>302</v>
      </c>
      <c r="E274" s="1" t="s">
        <v>73</v>
      </c>
      <c r="F274" s="1" t="s">
        <v>229</v>
      </c>
      <c r="G274" s="10">
        <v>77</v>
      </c>
      <c r="H274" s="1" t="s">
        <v>78</v>
      </c>
    </row>
    <row r="275" spans="1:8" ht="15.75" customHeight="1" x14ac:dyDescent="0.3">
      <c r="A275" s="10">
        <v>10274</v>
      </c>
      <c r="B275" s="10">
        <v>644</v>
      </c>
      <c r="C275" s="10">
        <v>2080</v>
      </c>
      <c r="D275" s="10">
        <v>319</v>
      </c>
      <c r="E275" s="1" t="s">
        <v>145</v>
      </c>
      <c r="F275" s="1" t="s">
        <v>146</v>
      </c>
      <c r="G275" s="10">
        <v>54</v>
      </c>
      <c r="H275" s="1" t="s">
        <v>36</v>
      </c>
    </row>
    <row r="276" spans="1:8" ht="15.75" customHeight="1" x14ac:dyDescent="0.3">
      <c r="A276" s="10">
        <v>10275</v>
      </c>
      <c r="B276" s="10">
        <v>695</v>
      </c>
      <c r="C276" s="10">
        <v>2041</v>
      </c>
      <c r="D276" s="10">
        <v>310</v>
      </c>
      <c r="E276" s="1" t="s">
        <v>46</v>
      </c>
      <c r="F276" s="1" t="s">
        <v>167</v>
      </c>
      <c r="G276" s="10">
        <v>15</v>
      </c>
      <c r="H276" s="1" t="s">
        <v>39</v>
      </c>
    </row>
    <row r="277" spans="1:8" ht="15.75" customHeight="1" x14ac:dyDescent="0.3">
      <c r="A277" s="10">
        <v>10276</v>
      </c>
      <c r="B277" s="10">
        <v>591</v>
      </c>
      <c r="C277" s="10">
        <v>2056</v>
      </c>
      <c r="D277" s="10">
        <v>307</v>
      </c>
      <c r="E277" s="1" t="s">
        <v>264</v>
      </c>
      <c r="F277" s="1" t="s">
        <v>122</v>
      </c>
      <c r="G277" s="10">
        <v>89</v>
      </c>
      <c r="H277" s="1" t="s">
        <v>78</v>
      </c>
    </row>
    <row r="278" spans="1:8" ht="15.75" customHeight="1" x14ac:dyDescent="0.3">
      <c r="A278" s="10">
        <v>10277</v>
      </c>
      <c r="B278" s="10">
        <v>648</v>
      </c>
      <c r="C278" s="10">
        <v>2022</v>
      </c>
      <c r="D278" s="10">
        <v>314</v>
      </c>
      <c r="E278" s="1" t="s">
        <v>212</v>
      </c>
      <c r="F278" s="1" t="s">
        <v>328</v>
      </c>
      <c r="G278" s="10">
        <v>53</v>
      </c>
      <c r="H278" s="1" t="s">
        <v>78</v>
      </c>
    </row>
    <row r="279" spans="1:8" ht="15.75" customHeight="1" x14ac:dyDescent="0.3">
      <c r="A279" s="10">
        <v>10278</v>
      </c>
      <c r="B279" s="10">
        <v>633</v>
      </c>
      <c r="C279" s="10">
        <v>2055</v>
      </c>
      <c r="D279" s="10">
        <v>308</v>
      </c>
      <c r="E279" s="1" t="s">
        <v>260</v>
      </c>
      <c r="F279" s="1" t="s">
        <v>208</v>
      </c>
      <c r="G279" s="10">
        <v>61</v>
      </c>
      <c r="H279" s="1" t="s">
        <v>78</v>
      </c>
    </row>
    <row r="280" spans="1:8" ht="15.75" customHeight="1" x14ac:dyDescent="0.3">
      <c r="A280" s="10">
        <v>10279</v>
      </c>
      <c r="B280" s="10">
        <v>747</v>
      </c>
      <c r="C280" s="10">
        <v>2096</v>
      </c>
      <c r="D280" s="10">
        <v>305</v>
      </c>
      <c r="E280" s="1" t="s">
        <v>329</v>
      </c>
      <c r="F280" s="1" t="s">
        <v>177</v>
      </c>
      <c r="G280" s="10">
        <v>45</v>
      </c>
      <c r="H280" s="1" t="s">
        <v>36</v>
      </c>
    </row>
    <row r="281" spans="1:8" ht="15.75" customHeight="1" x14ac:dyDescent="0.3">
      <c r="A281" s="10">
        <v>10280</v>
      </c>
      <c r="B281" s="10">
        <v>617</v>
      </c>
      <c r="C281" s="10">
        <v>2072</v>
      </c>
      <c r="D281" s="10">
        <v>308</v>
      </c>
      <c r="E281" s="1" t="s">
        <v>235</v>
      </c>
      <c r="F281" s="1" t="s">
        <v>288</v>
      </c>
      <c r="G281" s="10">
        <v>73</v>
      </c>
      <c r="H281" s="1" t="s">
        <v>39</v>
      </c>
    </row>
    <row r="282" spans="1:8" ht="15.75" customHeight="1" x14ac:dyDescent="0.3">
      <c r="A282" s="10">
        <v>10281</v>
      </c>
      <c r="B282" s="10">
        <v>513</v>
      </c>
      <c r="C282" s="10">
        <v>2049</v>
      </c>
      <c r="D282" s="10">
        <v>317</v>
      </c>
      <c r="E282" s="1" t="s">
        <v>115</v>
      </c>
      <c r="F282" s="1" t="s">
        <v>305</v>
      </c>
      <c r="G282" s="10">
        <v>8</v>
      </c>
      <c r="H282" s="1" t="s">
        <v>39</v>
      </c>
    </row>
    <row r="283" spans="1:8" ht="15.75" customHeight="1" x14ac:dyDescent="0.3">
      <c r="A283" s="10">
        <v>10282</v>
      </c>
      <c r="B283" s="10">
        <v>837</v>
      </c>
      <c r="C283" s="10">
        <v>2020</v>
      </c>
      <c r="D283" s="10">
        <v>304</v>
      </c>
      <c r="E283" s="1" t="s">
        <v>99</v>
      </c>
      <c r="F283" s="1" t="s">
        <v>174</v>
      </c>
      <c r="G283" s="10">
        <v>87</v>
      </c>
      <c r="H283" s="1" t="s">
        <v>78</v>
      </c>
    </row>
    <row r="284" spans="1:8" ht="15.75" customHeight="1" x14ac:dyDescent="0.3">
      <c r="A284" s="10">
        <v>10283</v>
      </c>
      <c r="B284" s="10">
        <v>849</v>
      </c>
      <c r="C284" s="10">
        <v>2065</v>
      </c>
      <c r="D284" s="10">
        <v>301</v>
      </c>
      <c r="E284" s="1" t="s">
        <v>177</v>
      </c>
      <c r="F284" s="1" t="s">
        <v>330</v>
      </c>
      <c r="G284" s="10">
        <v>30</v>
      </c>
      <c r="H284" s="1" t="s">
        <v>39</v>
      </c>
    </row>
    <row r="285" spans="1:8" ht="15.75" customHeight="1" x14ac:dyDescent="0.3">
      <c r="A285" s="10">
        <v>10284</v>
      </c>
      <c r="B285" s="10">
        <v>865</v>
      </c>
      <c r="C285" s="10">
        <v>2043</v>
      </c>
      <c r="D285" s="10">
        <v>320</v>
      </c>
      <c r="E285" s="1" t="s">
        <v>311</v>
      </c>
      <c r="F285" s="1" t="s">
        <v>61</v>
      </c>
      <c r="G285" s="10">
        <v>46</v>
      </c>
      <c r="H285" s="1" t="s">
        <v>36</v>
      </c>
    </row>
    <row r="286" spans="1:8" ht="15.75" customHeight="1" x14ac:dyDescent="0.3">
      <c r="A286" s="10">
        <v>10285</v>
      </c>
      <c r="B286" s="10">
        <v>601</v>
      </c>
      <c r="C286" s="10">
        <v>2009</v>
      </c>
      <c r="D286" s="10">
        <v>316</v>
      </c>
      <c r="E286" s="1" t="s">
        <v>258</v>
      </c>
      <c r="F286" s="1" t="s">
        <v>141</v>
      </c>
      <c r="G286" s="10">
        <v>4</v>
      </c>
      <c r="H286" s="1" t="s">
        <v>36</v>
      </c>
    </row>
    <row r="287" spans="1:8" ht="15.75" customHeight="1" x14ac:dyDescent="0.3">
      <c r="A287" s="10">
        <v>10286</v>
      </c>
      <c r="B287" s="10">
        <v>654</v>
      </c>
      <c r="C287" s="10">
        <v>2064</v>
      </c>
      <c r="D287" s="10">
        <v>307</v>
      </c>
      <c r="E287" s="1" t="s">
        <v>331</v>
      </c>
      <c r="F287" s="1" t="s">
        <v>34</v>
      </c>
      <c r="G287" s="10">
        <v>55</v>
      </c>
      <c r="H287" s="1" t="s">
        <v>39</v>
      </c>
    </row>
    <row r="288" spans="1:8" ht="15.75" customHeight="1" x14ac:dyDescent="0.3">
      <c r="A288" s="10">
        <v>10287</v>
      </c>
      <c r="B288" s="10">
        <v>837</v>
      </c>
      <c r="C288" s="10">
        <v>2059</v>
      </c>
      <c r="D288" s="10">
        <v>320</v>
      </c>
      <c r="E288" s="1" t="s">
        <v>243</v>
      </c>
      <c r="F288" s="1" t="s">
        <v>228</v>
      </c>
      <c r="G288" s="10">
        <v>17</v>
      </c>
      <c r="H288" s="1" t="s">
        <v>36</v>
      </c>
    </row>
    <row r="289" spans="1:8" ht="15.75" customHeight="1" x14ac:dyDescent="0.3">
      <c r="A289" s="10">
        <v>10288</v>
      </c>
      <c r="B289" s="10">
        <v>767</v>
      </c>
      <c r="C289" s="10">
        <v>2090</v>
      </c>
      <c r="D289" s="10">
        <v>304</v>
      </c>
      <c r="E289" s="1" t="s">
        <v>71</v>
      </c>
      <c r="F289" s="1" t="s">
        <v>135</v>
      </c>
      <c r="G289" s="10">
        <v>88</v>
      </c>
      <c r="H289" s="1" t="s">
        <v>39</v>
      </c>
    </row>
    <row r="290" spans="1:8" ht="15.75" customHeight="1" x14ac:dyDescent="0.3">
      <c r="A290" s="10">
        <v>10289</v>
      </c>
      <c r="B290" s="10">
        <v>788</v>
      </c>
      <c r="C290" s="10">
        <v>2023</v>
      </c>
      <c r="D290" s="10">
        <v>304</v>
      </c>
      <c r="E290" s="1" t="s">
        <v>332</v>
      </c>
      <c r="F290" s="1" t="s">
        <v>130</v>
      </c>
      <c r="G290" s="10">
        <v>59</v>
      </c>
      <c r="H290" s="1" t="s">
        <v>42</v>
      </c>
    </row>
    <row r="291" spans="1:8" ht="15.75" customHeight="1" x14ac:dyDescent="0.3">
      <c r="A291" s="10">
        <v>10290</v>
      </c>
      <c r="B291" s="10">
        <v>774</v>
      </c>
      <c r="C291" s="10">
        <v>2048</v>
      </c>
      <c r="D291" s="10">
        <v>316</v>
      </c>
      <c r="E291" s="1" t="s">
        <v>177</v>
      </c>
      <c r="F291" s="1" t="s">
        <v>192</v>
      </c>
      <c r="G291" s="10">
        <v>58</v>
      </c>
      <c r="H291" s="1" t="s">
        <v>42</v>
      </c>
    </row>
    <row r="292" spans="1:8" ht="15.75" customHeight="1" x14ac:dyDescent="0.3">
      <c r="A292" s="10">
        <v>10291</v>
      </c>
      <c r="B292" s="10">
        <v>685</v>
      </c>
      <c r="C292" s="10">
        <v>2062</v>
      </c>
      <c r="D292" s="10">
        <v>312</v>
      </c>
      <c r="E292" s="1" t="s">
        <v>208</v>
      </c>
      <c r="F292" s="1" t="s">
        <v>246</v>
      </c>
      <c r="G292" s="10">
        <v>39</v>
      </c>
      <c r="H292" s="1" t="s">
        <v>39</v>
      </c>
    </row>
    <row r="293" spans="1:8" ht="15.75" customHeight="1" x14ac:dyDescent="0.3">
      <c r="A293" s="10">
        <v>10292</v>
      </c>
      <c r="B293" s="10">
        <v>636</v>
      </c>
      <c r="C293" s="10">
        <v>2040</v>
      </c>
      <c r="D293" s="10">
        <v>308</v>
      </c>
      <c r="E293" s="1" t="s">
        <v>50</v>
      </c>
      <c r="F293" s="1" t="s">
        <v>333</v>
      </c>
      <c r="G293" s="10">
        <v>74</v>
      </c>
      <c r="H293" s="1" t="s">
        <v>36</v>
      </c>
    </row>
    <row r="294" spans="1:8" ht="15.75" customHeight="1" x14ac:dyDescent="0.3">
      <c r="A294" s="10">
        <v>10293</v>
      </c>
      <c r="B294" s="10">
        <v>662</v>
      </c>
      <c r="C294" s="10">
        <v>2081</v>
      </c>
      <c r="D294" s="10">
        <v>310</v>
      </c>
      <c r="E294" s="1" t="s">
        <v>232</v>
      </c>
      <c r="F294" s="1" t="s">
        <v>300</v>
      </c>
      <c r="G294" s="10">
        <v>70</v>
      </c>
      <c r="H294" s="1" t="s">
        <v>39</v>
      </c>
    </row>
    <row r="295" spans="1:8" ht="15.75" customHeight="1" x14ac:dyDescent="0.3">
      <c r="A295" s="10">
        <v>10294</v>
      </c>
      <c r="B295" s="10">
        <v>577</v>
      </c>
      <c r="C295" s="10">
        <v>2069</v>
      </c>
      <c r="D295" s="10">
        <v>306</v>
      </c>
      <c r="E295" s="1" t="s">
        <v>297</v>
      </c>
      <c r="F295" s="1" t="s">
        <v>334</v>
      </c>
      <c r="G295" s="10">
        <v>16</v>
      </c>
      <c r="H295" s="1" t="s">
        <v>42</v>
      </c>
    </row>
    <row r="296" spans="1:8" ht="15.75" customHeight="1" x14ac:dyDescent="0.3">
      <c r="A296" s="10">
        <v>10295</v>
      </c>
      <c r="B296" s="10">
        <v>704</v>
      </c>
      <c r="C296" s="10">
        <v>2091</v>
      </c>
      <c r="D296" s="10">
        <v>305</v>
      </c>
      <c r="E296" s="1" t="s">
        <v>313</v>
      </c>
      <c r="F296" s="1" t="s">
        <v>267</v>
      </c>
      <c r="G296" s="10">
        <v>70</v>
      </c>
      <c r="H296" s="1" t="s">
        <v>39</v>
      </c>
    </row>
    <row r="297" spans="1:8" ht="15.75" customHeight="1" x14ac:dyDescent="0.3">
      <c r="A297" s="10">
        <v>10296</v>
      </c>
      <c r="B297" s="10">
        <v>673</v>
      </c>
      <c r="C297" s="10">
        <v>2043</v>
      </c>
      <c r="D297" s="10">
        <v>309</v>
      </c>
      <c r="E297" s="1" t="s">
        <v>195</v>
      </c>
      <c r="F297" s="1" t="s">
        <v>335</v>
      </c>
      <c r="G297" s="10">
        <v>63</v>
      </c>
      <c r="H297" s="1" t="s">
        <v>36</v>
      </c>
    </row>
    <row r="298" spans="1:8" ht="15.75" customHeight="1" x14ac:dyDescent="0.3">
      <c r="A298" s="10">
        <v>10297</v>
      </c>
      <c r="B298" s="10">
        <v>701</v>
      </c>
      <c r="C298" s="10">
        <v>2037</v>
      </c>
      <c r="D298" s="10">
        <v>317</v>
      </c>
      <c r="E298" s="1" t="s">
        <v>161</v>
      </c>
      <c r="F298" s="1" t="s">
        <v>80</v>
      </c>
      <c r="G298" s="10">
        <v>1</v>
      </c>
      <c r="H298" s="1" t="s">
        <v>78</v>
      </c>
    </row>
    <row r="299" spans="1:8" ht="15.75" customHeight="1" x14ac:dyDescent="0.3">
      <c r="A299" s="10">
        <v>10298</v>
      </c>
      <c r="B299" s="10">
        <v>646</v>
      </c>
      <c r="C299" s="10">
        <v>2096</v>
      </c>
      <c r="D299" s="10">
        <v>308</v>
      </c>
      <c r="E299" s="1" t="s">
        <v>293</v>
      </c>
      <c r="F299" s="1" t="s">
        <v>101</v>
      </c>
      <c r="G299" s="10">
        <v>87</v>
      </c>
      <c r="H299" s="1" t="s">
        <v>42</v>
      </c>
    </row>
    <row r="300" spans="1:8" ht="15.75" customHeight="1" x14ac:dyDescent="0.3">
      <c r="A300" s="10">
        <v>10299</v>
      </c>
      <c r="B300" s="10">
        <v>607</v>
      </c>
      <c r="C300" s="10">
        <v>2059</v>
      </c>
      <c r="D300" s="10">
        <v>315</v>
      </c>
      <c r="E300" s="1" t="s">
        <v>53</v>
      </c>
      <c r="F300" s="1" t="s">
        <v>45</v>
      </c>
      <c r="G300" s="10">
        <v>44</v>
      </c>
      <c r="H300" s="1" t="s">
        <v>36</v>
      </c>
    </row>
    <row r="301" spans="1:8" ht="15.75" customHeight="1" x14ac:dyDescent="0.3">
      <c r="A301" s="10">
        <v>10300</v>
      </c>
      <c r="B301" s="10">
        <v>821</v>
      </c>
      <c r="C301" s="10">
        <v>2058</v>
      </c>
      <c r="D301" s="10">
        <v>319</v>
      </c>
      <c r="E301" s="1" t="s">
        <v>336</v>
      </c>
      <c r="F301" s="1" t="s">
        <v>201</v>
      </c>
      <c r="G301" s="10">
        <v>53</v>
      </c>
      <c r="H301" s="1" t="s">
        <v>39</v>
      </c>
    </row>
    <row r="302" spans="1:8" ht="15.75" customHeight="1" x14ac:dyDescent="0.3">
      <c r="A302" s="10">
        <v>10301</v>
      </c>
      <c r="B302" s="10">
        <v>791</v>
      </c>
      <c r="C302" s="10">
        <v>2045</v>
      </c>
      <c r="D302" s="10">
        <v>317</v>
      </c>
      <c r="E302" s="1" t="s">
        <v>145</v>
      </c>
      <c r="F302" s="1" t="s">
        <v>288</v>
      </c>
      <c r="G302" s="10">
        <v>55</v>
      </c>
      <c r="H302" s="1" t="s">
        <v>78</v>
      </c>
    </row>
    <row r="303" spans="1:8" ht="15.75" customHeight="1" x14ac:dyDescent="0.3">
      <c r="A303" s="10">
        <v>10302</v>
      </c>
      <c r="B303" s="10">
        <v>624</v>
      </c>
      <c r="C303" s="10">
        <v>2078</v>
      </c>
      <c r="D303" s="10">
        <v>304</v>
      </c>
      <c r="E303" s="1" t="s">
        <v>45</v>
      </c>
      <c r="F303" s="1" t="s">
        <v>337</v>
      </c>
      <c r="G303" s="10">
        <v>43</v>
      </c>
      <c r="H303" s="1" t="s">
        <v>42</v>
      </c>
    </row>
    <row r="304" spans="1:8" ht="15.75" customHeight="1" x14ac:dyDescent="0.3">
      <c r="A304" s="10">
        <v>10303</v>
      </c>
      <c r="B304" s="10">
        <v>825</v>
      </c>
      <c r="C304" s="10">
        <v>2085</v>
      </c>
      <c r="D304" s="10">
        <v>309</v>
      </c>
      <c r="E304" s="1" t="s">
        <v>292</v>
      </c>
      <c r="F304" s="1" t="s">
        <v>225</v>
      </c>
      <c r="G304" s="10">
        <v>87</v>
      </c>
      <c r="H304" s="1" t="s">
        <v>78</v>
      </c>
    </row>
    <row r="305" spans="1:8" ht="15.75" customHeight="1" x14ac:dyDescent="0.3">
      <c r="A305" s="10">
        <v>10304</v>
      </c>
      <c r="B305" s="10">
        <v>741</v>
      </c>
      <c r="C305" s="10">
        <v>2064</v>
      </c>
      <c r="D305" s="10">
        <v>308</v>
      </c>
      <c r="E305" s="1" t="s">
        <v>230</v>
      </c>
      <c r="F305" s="1" t="s">
        <v>37</v>
      </c>
      <c r="G305" s="10">
        <v>14</v>
      </c>
      <c r="H305" s="1" t="s">
        <v>39</v>
      </c>
    </row>
    <row r="306" spans="1:8" ht="15.75" customHeight="1" x14ac:dyDescent="0.3">
      <c r="A306" s="10">
        <v>10305</v>
      </c>
      <c r="B306" s="10">
        <v>558</v>
      </c>
      <c r="C306" s="10">
        <v>2049</v>
      </c>
      <c r="D306" s="10">
        <v>313</v>
      </c>
      <c r="E306" s="1" t="s">
        <v>338</v>
      </c>
      <c r="F306" s="1" t="s">
        <v>339</v>
      </c>
      <c r="G306" s="10">
        <v>39</v>
      </c>
      <c r="H306" s="1" t="s">
        <v>36</v>
      </c>
    </row>
    <row r="307" spans="1:8" ht="15.75" customHeight="1" x14ac:dyDescent="0.3">
      <c r="A307" s="10">
        <v>10306</v>
      </c>
      <c r="B307" s="10">
        <v>890</v>
      </c>
      <c r="C307" s="10">
        <v>2013</v>
      </c>
      <c r="D307" s="10">
        <v>303</v>
      </c>
      <c r="E307" s="1" t="s">
        <v>330</v>
      </c>
      <c r="F307" s="1" t="s">
        <v>192</v>
      </c>
      <c r="G307" s="10">
        <v>36</v>
      </c>
      <c r="H307" s="1" t="s">
        <v>39</v>
      </c>
    </row>
    <row r="308" spans="1:8" ht="15.75" customHeight="1" x14ac:dyDescent="0.3">
      <c r="A308" s="10">
        <v>10307</v>
      </c>
      <c r="B308" s="10">
        <v>585</v>
      </c>
      <c r="C308" s="10">
        <v>2023</v>
      </c>
      <c r="D308" s="10">
        <v>306</v>
      </c>
      <c r="E308" s="1" t="s">
        <v>263</v>
      </c>
      <c r="F308" s="1" t="s">
        <v>59</v>
      </c>
      <c r="G308" s="10">
        <v>59</v>
      </c>
      <c r="H308" s="1" t="s">
        <v>78</v>
      </c>
    </row>
    <row r="309" spans="1:8" ht="15.75" customHeight="1" x14ac:dyDescent="0.3">
      <c r="A309" s="10">
        <v>10308</v>
      </c>
      <c r="B309" s="10">
        <v>595</v>
      </c>
      <c r="C309" s="10">
        <v>2012</v>
      </c>
      <c r="D309" s="10">
        <v>302</v>
      </c>
      <c r="E309" s="1" t="s">
        <v>302</v>
      </c>
      <c r="F309" s="1" t="s">
        <v>65</v>
      </c>
      <c r="G309" s="10">
        <v>71</v>
      </c>
      <c r="H309" s="1" t="s">
        <v>39</v>
      </c>
    </row>
    <row r="310" spans="1:8" ht="15.75" customHeight="1" x14ac:dyDescent="0.3">
      <c r="A310" s="10">
        <v>10309</v>
      </c>
      <c r="B310" s="10">
        <v>701</v>
      </c>
      <c r="C310" s="10">
        <v>2043</v>
      </c>
      <c r="D310" s="10">
        <v>308</v>
      </c>
      <c r="E310" s="1" t="s">
        <v>210</v>
      </c>
      <c r="F310" s="1" t="s">
        <v>340</v>
      </c>
      <c r="G310" s="10">
        <v>52</v>
      </c>
      <c r="H310" s="1" t="s">
        <v>36</v>
      </c>
    </row>
    <row r="311" spans="1:8" ht="15.75" customHeight="1" x14ac:dyDescent="0.3">
      <c r="A311" s="10">
        <v>10310</v>
      </c>
      <c r="B311" s="10">
        <v>618</v>
      </c>
      <c r="C311" s="10">
        <v>2045</v>
      </c>
      <c r="D311" s="10">
        <v>316</v>
      </c>
      <c r="E311" s="1" t="s">
        <v>287</v>
      </c>
      <c r="F311" s="1" t="s">
        <v>141</v>
      </c>
      <c r="G311" s="10">
        <v>45</v>
      </c>
      <c r="H311" s="1" t="s">
        <v>78</v>
      </c>
    </row>
    <row r="312" spans="1:8" ht="15.75" customHeight="1" x14ac:dyDescent="0.3">
      <c r="A312" s="10">
        <v>10311</v>
      </c>
      <c r="B312" s="10">
        <v>677</v>
      </c>
      <c r="C312" s="10">
        <v>2047</v>
      </c>
      <c r="D312" s="10">
        <v>304</v>
      </c>
      <c r="E312" s="1" t="s">
        <v>231</v>
      </c>
      <c r="F312" s="1" t="s">
        <v>35</v>
      </c>
      <c r="G312" s="10">
        <v>71</v>
      </c>
      <c r="H312" s="1" t="s">
        <v>39</v>
      </c>
    </row>
    <row r="313" spans="1:8" ht="15.75" customHeight="1" x14ac:dyDescent="0.3">
      <c r="A313" s="10">
        <v>10312</v>
      </c>
      <c r="B313" s="10">
        <v>578</v>
      </c>
      <c r="C313" s="10">
        <v>2028</v>
      </c>
      <c r="D313" s="10">
        <v>308</v>
      </c>
      <c r="E313" s="1" t="s">
        <v>341</v>
      </c>
      <c r="F313" s="1" t="s">
        <v>121</v>
      </c>
      <c r="G313" s="10">
        <v>86</v>
      </c>
      <c r="H313" s="1" t="s">
        <v>36</v>
      </c>
    </row>
    <row r="314" spans="1:8" ht="15.75" customHeight="1" x14ac:dyDescent="0.3">
      <c r="A314" s="10">
        <v>10313</v>
      </c>
      <c r="B314" s="10">
        <v>801</v>
      </c>
      <c r="C314" s="10">
        <v>2097</v>
      </c>
      <c r="D314" s="10">
        <v>320</v>
      </c>
      <c r="E314" s="1" t="s">
        <v>211</v>
      </c>
      <c r="F314" s="1" t="s">
        <v>212</v>
      </c>
      <c r="G314" s="10">
        <v>23</v>
      </c>
      <c r="H314" s="1" t="s">
        <v>39</v>
      </c>
    </row>
    <row r="315" spans="1:8" ht="15.75" customHeight="1" x14ac:dyDescent="0.3">
      <c r="A315" s="10">
        <v>10314</v>
      </c>
      <c r="B315" s="10">
        <v>571</v>
      </c>
      <c r="C315" s="10">
        <v>2039</v>
      </c>
      <c r="D315" s="10">
        <v>306</v>
      </c>
      <c r="E315" s="1" t="s">
        <v>164</v>
      </c>
      <c r="F315" s="1" t="s">
        <v>66</v>
      </c>
      <c r="G315" s="10">
        <v>83</v>
      </c>
      <c r="H315" s="1" t="s">
        <v>36</v>
      </c>
    </row>
    <row r="316" spans="1:8" ht="15.75" customHeight="1" x14ac:dyDescent="0.3">
      <c r="A316" s="10">
        <v>10315</v>
      </c>
      <c r="B316" s="10">
        <v>609</v>
      </c>
      <c r="C316" s="10">
        <v>2010</v>
      </c>
      <c r="D316" s="10">
        <v>313</v>
      </c>
      <c r="E316" s="1" t="s">
        <v>70</v>
      </c>
      <c r="F316" s="1" t="s">
        <v>248</v>
      </c>
      <c r="G316" s="10">
        <v>80</v>
      </c>
      <c r="H316" s="1" t="s">
        <v>42</v>
      </c>
    </row>
    <row r="317" spans="1:8" ht="15.75" customHeight="1" x14ac:dyDescent="0.3">
      <c r="A317" s="10">
        <v>10316</v>
      </c>
      <c r="B317" s="10">
        <v>781</v>
      </c>
      <c r="C317" s="10">
        <v>2092</v>
      </c>
      <c r="D317" s="10">
        <v>301</v>
      </c>
      <c r="E317" s="1" t="s">
        <v>269</v>
      </c>
      <c r="F317" s="1" t="s">
        <v>342</v>
      </c>
      <c r="G317" s="10">
        <v>96</v>
      </c>
      <c r="H317" s="1" t="s">
        <v>36</v>
      </c>
    </row>
    <row r="318" spans="1:8" ht="15.75" customHeight="1" x14ac:dyDescent="0.3">
      <c r="A318" s="10">
        <v>10317</v>
      </c>
      <c r="B318" s="10">
        <v>654</v>
      </c>
      <c r="C318" s="10">
        <v>2088</v>
      </c>
      <c r="D318" s="10">
        <v>308</v>
      </c>
      <c r="E318" s="1" t="s">
        <v>113</v>
      </c>
      <c r="F318" s="1" t="s">
        <v>175</v>
      </c>
      <c r="G318" s="10">
        <v>46</v>
      </c>
      <c r="H318" s="1" t="s">
        <v>36</v>
      </c>
    </row>
    <row r="319" spans="1:8" ht="15.75" customHeight="1" x14ac:dyDescent="0.3">
      <c r="A319" s="10">
        <v>10318</v>
      </c>
      <c r="B319" s="10">
        <v>851</v>
      </c>
      <c r="C319" s="10">
        <v>2090</v>
      </c>
      <c r="D319" s="10">
        <v>311</v>
      </c>
      <c r="E319" s="1" t="s">
        <v>174</v>
      </c>
      <c r="F319" s="1" t="s">
        <v>117</v>
      </c>
      <c r="G319" s="10">
        <v>31</v>
      </c>
      <c r="H319" s="1" t="s">
        <v>36</v>
      </c>
    </row>
    <row r="320" spans="1:8" ht="15.75" customHeight="1" x14ac:dyDescent="0.3">
      <c r="A320" s="10">
        <v>10319</v>
      </c>
      <c r="B320" s="10">
        <v>746</v>
      </c>
      <c r="C320" s="10">
        <v>2042</v>
      </c>
      <c r="D320" s="10">
        <v>315</v>
      </c>
      <c r="E320" s="1" t="s">
        <v>300</v>
      </c>
      <c r="F320" s="1" t="s">
        <v>343</v>
      </c>
      <c r="G320" s="10">
        <v>35</v>
      </c>
      <c r="H320" s="1" t="s">
        <v>39</v>
      </c>
    </row>
    <row r="321" spans="1:8" ht="15.75" customHeight="1" x14ac:dyDescent="0.3">
      <c r="A321" s="10">
        <v>10320</v>
      </c>
      <c r="B321" s="10">
        <v>832</v>
      </c>
      <c r="C321" s="10">
        <v>2016</v>
      </c>
      <c r="D321" s="10">
        <v>304</v>
      </c>
      <c r="E321" s="1" t="s">
        <v>57</v>
      </c>
      <c r="F321" s="1" t="s">
        <v>189</v>
      </c>
      <c r="G321" s="10">
        <v>3</v>
      </c>
      <c r="H321" s="1" t="s">
        <v>39</v>
      </c>
    </row>
    <row r="322" spans="1:8" ht="15.75" customHeight="1" x14ac:dyDescent="0.3">
      <c r="A322" s="10">
        <v>10321</v>
      </c>
      <c r="B322" s="10">
        <v>882</v>
      </c>
      <c r="C322" s="10">
        <v>2056</v>
      </c>
      <c r="D322" s="10">
        <v>319</v>
      </c>
      <c r="E322" s="1" t="s">
        <v>344</v>
      </c>
      <c r="F322" s="1" t="s">
        <v>345</v>
      </c>
      <c r="G322" s="10">
        <v>74</v>
      </c>
      <c r="H322" s="1" t="s">
        <v>36</v>
      </c>
    </row>
    <row r="323" spans="1:8" ht="15.75" customHeight="1" x14ac:dyDescent="0.3">
      <c r="A323" s="10">
        <v>10322</v>
      </c>
      <c r="B323" s="10">
        <v>716</v>
      </c>
      <c r="C323" s="10">
        <v>2089</v>
      </c>
      <c r="D323" s="10">
        <v>316</v>
      </c>
      <c r="E323" s="1" t="s">
        <v>346</v>
      </c>
      <c r="F323" s="1" t="s">
        <v>253</v>
      </c>
      <c r="G323" s="10">
        <v>23</v>
      </c>
      <c r="H323" s="1" t="s">
        <v>36</v>
      </c>
    </row>
    <row r="324" spans="1:8" ht="15.75" customHeight="1" x14ac:dyDescent="0.3">
      <c r="A324" s="10">
        <v>10323</v>
      </c>
      <c r="B324" s="10">
        <v>884</v>
      </c>
      <c r="C324" s="10">
        <v>2087</v>
      </c>
      <c r="D324" s="10">
        <v>308</v>
      </c>
      <c r="E324" s="1" t="s">
        <v>98</v>
      </c>
      <c r="F324" s="1" t="s">
        <v>113</v>
      </c>
      <c r="G324" s="10">
        <v>63</v>
      </c>
      <c r="H324" s="1" t="s">
        <v>39</v>
      </c>
    </row>
    <row r="325" spans="1:8" ht="15.75" customHeight="1" x14ac:dyDescent="0.3">
      <c r="A325" s="10">
        <v>10324</v>
      </c>
      <c r="B325" s="10">
        <v>772</v>
      </c>
      <c r="C325" s="10">
        <v>2092</v>
      </c>
      <c r="D325" s="10">
        <v>314</v>
      </c>
      <c r="E325" s="1" t="s">
        <v>283</v>
      </c>
      <c r="F325" s="1" t="s">
        <v>155</v>
      </c>
      <c r="G325" s="10">
        <v>55</v>
      </c>
      <c r="H325" s="1" t="s">
        <v>42</v>
      </c>
    </row>
    <row r="326" spans="1:8" ht="15.75" customHeight="1" x14ac:dyDescent="0.3">
      <c r="A326" s="10">
        <v>10325</v>
      </c>
      <c r="B326" s="10">
        <v>693</v>
      </c>
      <c r="C326" s="10">
        <v>2062</v>
      </c>
      <c r="D326" s="10">
        <v>311</v>
      </c>
      <c r="E326" s="1" t="s">
        <v>81</v>
      </c>
      <c r="F326" s="1" t="s">
        <v>347</v>
      </c>
      <c r="G326" s="10">
        <v>58</v>
      </c>
      <c r="H326" s="1" t="s">
        <v>42</v>
      </c>
    </row>
    <row r="327" spans="1:8" ht="15.75" customHeight="1" x14ac:dyDescent="0.3">
      <c r="A327" s="10">
        <v>10326</v>
      </c>
      <c r="B327" s="10">
        <v>591</v>
      </c>
      <c r="C327" s="10">
        <v>2033</v>
      </c>
      <c r="D327" s="10">
        <v>303</v>
      </c>
      <c r="E327" s="1" t="s">
        <v>254</v>
      </c>
      <c r="F327" s="1" t="s">
        <v>71</v>
      </c>
      <c r="G327" s="10">
        <v>79</v>
      </c>
      <c r="H327" s="1" t="s">
        <v>39</v>
      </c>
    </row>
    <row r="328" spans="1:8" ht="15.75" customHeight="1" x14ac:dyDescent="0.3">
      <c r="A328" s="10">
        <v>10327</v>
      </c>
      <c r="B328" s="10">
        <v>736</v>
      </c>
      <c r="C328" s="10">
        <v>2053</v>
      </c>
      <c r="D328" s="10">
        <v>308</v>
      </c>
      <c r="E328" s="1" t="s">
        <v>91</v>
      </c>
      <c r="F328" s="1" t="s">
        <v>92</v>
      </c>
      <c r="G328" s="10">
        <v>85</v>
      </c>
      <c r="H328" s="1" t="s">
        <v>36</v>
      </c>
    </row>
    <row r="329" spans="1:8" ht="15.75" customHeight="1" x14ac:dyDescent="0.3">
      <c r="A329" s="10">
        <v>10328</v>
      </c>
      <c r="B329" s="10">
        <v>722</v>
      </c>
      <c r="C329" s="10">
        <v>2082</v>
      </c>
      <c r="D329" s="10">
        <v>309</v>
      </c>
      <c r="E329" s="1" t="s">
        <v>348</v>
      </c>
      <c r="F329" s="1" t="s">
        <v>180</v>
      </c>
      <c r="G329" s="10">
        <v>7</v>
      </c>
      <c r="H329" s="1" t="s">
        <v>42</v>
      </c>
    </row>
    <row r="330" spans="1:8" ht="15.75" customHeight="1" x14ac:dyDescent="0.3">
      <c r="A330" s="10">
        <v>10329</v>
      </c>
      <c r="B330" s="10">
        <v>776</v>
      </c>
      <c r="C330" s="10">
        <v>2062</v>
      </c>
      <c r="D330" s="10">
        <v>309</v>
      </c>
      <c r="E330" s="1" t="s">
        <v>45</v>
      </c>
      <c r="F330" s="1" t="s">
        <v>190</v>
      </c>
      <c r="G330" s="10">
        <v>9</v>
      </c>
      <c r="H330" s="1" t="s">
        <v>39</v>
      </c>
    </row>
    <row r="331" spans="1:8" ht="15.75" customHeight="1" x14ac:dyDescent="0.3">
      <c r="A331" s="10">
        <v>10330</v>
      </c>
      <c r="B331" s="10">
        <v>576</v>
      </c>
      <c r="C331" s="10">
        <v>2098</v>
      </c>
      <c r="D331" s="10">
        <v>320</v>
      </c>
      <c r="E331" s="1" t="s">
        <v>349</v>
      </c>
      <c r="F331" s="1" t="s">
        <v>289</v>
      </c>
      <c r="G331" s="10">
        <v>15</v>
      </c>
      <c r="H331" s="1" t="s">
        <v>36</v>
      </c>
    </row>
    <row r="332" spans="1:8" ht="15.75" customHeight="1" x14ac:dyDescent="0.3">
      <c r="A332" s="10">
        <v>10331</v>
      </c>
      <c r="B332" s="10">
        <v>684</v>
      </c>
      <c r="C332" s="10">
        <v>2044</v>
      </c>
      <c r="D332" s="10">
        <v>302</v>
      </c>
      <c r="E332" s="1" t="s">
        <v>171</v>
      </c>
      <c r="F332" s="1" t="s">
        <v>81</v>
      </c>
      <c r="G332" s="10">
        <v>59</v>
      </c>
      <c r="H332" s="1" t="s">
        <v>36</v>
      </c>
    </row>
    <row r="333" spans="1:8" ht="15.75" customHeight="1" x14ac:dyDescent="0.3">
      <c r="A333" s="10">
        <v>10332</v>
      </c>
      <c r="B333" s="10">
        <v>720</v>
      </c>
      <c r="C333" s="10">
        <v>2001</v>
      </c>
      <c r="D333" s="10">
        <v>303</v>
      </c>
      <c r="E333" s="1" t="s">
        <v>127</v>
      </c>
      <c r="F333" s="1" t="s">
        <v>343</v>
      </c>
      <c r="G333" s="10">
        <v>42</v>
      </c>
      <c r="H333" s="1" t="s">
        <v>42</v>
      </c>
    </row>
    <row r="334" spans="1:8" ht="15.75" customHeight="1" x14ac:dyDescent="0.3">
      <c r="A334" s="10">
        <v>10333</v>
      </c>
      <c r="B334" s="10">
        <v>813</v>
      </c>
      <c r="C334" s="10">
        <v>2032</v>
      </c>
      <c r="D334" s="10">
        <v>320</v>
      </c>
      <c r="E334" s="1" t="s">
        <v>346</v>
      </c>
      <c r="F334" s="1" t="s">
        <v>182</v>
      </c>
      <c r="G334" s="10">
        <v>62</v>
      </c>
      <c r="H334" s="1" t="s">
        <v>78</v>
      </c>
    </row>
    <row r="335" spans="1:8" ht="15.75" customHeight="1" x14ac:dyDescent="0.3">
      <c r="A335" s="10">
        <v>10334</v>
      </c>
      <c r="B335" s="10">
        <v>744</v>
      </c>
      <c r="C335" s="10">
        <v>2001</v>
      </c>
      <c r="D335" s="10">
        <v>320</v>
      </c>
      <c r="E335" s="1" t="s">
        <v>40</v>
      </c>
      <c r="F335" s="1" t="s">
        <v>340</v>
      </c>
      <c r="G335" s="10">
        <v>8</v>
      </c>
      <c r="H335" s="1" t="s">
        <v>78</v>
      </c>
    </row>
    <row r="336" spans="1:8" ht="15.75" customHeight="1" x14ac:dyDescent="0.3">
      <c r="A336" s="10">
        <v>10335</v>
      </c>
      <c r="B336" s="10">
        <v>605</v>
      </c>
      <c r="C336" s="10">
        <v>2037</v>
      </c>
      <c r="D336" s="10">
        <v>308</v>
      </c>
      <c r="E336" s="1" t="s">
        <v>129</v>
      </c>
      <c r="F336" s="1" t="s">
        <v>263</v>
      </c>
      <c r="G336" s="10">
        <v>55</v>
      </c>
      <c r="H336" s="1" t="s">
        <v>39</v>
      </c>
    </row>
    <row r="337" spans="1:8" ht="15.75" customHeight="1" x14ac:dyDescent="0.3">
      <c r="A337" s="10">
        <v>10336</v>
      </c>
      <c r="B337" s="10">
        <v>670</v>
      </c>
      <c r="C337" s="10">
        <v>2092</v>
      </c>
      <c r="D337" s="10">
        <v>306</v>
      </c>
      <c r="E337" s="1" t="s">
        <v>126</v>
      </c>
      <c r="F337" s="1" t="s">
        <v>117</v>
      </c>
      <c r="G337" s="10">
        <v>78</v>
      </c>
      <c r="H337" s="1" t="s">
        <v>42</v>
      </c>
    </row>
    <row r="338" spans="1:8" ht="15.75" customHeight="1" x14ac:dyDescent="0.3">
      <c r="A338" s="10">
        <v>10337</v>
      </c>
      <c r="B338" s="10">
        <v>767</v>
      </c>
      <c r="C338" s="10">
        <v>2088</v>
      </c>
      <c r="D338" s="10">
        <v>320</v>
      </c>
      <c r="E338" s="1" t="s">
        <v>350</v>
      </c>
      <c r="F338" s="1" t="s">
        <v>293</v>
      </c>
      <c r="G338" s="10">
        <v>82</v>
      </c>
      <c r="H338" s="1" t="s">
        <v>42</v>
      </c>
    </row>
    <row r="339" spans="1:8" ht="15.75" customHeight="1" x14ac:dyDescent="0.3">
      <c r="A339" s="10">
        <v>10338</v>
      </c>
      <c r="B339" s="10">
        <v>726</v>
      </c>
      <c r="C339" s="10">
        <v>2044</v>
      </c>
      <c r="D339" s="10">
        <v>309</v>
      </c>
      <c r="E339" s="1" t="s">
        <v>351</v>
      </c>
      <c r="F339" s="1" t="s">
        <v>352</v>
      </c>
      <c r="G339" s="10">
        <v>49</v>
      </c>
      <c r="H339" s="1" t="s">
        <v>42</v>
      </c>
    </row>
    <row r="340" spans="1:8" ht="15.75" customHeight="1" x14ac:dyDescent="0.3">
      <c r="A340" s="10">
        <v>10339</v>
      </c>
      <c r="B340" s="10">
        <v>531</v>
      </c>
      <c r="C340" s="10">
        <v>2063</v>
      </c>
      <c r="D340" s="10">
        <v>314</v>
      </c>
      <c r="E340" s="1" t="s">
        <v>353</v>
      </c>
      <c r="F340" s="1" t="s">
        <v>81</v>
      </c>
      <c r="G340" s="10">
        <v>98</v>
      </c>
      <c r="H340" s="1" t="s">
        <v>42</v>
      </c>
    </row>
    <row r="341" spans="1:8" ht="15.75" customHeight="1" x14ac:dyDescent="0.3">
      <c r="A341" s="10">
        <v>10340</v>
      </c>
      <c r="B341" s="10">
        <v>671</v>
      </c>
      <c r="C341" s="10">
        <v>2068</v>
      </c>
      <c r="D341" s="10">
        <v>316</v>
      </c>
      <c r="E341" s="1" t="s">
        <v>94</v>
      </c>
      <c r="F341" s="1" t="s">
        <v>354</v>
      </c>
      <c r="G341" s="10">
        <v>43</v>
      </c>
      <c r="H341" s="1" t="s">
        <v>39</v>
      </c>
    </row>
    <row r="342" spans="1:8" ht="15.75" customHeight="1" x14ac:dyDescent="0.3">
      <c r="A342" s="10">
        <v>10341</v>
      </c>
      <c r="B342" s="10">
        <v>729</v>
      </c>
      <c r="C342" s="10">
        <v>2098</v>
      </c>
      <c r="D342" s="10">
        <v>315</v>
      </c>
      <c r="E342" s="1" t="s">
        <v>344</v>
      </c>
      <c r="F342" s="1" t="s">
        <v>337</v>
      </c>
      <c r="G342" s="10">
        <v>88</v>
      </c>
      <c r="H342" s="1" t="s">
        <v>78</v>
      </c>
    </row>
    <row r="343" spans="1:8" ht="15.75" customHeight="1" x14ac:dyDescent="0.3">
      <c r="A343" s="10">
        <v>10342</v>
      </c>
      <c r="B343" s="10">
        <v>644</v>
      </c>
      <c r="C343" s="10">
        <v>2063</v>
      </c>
      <c r="D343" s="10">
        <v>301</v>
      </c>
      <c r="E343" s="1" t="s">
        <v>196</v>
      </c>
      <c r="F343" s="1" t="s">
        <v>262</v>
      </c>
      <c r="G343" s="10">
        <v>59</v>
      </c>
      <c r="H343" s="1" t="s">
        <v>39</v>
      </c>
    </row>
    <row r="344" spans="1:8" ht="15.75" customHeight="1" x14ac:dyDescent="0.3">
      <c r="A344" s="10">
        <v>10343</v>
      </c>
      <c r="B344" s="10">
        <v>612</v>
      </c>
      <c r="C344" s="10">
        <v>2098</v>
      </c>
      <c r="D344" s="10">
        <v>312</v>
      </c>
      <c r="E344" s="1" t="s">
        <v>242</v>
      </c>
      <c r="F344" s="1" t="s">
        <v>309</v>
      </c>
      <c r="G344" s="10">
        <v>85</v>
      </c>
      <c r="H344" s="1" t="s">
        <v>39</v>
      </c>
    </row>
    <row r="345" spans="1:8" ht="15.75" customHeight="1" x14ac:dyDescent="0.3">
      <c r="A345" s="10">
        <v>10344</v>
      </c>
      <c r="B345" s="10">
        <v>661</v>
      </c>
      <c r="C345" s="10">
        <v>2048</v>
      </c>
      <c r="D345" s="10">
        <v>305</v>
      </c>
      <c r="E345" s="1" t="s">
        <v>95</v>
      </c>
      <c r="F345" s="1" t="s">
        <v>149</v>
      </c>
      <c r="G345" s="10">
        <v>63</v>
      </c>
      <c r="H345" s="1" t="s">
        <v>78</v>
      </c>
    </row>
    <row r="346" spans="1:8" ht="15.75" customHeight="1" x14ac:dyDescent="0.3">
      <c r="A346" s="10">
        <v>10345</v>
      </c>
      <c r="B346" s="10">
        <v>885</v>
      </c>
      <c r="C346" s="10">
        <v>2004</v>
      </c>
      <c r="D346" s="10">
        <v>306</v>
      </c>
      <c r="E346" s="1" t="s">
        <v>151</v>
      </c>
      <c r="F346" s="1" t="s">
        <v>251</v>
      </c>
      <c r="G346" s="10">
        <v>53</v>
      </c>
      <c r="H346" s="1" t="s">
        <v>78</v>
      </c>
    </row>
    <row r="347" spans="1:8" ht="15.75" customHeight="1" x14ac:dyDescent="0.3">
      <c r="A347" s="10">
        <v>10346</v>
      </c>
      <c r="B347" s="10">
        <v>811</v>
      </c>
      <c r="C347" s="10">
        <v>2037</v>
      </c>
      <c r="D347" s="10">
        <v>320</v>
      </c>
      <c r="E347" s="1" t="s">
        <v>84</v>
      </c>
      <c r="F347" s="1" t="s">
        <v>116</v>
      </c>
      <c r="G347" s="10">
        <v>64</v>
      </c>
      <c r="H347" s="1" t="s">
        <v>78</v>
      </c>
    </row>
    <row r="348" spans="1:8" ht="15.75" customHeight="1" x14ac:dyDescent="0.3">
      <c r="A348" s="10">
        <v>10347</v>
      </c>
      <c r="B348" s="10">
        <v>521</v>
      </c>
      <c r="C348" s="10">
        <v>2089</v>
      </c>
      <c r="D348" s="10">
        <v>315</v>
      </c>
      <c r="E348" s="1" t="s">
        <v>96</v>
      </c>
      <c r="F348" s="1" t="s">
        <v>334</v>
      </c>
      <c r="G348" s="10">
        <v>37</v>
      </c>
      <c r="H348" s="1" t="s">
        <v>36</v>
      </c>
    </row>
    <row r="349" spans="1:8" ht="15.75" customHeight="1" x14ac:dyDescent="0.3">
      <c r="A349" s="10">
        <v>10348</v>
      </c>
      <c r="B349" s="10">
        <v>646</v>
      </c>
      <c r="C349" s="10">
        <v>2003</v>
      </c>
      <c r="D349" s="10">
        <v>311</v>
      </c>
      <c r="E349" s="1" t="s">
        <v>238</v>
      </c>
      <c r="F349" s="1" t="s">
        <v>82</v>
      </c>
      <c r="G349" s="10">
        <v>70</v>
      </c>
      <c r="H349" s="1" t="s">
        <v>36</v>
      </c>
    </row>
    <row r="350" spans="1:8" ht="15.75" customHeight="1" x14ac:dyDescent="0.3">
      <c r="A350" s="10">
        <v>10349</v>
      </c>
      <c r="B350" s="10">
        <v>726</v>
      </c>
      <c r="C350" s="10">
        <v>2011</v>
      </c>
      <c r="D350" s="10">
        <v>307</v>
      </c>
      <c r="E350" s="1" t="s">
        <v>311</v>
      </c>
      <c r="F350" s="1" t="s">
        <v>355</v>
      </c>
      <c r="G350" s="10">
        <v>24</v>
      </c>
      <c r="H350" s="1" t="s">
        <v>42</v>
      </c>
    </row>
    <row r="351" spans="1:8" ht="15.75" customHeight="1" x14ac:dyDescent="0.3">
      <c r="A351" s="10">
        <v>10350</v>
      </c>
      <c r="B351" s="10">
        <v>777</v>
      </c>
      <c r="C351" s="10">
        <v>2037</v>
      </c>
      <c r="D351" s="10">
        <v>312</v>
      </c>
      <c r="E351" s="1" t="s">
        <v>88</v>
      </c>
      <c r="F351" s="1" t="s">
        <v>86</v>
      </c>
      <c r="G351" s="10">
        <v>59</v>
      </c>
      <c r="H351" s="1" t="s">
        <v>39</v>
      </c>
    </row>
    <row r="352" spans="1:8" ht="15.75" customHeight="1" x14ac:dyDescent="0.3">
      <c r="A352" s="10">
        <v>10351</v>
      </c>
      <c r="B352" s="10">
        <v>799</v>
      </c>
      <c r="C352" s="10">
        <v>2028</v>
      </c>
      <c r="D352" s="10">
        <v>312</v>
      </c>
      <c r="E352" s="1" t="s">
        <v>72</v>
      </c>
      <c r="F352" s="1" t="s">
        <v>207</v>
      </c>
      <c r="G352" s="10">
        <v>51</v>
      </c>
      <c r="H352" s="1" t="s">
        <v>39</v>
      </c>
    </row>
    <row r="353" spans="1:8" ht="15.75" customHeight="1" x14ac:dyDescent="0.3">
      <c r="A353" s="10">
        <v>10352</v>
      </c>
      <c r="B353" s="10">
        <v>900</v>
      </c>
      <c r="C353" s="10">
        <v>2010</v>
      </c>
      <c r="D353" s="10">
        <v>304</v>
      </c>
      <c r="E353" s="1" t="s">
        <v>79</v>
      </c>
      <c r="F353" s="1" t="s">
        <v>282</v>
      </c>
      <c r="G353" s="10">
        <v>28</v>
      </c>
      <c r="H353" s="1" t="s">
        <v>36</v>
      </c>
    </row>
    <row r="354" spans="1:8" ht="15.75" customHeight="1" x14ac:dyDescent="0.3">
      <c r="A354" s="10">
        <v>10353</v>
      </c>
      <c r="B354" s="10">
        <v>560</v>
      </c>
      <c r="C354" s="10">
        <v>2095</v>
      </c>
      <c r="D354" s="10">
        <v>306</v>
      </c>
      <c r="E354" s="1" t="s">
        <v>356</v>
      </c>
      <c r="F354" s="1" t="s">
        <v>169</v>
      </c>
      <c r="G354" s="10">
        <v>87</v>
      </c>
      <c r="H354" s="1" t="s">
        <v>78</v>
      </c>
    </row>
    <row r="355" spans="1:8" ht="15.75" customHeight="1" x14ac:dyDescent="0.3">
      <c r="A355" s="10">
        <v>10354</v>
      </c>
      <c r="B355" s="10">
        <v>656</v>
      </c>
      <c r="C355" s="10">
        <v>2015</v>
      </c>
      <c r="D355" s="10">
        <v>317</v>
      </c>
      <c r="E355" s="1" t="s">
        <v>295</v>
      </c>
      <c r="F355" s="1" t="s">
        <v>304</v>
      </c>
      <c r="G355" s="10">
        <v>99</v>
      </c>
      <c r="H355" s="1" t="s">
        <v>78</v>
      </c>
    </row>
    <row r="356" spans="1:8" ht="15.75" customHeight="1" x14ac:dyDescent="0.3">
      <c r="A356" s="10">
        <v>10355</v>
      </c>
      <c r="B356" s="10">
        <v>535</v>
      </c>
      <c r="C356" s="10">
        <v>2047</v>
      </c>
      <c r="D356" s="10">
        <v>305</v>
      </c>
      <c r="E356" s="1" t="s">
        <v>114</v>
      </c>
      <c r="F356" s="1" t="s">
        <v>53</v>
      </c>
      <c r="G356" s="10">
        <v>87</v>
      </c>
      <c r="H356" s="1" t="s">
        <v>39</v>
      </c>
    </row>
    <row r="357" spans="1:8" ht="15.75" customHeight="1" x14ac:dyDescent="0.3">
      <c r="A357" s="10">
        <v>10356</v>
      </c>
      <c r="B357" s="10">
        <v>682</v>
      </c>
      <c r="C357" s="10">
        <v>2011</v>
      </c>
      <c r="D357" s="10">
        <v>311</v>
      </c>
      <c r="E357" s="1" t="s">
        <v>197</v>
      </c>
      <c r="F357" s="1" t="s">
        <v>181</v>
      </c>
      <c r="G357" s="10">
        <v>53</v>
      </c>
      <c r="H357" s="1" t="s">
        <v>42</v>
      </c>
    </row>
    <row r="358" spans="1:8" ht="15.75" customHeight="1" x14ac:dyDescent="0.3">
      <c r="A358" s="10">
        <v>10357</v>
      </c>
      <c r="B358" s="10">
        <v>853</v>
      </c>
      <c r="C358" s="10">
        <v>2096</v>
      </c>
      <c r="D358" s="10">
        <v>312</v>
      </c>
      <c r="E358" s="1" t="s">
        <v>280</v>
      </c>
      <c r="F358" s="1" t="s">
        <v>210</v>
      </c>
      <c r="G358" s="10">
        <v>47</v>
      </c>
      <c r="H358" s="1" t="s">
        <v>78</v>
      </c>
    </row>
    <row r="359" spans="1:8" ht="15.75" customHeight="1" x14ac:dyDescent="0.3">
      <c r="A359" s="10">
        <v>10358</v>
      </c>
      <c r="B359" s="10">
        <v>811</v>
      </c>
      <c r="C359" s="10">
        <v>2012</v>
      </c>
      <c r="D359" s="10">
        <v>305</v>
      </c>
      <c r="E359" s="1" t="s">
        <v>319</v>
      </c>
      <c r="F359" s="1" t="s">
        <v>259</v>
      </c>
      <c r="G359" s="10">
        <v>92</v>
      </c>
      <c r="H359" s="1" t="s">
        <v>78</v>
      </c>
    </row>
    <row r="360" spans="1:8" ht="15.75" customHeight="1" x14ac:dyDescent="0.3">
      <c r="A360" s="10">
        <v>10359</v>
      </c>
      <c r="B360" s="10">
        <v>503</v>
      </c>
      <c r="C360" s="10">
        <v>2036</v>
      </c>
      <c r="D360" s="10">
        <v>306</v>
      </c>
      <c r="E360" s="1" t="s">
        <v>269</v>
      </c>
      <c r="F360" s="1" t="s">
        <v>342</v>
      </c>
      <c r="G360" s="10">
        <v>45</v>
      </c>
      <c r="H360" s="1" t="s">
        <v>42</v>
      </c>
    </row>
    <row r="361" spans="1:8" ht="15.75" customHeight="1" x14ac:dyDescent="0.3">
      <c r="A361" s="10">
        <v>10360</v>
      </c>
      <c r="B361" s="10">
        <v>819</v>
      </c>
      <c r="C361" s="10">
        <v>2093</v>
      </c>
      <c r="D361" s="10">
        <v>309</v>
      </c>
      <c r="E361" s="1" t="s">
        <v>357</v>
      </c>
      <c r="F361" s="1" t="s">
        <v>49</v>
      </c>
      <c r="G361" s="10">
        <v>16</v>
      </c>
      <c r="H361" s="1" t="s">
        <v>78</v>
      </c>
    </row>
    <row r="362" spans="1:8" ht="15.75" customHeight="1" x14ac:dyDescent="0.3">
      <c r="A362" s="10">
        <v>10361</v>
      </c>
      <c r="B362" s="10">
        <v>604</v>
      </c>
      <c r="C362" s="10">
        <v>2095</v>
      </c>
      <c r="D362" s="10">
        <v>314</v>
      </c>
      <c r="E362" s="1" t="s">
        <v>238</v>
      </c>
      <c r="F362" s="1" t="s">
        <v>139</v>
      </c>
      <c r="G362" s="10">
        <v>16</v>
      </c>
      <c r="H362" s="1" t="s">
        <v>39</v>
      </c>
    </row>
    <row r="363" spans="1:8" ht="15.75" customHeight="1" x14ac:dyDescent="0.3">
      <c r="A363" s="10">
        <v>10362</v>
      </c>
      <c r="B363" s="10">
        <v>578</v>
      </c>
      <c r="C363" s="10">
        <v>2079</v>
      </c>
      <c r="D363" s="10">
        <v>308</v>
      </c>
      <c r="E363" s="1" t="s">
        <v>205</v>
      </c>
      <c r="F363" s="1" t="s">
        <v>280</v>
      </c>
      <c r="G363" s="10">
        <v>90</v>
      </c>
      <c r="H363" s="1" t="s">
        <v>39</v>
      </c>
    </row>
    <row r="364" spans="1:8" ht="15.75" customHeight="1" x14ac:dyDescent="0.3">
      <c r="A364" s="10">
        <v>10363</v>
      </c>
      <c r="B364" s="10">
        <v>823</v>
      </c>
      <c r="C364" s="10">
        <v>2046</v>
      </c>
      <c r="D364" s="10">
        <v>308</v>
      </c>
      <c r="E364" s="1" t="s">
        <v>178</v>
      </c>
      <c r="F364" s="1" t="s">
        <v>181</v>
      </c>
      <c r="G364" s="10">
        <v>47</v>
      </c>
      <c r="H364" s="1" t="s">
        <v>39</v>
      </c>
    </row>
    <row r="365" spans="1:8" ht="15.75" customHeight="1" x14ac:dyDescent="0.3">
      <c r="A365" s="10">
        <v>10364</v>
      </c>
      <c r="B365" s="10">
        <v>781</v>
      </c>
      <c r="C365" s="10">
        <v>2056</v>
      </c>
      <c r="D365" s="10">
        <v>305</v>
      </c>
      <c r="E365" s="1" t="s">
        <v>210</v>
      </c>
      <c r="F365" s="1" t="s">
        <v>197</v>
      </c>
      <c r="G365" s="10">
        <v>54</v>
      </c>
      <c r="H365" s="1" t="s">
        <v>42</v>
      </c>
    </row>
    <row r="366" spans="1:8" ht="15.75" customHeight="1" x14ac:dyDescent="0.3">
      <c r="A366" s="10">
        <v>10365</v>
      </c>
      <c r="B366" s="10">
        <v>785</v>
      </c>
      <c r="C366" s="10">
        <v>2031</v>
      </c>
      <c r="D366" s="10">
        <v>318</v>
      </c>
      <c r="E366" s="1" t="s">
        <v>297</v>
      </c>
      <c r="F366" s="1" t="s">
        <v>239</v>
      </c>
      <c r="G366" s="10">
        <v>5</v>
      </c>
      <c r="H366" s="1" t="s">
        <v>78</v>
      </c>
    </row>
    <row r="367" spans="1:8" ht="15.75" customHeight="1" x14ac:dyDescent="0.3">
      <c r="A367" s="10">
        <v>10366</v>
      </c>
      <c r="B367" s="10">
        <v>782</v>
      </c>
      <c r="C367" s="10">
        <v>2032</v>
      </c>
      <c r="D367" s="10">
        <v>308</v>
      </c>
      <c r="E367" s="1" t="s">
        <v>245</v>
      </c>
      <c r="F367" s="1" t="s">
        <v>63</v>
      </c>
      <c r="G367" s="10">
        <v>95</v>
      </c>
      <c r="H367" s="1" t="s">
        <v>78</v>
      </c>
    </row>
    <row r="368" spans="1:8" ht="15.75" customHeight="1" x14ac:dyDescent="0.3">
      <c r="A368" s="10">
        <v>10367</v>
      </c>
      <c r="B368" s="10">
        <v>651</v>
      </c>
      <c r="C368" s="10">
        <v>2018</v>
      </c>
      <c r="D368" s="10">
        <v>318</v>
      </c>
      <c r="E368" s="1" t="s">
        <v>358</v>
      </c>
      <c r="F368" s="1" t="s">
        <v>204</v>
      </c>
      <c r="G368" s="10">
        <v>66</v>
      </c>
      <c r="H368" s="1" t="s">
        <v>36</v>
      </c>
    </row>
    <row r="369" spans="1:8" ht="15.75" customHeight="1" x14ac:dyDescent="0.3">
      <c r="A369" s="10">
        <v>10368</v>
      </c>
      <c r="B369" s="10">
        <v>702</v>
      </c>
      <c r="C369" s="10">
        <v>2070</v>
      </c>
      <c r="D369" s="10">
        <v>306</v>
      </c>
      <c r="E369" s="1" t="s">
        <v>308</v>
      </c>
      <c r="F369" s="1" t="s">
        <v>359</v>
      </c>
      <c r="G369" s="10">
        <v>45</v>
      </c>
      <c r="H369" s="1" t="s">
        <v>36</v>
      </c>
    </row>
    <row r="370" spans="1:8" ht="15.75" customHeight="1" x14ac:dyDescent="0.3">
      <c r="A370" s="10">
        <v>10369</v>
      </c>
      <c r="B370" s="10">
        <v>616</v>
      </c>
      <c r="C370" s="10">
        <v>2040</v>
      </c>
      <c r="D370" s="10">
        <v>316</v>
      </c>
      <c r="E370" s="1" t="s">
        <v>316</v>
      </c>
      <c r="F370" s="1" t="s">
        <v>151</v>
      </c>
      <c r="G370" s="10">
        <v>58</v>
      </c>
      <c r="H370" s="1" t="s">
        <v>36</v>
      </c>
    </row>
    <row r="371" spans="1:8" ht="15.75" customHeight="1" x14ac:dyDescent="0.3">
      <c r="A371" s="10">
        <v>10370</v>
      </c>
      <c r="B371" s="10">
        <v>882</v>
      </c>
      <c r="C371" s="10">
        <v>2085</v>
      </c>
      <c r="D371" s="10">
        <v>316</v>
      </c>
      <c r="E371" s="1" t="s">
        <v>351</v>
      </c>
      <c r="F371" s="1" t="s">
        <v>329</v>
      </c>
      <c r="G371" s="10">
        <v>85</v>
      </c>
      <c r="H371" s="1" t="s">
        <v>42</v>
      </c>
    </row>
    <row r="372" spans="1:8" ht="15.75" customHeight="1" x14ac:dyDescent="0.3">
      <c r="A372" s="10">
        <v>10371</v>
      </c>
      <c r="B372" s="10">
        <v>638</v>
      </c>
      <c r="C372" s="10">
        <v>2063</v>
      </c>
      <c r="D372" s="10">
        <v>311</v>
      </c>
      <c r="E372" s="1" t="s">
        <v>265</v>
      </c>
      <c r="F372" s="1" t="s">
        <v>63</v>
      </c>
      <c r="G372" s="10">
        <v>30</v>
      </c>
      <c r="H372" s="1" t="s">
        <v>78</v>
      </c>
    </row>
    <row r="373" spans="1:8" ht="15.75" customHeight="1" x14ac:dyDescent="0.3">
      <c r="A373" s="10">
        <v>10372</v>
      </c>
      <c r="B373" s="10">
        <v>788</v>
      </c>
      <c r="C373" s="10">
        <v>2072</v>
      </c>
      <c r="D373" s="10">
        <v>302</v>
      </c>
      <c r="E373" s="1" t="s">
        <v>109</v>
      </c>
      <c r="F373" s="1" t="s">
        <v>154</v>
      </c>
      <c r="G373" s="10">
        <v>70</v>
      </c>
      <c r="H373" s="1" t="s">
        <v>39</v>
      </c>
    </row>
    <row r="374" spans="1:8" ht="15.75" customHeight="1" x14ac:dyDescent="0.3">
      <c r="A374" s="10">
        <v>10373</v>
      </c>
      <c r="B374" s="10">
        <v>862</v>
      </c>
      <c r="C374" s="10">
        <v>2076</v>
      </c>
      <c r="D374" s="10">
        <v>314</v>
      </c>
      <c r="E374" s="1" t="s">
        <v>168</v>
      </c>
      <c r="F374" s="1" t="s">
        <v>274</v>
      </c>
      <c r="G374" s="10">
        <v>88</v>
      </c>
      <c r="H374" s="1" t="s">
        <v>42</v>
      </c>
    </row>
    <row r="375" spans="1:8" ht="15.75" customHeight="1" x14ac:dyDescent="0.3">
      <c r="A375" s="10">
        <v>10374</v>
      </c>
      <c r="B375" s="10">
        <v>867</v>
      </c>
      <c r="C375" s="10">
        <v>2061</v>
      </c>
      <c r="D375" s="10">
        <v>313</v>
      </c>
      <c r="E375" s="1" t="s">
        <v>242</v>
      </c>
      <c r="F375" s="1" t="s">
        <v>243</v>
      </c>
      <c r="G375" s="10">
        <v>44</v>
      </c>
      <c r="H375" s="1" t="s">
        <v>36</v>
      </c>
    </row>
    <row r="376" spans="1:8" ht="15.75" customHeight="1" x14ac:dyDescent="0.3">
      <c r="A376" s="10">
        <v>10375</v>
      </c>
      <c r="B376" s="10">
        <v>883</v>
      </c>
      <c r="C376" s="10">
        <v>2097</v>
      </c>
      <c r="D376" s="10">
        <v>303</v>
      </c>
      <c r="E376" s="1" t="s">
        <v>209</v>
      </c>
      <c r="F376" s="1" t="s">
        <v>56</v>
      </c>
      <c r="G376" s="10">
        <v>33</v>
      </c>
      <c r="H376" s="1" t="s">
        <v>78</v>
      </c>
    </row>
    <row r="377" spans="1:8" ht="15.75" customHeight="1" x14ac:dyDescent="0.3">
      <c r="A377" s="10">
        <v>10376</v>
      </c>
      <c r="B377" s="10">
        <v>510</v>
      </c>
      <c r="C377" s="10">
        <v>2053</v>
      </c>
      <c r="D377" s="10">
        <v>312</v>
      </c>
      <c r="E377" s="1" t="s">
        <v>221</v>
      </c>
      <c r="F377" s="1" t="s">
        <v>153</v>
      </c>
      <c r="G377" s="10">
        <v>88</v>
      </c>
      <c r="H377" s="1" t="s">
        <v>42</v>
      </c>
    </row>
    <row r="378" spans="1:8" ht="15.75" customHeight="1" x14ac:dyDescent="0.3">
      <c r="A378" s="10">
        <v>10377</v>
      </c>
      <c r="B378" s="10">
        <v>782</v>
      </c>
      <c r="C378" s="10">
        <v>2011</v>
      </c>
      <c r="D378" s="10">
        <v>311</v>
      </c>
      <c r="E378" s="1" t="s">
        <v>156</v>
      </c>
      <c r="F378" s="1" t="s">
        <v>150</v>
      </c>
      <c r="G378" s="10">
        <v>69</v>
      </c>
      <c r="H378" s="1" t="s">
        <v>42</v>
      </c>
    </row>
    <row r="379" spans="1:8" ht="15.75" customHeight="1" x14ac:dyDescent="0.3">
      <c r="A379" s="10">
        <v>10378</v>
      </c>
      <c r="B379" s="10">
        <v>833</v>
      </c>
      <c r="C379" s="10">
        <v>2036</v>
      </c>
      <c r="D379" s="10">
        <v>309</v>
      </c>
      <c r="E379" s="1" t="s">
        <v>216</v>
      </c>
      <c r="F379" s="1" t="s">
        <v>193</v>
      </c>
      <c r="G379" s="10">
        <v>28</v>
      </c>
      <c r="H379" s="1" t="s">
        <v>78</v>
      </c>
    </row>
    <row r="380" spans="1:8" ht="15.75" customHeight="1" x14ac:dyDescent="0.3">
      <c r="A380" s="10">
        <v>10379</v>
      </c>
      <c r="B380" s="10">
        <v>568</v>
      </c>
      <c r="C380" s="10">
        <v>2003</v>
      </c>
      <c r="D380" s="10">
        <v>303</v>
      </c>
      <c r="E380" s="1" t="s">
        <v>70</v>
      </c>
      <c r="F380" s="1" t="s">
        <v>339</v>
      </c>
      <c r="G380" s="10">
        <v>68</v>
      </c>
      <c r="H380" s="1" t="s">
        <v>39</v>
      </c>
    </row>
    <row r="381" spans="1:8" ht="15.75" customHeight="1" x14ac:dyDescent="0.3">
      <c r="A381" s="10">
        <v>10380</v>
      </c>
      <c r="B381" s="10">
        <v>526</v>
      </c>
      <c r="C381" s="10">
        <v>2099</v>
      </c>
      <c r="D381" s="10">
        <v>317</v>
      </c>
      <c r="E381" s="1" t="s">
        <v>302</v>
      </c>
      <c r="F381" s="1" t="s">
        <v>263</v>
      </c>
      <c r="G381" s="10">
        <v>78</v>
      </c>
      <c r="H381" s="1" t="s">
        <v>39</v>
      </c>
    </row>
    <row r="382" spans="1:8" ht="15.75" customHeight="1" x14ac:dyDescent="0.3">
      <c r="A382" s="10">
        <v>10381</v>
      </c>
      <c r="B382" s="10">
        <v>798</v>
      </c>
      <c r="C382" s="10">
        <v>2062</v>
      </c>
      <c r="D382" s="10">
        <v>319</v>
      </c>
      <c r="E382" s="1" t="s">
        <v>228</v>
      </c>
      <c r="F382" s="1" t="s">
        <v>229</v>
      </c>
      <c r="G382" s="10">
        <v>34</v>
      </c>
      <c r="H382" s="1" t="s">
        <v>39</v>
      </c>
    </row>
    <row r="383" spans="1:8" ht="15.75" customHeight="1" x14ac:dyDescent="0.3">
      <c r="A383" s="10">
        <v>10382</v>
      </c>
      <c r="B383" s="10">
        <v>501</v>
      </c>
      <c r="C383" s="10">
        <v>2077</v>
      </c>
      <c r="D383" s="10">
        <v>307</v>
      </c>
      <c r="E383" s="1" t="s">
        <v>53</v>
      </c>
      <c r="F383" s="1" t="s">
        <v>105</v>
      </c>
      <c r="G383" s="10">
        <v>4</v>
      </c>
      <c r="H383" s="1" t="s">
        <v>42</v>
      </c>
    </row>
    <row r="384" spans="1:8" ht="15.75" customHeight="1" x14ac:dyDescent="0.3">
      <c r="A384" s="10">
        <v>10383</v>
      </c>
      <c r="B384" s="10">
        <v>745</v>
      </c>
      <c r="C384" s="10">
        <v>2081</v>
      </c>
      <c r="D384" s="10">
        <v>319</v>
      </c>
      <c r="E384" s="1" t="s">
        <v>184</v>
      </c>
      <c r="F384" s="1" t="s">
        <v>89</v>
      </c>
      <c r="G384" s="10">
        <v>57</v>
      </c>
      <c r="H384" s="1" t="s">
        <v>39</v>
      </c>
    </row>
    <row r="385" spans="1:8" ht="15.75" customHeight="1" x14ac:dyDescent="0.3">
      <c r="A385" s="10">
        <v>10384</v>
      </c>
      <c r="B385" s="10">
        <v>631</v>
      </c>
      <c r="C385" s="10">
        <v>2019</v>
      </c>
      <c r="D385" s="10">
        <v>320</v>
      </c>
      <c r="E385" s="1" t="s">
        <v>328</v>
      </c>
      <c r="F385" s="1" t="s">
        <v>360</v>
      </c>
      <c r="G385" s="10">
        <v>19</v>
      </c>
      <c r="H385" s="1" t="s">
        <v>36</v>
      </c>
    </row>
    <row r="386" spans="1:8" ht="15.75" customHeight="1" x14ac:dyDescent="0.3">
      <c r="A386" s="10">
        <v>10385</v>
      </c>
      <c r="B386" s="10">
        <v>695</v>
      </c>
      <c r="C386" s="10">
        <v>2041</v>
      </c>
      <c r="D386" s="10">
        <v>305</v>
      </c>
      <c r="E386" s="1" t="s">
        <v>260</v>
      </c>
      <c r="F386" s="1" t="s">
        <v>361</v>
      </c>
      <c r="G386" s="10">
        <v>56</v>
      </c>
      <c r="H386" s="1" t="s">
        <v>39</v>
      </c>
    </row>
    <row r="387" spans="1:8" ht="15.75" customHeight="1" x14ac:dyDescent="0.3">
      <c r="A387" s="10">
        <v>10386</v>
      </c>
      <c r="B387" s="10">
        <v>824</v>
      </c>
      <c r="C387" s="10">
        <v>2080</v>
      </c>
      <c r="D387" s="10">
        <v>301</v>
      </c>
      <c r="E387" s="1" t="s">
        <v>80</v>
      </c>
      <c r="F387" s="1" t="s">
        <v>362</v>
      </c>
      <c r="G387" s="10">
        <v>71</v>
      </c>
      <c r="H387" s="1" t="s">
        <v>78</v>
      </c>
    </row>
    <row r="388" spans="1:8" ht="15.75" customHeight="1" x14ac:dyDescent="0.3">
      <c r="A388" s="10">
        <v>10387</v>
      </c>
      <c r="B388" s="10">
        <v>836</v>
      </c>
      <c r="C388" s="10">
        <v>2091</v>
      </c>
      <c r="D388" s="10">
        <v>303</v>
      </c>
      <c r="E388" s="1" t="s">
        <v>92</v>
      </c>
      <c r="F388" s="1" t="s">
        <v>238</v>
      </c>
      <c r="G388" s="10">
        <v>52</v>
      </c>
      <c r="H388" s="1" t="s">
        <v>36</v>
      </c>
    </row>
    <row r="389" spans="1:8" ht="15.75" customHeight="1" x14ac:dyDescent="0.3">
      <c r="A389" s="10">
        <v>10388</v>
      </c>
      <c r="B389" s="10">
        <v>777</v>
      </c>
      <c r="C389" s="10">
        <v>2021</v>
      </c>
      <c r="D389" s="10">
        <v>307</v>
      </c>
      <c r="E389" s="1" t="s">
        <v>282</v>
      </c>
      <c r="F389" s="1" t="s">
        <v>191</v>
      </c>
      <c r="G389" s="10">
        <v>88</v>
      </c>
      <c r="H389" s="1" t="s">
        <v>42</v>
      </c>
    </row>
    <row r="390" spans="1:8" ht="15.75" customHeight="1" x14ac:dyDescent="0.3">
      <c r="A390" s="10">
        <v>10389</v>
      </c>
      <c r="B390" s="10">
        <v>634</v>
      </c>
      <c r="C390" s="10">
        <v>2082</v>
      </c>
      <c r="D390" s="10">
        <v>316</v>
      </c>
      <c r="E390" s="1" t="s">
        <v>129</v>
      </c>
      <c r="F390" s="1" t="s">
        <v>263</v>
      </c>
      <c r="G390" s="10">
        <v>72</v>
      </c>
      <c r="H390" s="1" t="s">
        <v>36</v>
      </c>
    </row>
    <row r="391" spans="1:8" ht="15.75" customHeight="1" x14ac:dyDescent="0.3">
      <c r="A391" s="10">
        <v>10390</v>
      </c>
      <c r="B391" s="10">
        <v>900</v>
      </c>
      <c r="C391" s="10">
        <v>2084</v>
      </c>
      <c r="D391" s="10">
        <v>317</v>
      </c>
      <c r="E391" s="1" t="s">
        <v>189</v>
      </c>
      <c r="F391" s="1" t="s">
        <v>153</v>
      </c>
      <c r="G391" s="10">
        <v>11</v>
      </c>
      <c r="H391" s="1" t="s">
        <v>78</v>
      </c>
    </row>
    <row r="392" spans="1:8" ht="15.75" customHeight="1" x14ac:dyDescent="0.3">
      <c r="A392" s="10">
        <v>10391</v>
      </c>
      <c r="B392" s="10">
        <v>579</v>
      </c>
      <c r="C392" s="10">
        <v>2077</v>
      </c>
      <c r="D392" s="10">
        <v>318</v>
      </c>
      <c r="E392" s="1" t="s">
        <v>203</v>
      </c>
      <c r="F392" s="1" t="s">
        <v>256</v>
      </c>
      <c r="G392" s="10">
        <v>14</v>
      </c>
      <c r="H392" s="1" t="s">
        <v>36</v>
      </c>
    </row>
    <row r="393" spans="1:8" ht="15.75" customHeight="1" x14ac:dyDescent="0.3">
      <c r="A393" s="10">
        <v>10392</v>
      </c>
      <c r="B393" s="10">
        <v>695</v>
      </c>
      <c r="C393" s="10">
        <v>2067</v>
      </c>
      <c r="D393" s="10">
        <v>310</v>
      </c>
      <c r="E393" s="1" t="s">
        <v>75</v>
      </c>
      <c r="F393" s="1" t="s">
        <v>285</v>
      </c>
      <c r="G393" s="10">
        <v>82</v>
      </c>
      <c r="H393" s="1" t="s">
        <v>36</v>
      </c>
    </row>
    <row r="394" spans="1:8" ht="15.75" customHeight="1" x14ac:dyDescent="0.3">
      <c r="A394" s="10">
        <v>10393</v>
      </c>
      <c r="B394" s="10">
        <v>574</v>
      </c>
      <c r="C394" s="10">
        <v>2047</v>
      </c>
      <c r="D394" s="10">
        <v>302</v>
      </c>
      <c r="E394" s="1" t="s">
        <v>346</v>
      </c>
      <c r="F394" s="1" t="s">
        <v>182</v>
      </c>
      <c r="G394" s="10">
        <v>40</v>
      </c>
      <c r="H394" s="1" t="s">
        <v>78</v>
      </c>
    </row>
    <row r="395" spans="1:8" ht="15.75" customHeight="1" x14ac:dyDescent="0.3">
      <c r="A395" s="10">
        <v>10394</v>
      </c>
      <c r="B395" s="10">
        <v>527</v>
      </c>
      <c r="C395" s="10">
        <v>2084</v>
      </c>
      <c r="D395" s="10">
        <v>317</v>
      </c>
      <c r="E395" s="1" t="s">
        <v>363</v>
      </c>
      <c r="F395" s="1" t="s">
        <v>354</v>
      </c>
      <c r="G395" s="10">
        <v>20</v>
      </c>
      <c r="H395" s="1" t="s">
        <v>42</v>
      </c>
    </row>
    <row r="396" spans="1:8" ht="15.75" customHeight="1" x14ac:dyDescent="0.3">
      <c r="A396" s="10">
        <v>10395</v>
      </c>
      <c r="B396" s="10">
        <v>552</v>
      </c>
      <c r="C396" s="10">
        <v>2047</v>
      </c>
      <c r="D396" s="10">
        <v>314</v>
      </c>
      <c r="E396" s="1" t="s">
        <v>107</v>
      </c>
      <c r="F396" s="1" t="s">
        <v>43</v>
      </c>
      <c r="G396" s="10">
        <v>31</v>
      </c>
      <c r="H396" s="1" t="s">
        <v>36</v>
      </c>
    </row>
    <row r="397" spans="1:8" ht="15.75" customHeight="1" x14ac:dyDescent="0.3">
      <c r="A397" s="10">
        <v>10396</v>
      </c>
      <c r="B397" s="10">
        <v>619</v>
      </c>
      <c r="C397" s="10">
        <v>2026</v>
      </c>
      <c r="D397" s="10">
        <v>313</v>
      </c>
      <c r="E397" s="1" t="s">
        <v>192</v>
      </c>
      <c r="F397" s="1" t="s">
        <v>364</v>
      </c>
      <c r="G397" s="10">
        <v>94</v>
      </c>
      <c r="H397" s="1" t="s">
        <v>36</v>
      </c>
    </row>
    <row r="398" spans="1:8" ht="15.75" customHeight="1" x14ac:dyDescent="0.3">
      <c r="A398" s="10">
        <v>10397</v>
      </c>
      <c r="B398" s="10">
        <v>632</v>
      </c>
      <c r="C398" s="10">
        <v>2001</v>
      </c>
      <c r="D398" s="10">
        <v>302</v>
      </c>
      <c r="E398" s="1" t="s">
        <v>299</v>
      </c>
      <c r="F398" s="1" t="s">
        <v>230</v>
      </c>
      <c r="G398" s="10">
        <v>75</v>
      </c>
      <c r="H398" s="1" t="s">
        <v>39</v>
      </c>
    </row>
    <row r="399" spans="1:8" ht="15.75" customHeight="1" x14ac:dyDescent="0.3">
      <c r="A399" s="10">
        <v>10398</v>
      </c>
      <c r="B399" s="10">
        <v>723</v>
      </c>
      <c r="C399" s="10">
        <v>2082</v>
      </c>
      <c r="D399" s="10">
        <v>302</v>
      </c>
      <c r="E399" s="1" t="s">
        <v>67</v>
      </c>
      <c r="F399" s="1" t="s">
        <v>213</v>
      </c>
      <c r="G399" s="10">
        <v>6</v>
      </c>
      <c r="H399" s="1" t="s">
        <v>39</v>
      </c>
    </row>
    <row r="400" spans="1:8" ht="15.75" customHeight="1" x14ac:dyDescent="0.3">
      <c r="A400" s="10">
        <v>10399</v>
      </c>
      <c r="B400" s="10">
        <v>791</v>
      </c>
      <c r="C400" s="10">
        <v>2033</v>
      </c>
      <c r="D400" s="10">
        <v>309</v>
      </c>
      <c r="E400" s="1" t="s">
        <v>102</v>
      </c>
      <c r="F400" s="1" t="s">
        <v>233</v>
      </c>
      <c r="G400" s="10">
        <v>6</v>
      </c>
      <c r="H400" s="1" t="s">
        <v>39</v>
      </c>
    </row>
    <row r="401" spans="1:8" ht="15.75" customHeight="1" x14ac:dyDescent="0.3">
      <c r="A401" s="10">
        <v>10400</v>
      </c>
      <c r="B401" s="10">
        <v>847</v>
      </c>
      <c r="C401" s="10">
        <v>2055</v>
      </c>
      <c r="D401" s="10">
        <v>320</v>
      </c>
      <c r="E401" s="1" t="s">
        <v>49</v>
      </c>
      <c r="F401" s="1" t="s">
        <v>318</v>
      </c>
      <c r="G401" s="10">
        <v>50</v>
      </c>
      <c r="H401" s="1" t="s">
        <v>36</v>
      </c>
    </row>
    <row r="402" spans="1:8" ht="15.75" customHeight="1" x14ac:dyDescent="0.3">
      <c r="A402" s="10">
        <v>10401</v>
      </c>
      <c r="B402" s="10">
        <v>790</v>
      </c>
      <c r="C402" s="10">
        <v>2077</v>
      </c>
      <c r="D402" s="10">
        <v>301</v>
      </c>
      <c r="E402" s="1" t="s">
        <v>181</v>
      </c>
      <c r="F402" s="1" t="s">
        <v>70</v>
      </c>
      <c r="G402" s="10">
        <v>12</v>
      </c>
      <c r="H402" s="1" t="s">
        <v>39</v>
      </c>
    </row>
    <row r="403" spans="1:8" ht="15.75" customHeight="1" x14ac:dyDescent="0.3">
      <c r="A403" s="10">
        <v>10402</v>
      </c>
      <c r="B403" s="10">
        <v>592</v>
      </c>
      <c r="C403" s="10">
        <v>2014</v>
      </c>
      <c r="D403" s="10">
        <v>312</v>
      </c>
      <c r="E403" s="1" t="s">
        <v>166</v>
      </c>
      <c r="F403" s="1" t="s">
        <v>286</v>
      </c>
      <c r="G403" s="10">
        <v>51</v>
      </c>
      <c r="H403" s="1" t="s">
        <v>42</v>
      </c>
    </row>
    <row r="404" spans="1:8" ht="15.75" customHeight="1" x14ac:dyDescent="0.3">
      <c r="A404" s="10">
        <v>10403</v>
      </c>
      <c r="B404" s="10">
        <v>508</v>
      </c>
      <c r="C404" s="10">
        <v>2023</v>
      </c>
      <c r="D404" s="10">
        <v>310</v>
      </c>
      <c r="E404" s="1" t="s">
        <v>196</v>
      </c>
      <c r="F404" s="1" t="s">
        <v>99</v>
      </c>
      <c r="G404" s="10">
        <v>25</v>
      </c>
      <c r="H404" s="1" t="s">
        <v>42</v>
      </c>
    </row>
    <row r="405" spans="1:8" ht="15.75" customHeight="1" x14ac:dyDescent="0.3">
      <c r="A405" s="10">
        <v>10404</v>
      </c>
      <c r="B405" s="10">
        <v>900</v>
      </c>
      <c r="C405" s="10">
        <v>2019</v>
      </c>
      <c r="D405" s="10">
        <v>304</v>
      </c>
      <c r="E405" s="1" t="s">
        <v>365</v>
      </c>
      <c r="F405" s="1" t="s">
        <v>222</v>
      </c>
      <c r="G405" s="10">
        <v>24</v>
      </c>
      <c r="H405" s="1" t="s">
        <v>78</v>
      </c>
    </row>
    <row r="406" spans="1:8" ht="15.75" customHeight="1" x14ac:dyDescent="0.3">
      <c r="A406" s="10">
        <v>10405</v>
      </c>
      <c r="B406" s="10">
        <v>806</v>
      </c>
      <c r="C406" s="10">
        <v>2013</v>
      </c>
      <c r="D406" s="10">
        <v>309</v>
      </c>
      <c r="E406" s="1" t="s">
        <v>100</v>
      </c>
      <c r="F406" s="1" t="s">
        <v>366</v>
      </c>
      <c r="G406" s="10">
        <v>94</v>
      </c>
      <c r="H406" s="1" t="s">
        <v>42</v>
      </c>
    </row>
    <row r="407" spans="1:8" ht="15.75" customHeight="1" x14ac:dyDescent="0.3">
      <c r="A407" s="10">
        <v>10406</v>
      </c>
      <c r="B407" s="10">
        <v>805</v>
      </c>
      <c r="C407" s="10">
        <v>2012</v>
      </c>
      <c r="D407" s="10">
        <v>304</v>
      </c>
      <c r="E407" s="1" t="s">
        <v>268</v>
      </c>
      <c r="F407" s="1" t="s">
        <v>122</v>
      </c>
      <c r="G407" s="10">
        <v>63</v>
      </c>
      <c r="H407" s="1" t="s">
        <v>42</v>
      </c>
    </row>
    <row r="408" spans="1:8" ht="15.75" customHeight="1" x14ac:dyDescent="0.3">
      <c r="A408" s="10">
        <v>10407</v>
      </c>
      <c r="B408" s="10">
        <v>544</v>
      </c>
      <c r="C408" s="10">
        <v>2049</v>
      </c>
      <c r="D408" s="10">
        <v>305</v>
      </c>
      <c r="E408" s="1" t="s">
        <v>281</v>
      </c>
      <c r="F408" s="1" t="s">
        <v>269</v>
      </c>
      <c r="G408" s="10">
        <v>31</v>
      </c>
      <c r="H408" s="1" t="s">
        <v>42</v>
      </c>
    </row>
    <row r="409" spans="1:8" ht="15.75" customHeight="1" x14ac:dyDescent="0.3">
      <c r="A409" s="10">
        <v>10408</v>
      </c>
      <c r="B409" s="10">
        <v>627</v>
      </c>
      <c r="C409" s="10">
        <v>2019</v>
      </c>
      <c r="D409" s="10">
        <v>310</v>
      </c>
      <c r="E409" s="1" t="s">
        <v>286</v>
      </c>
      <c r="F409" s="1" t="s">
        <v>211</v>
      </c>
      <c r="G409" s="10">
        <v>1</v>
      </c>
      <c r="H409" s="1" t="s">
        <v>42</v>
      </c>
    </row>
    <row r="410" spans="1:8" ht="15.75" customHeight="1" x14ac:dyDescent="0.3">
      <c r="A410" s="10">
        <v>10409</v>
      </c>
      <c r="B410" s="10">
        <v>782</v>
      </c>
      <c r="C410" s="10">
        <v>2047</v>
      </c>
      <c r="D410" s="10">
        <v>320</v>
      </c>
      <c r="E410" s="1" t="s">
        <v>329</v>
      </c>
      <c r="F410" s="1" t="s">
        <v>143</v>
      </c>
      <c r="G410" s="10">
        <v>82</v>
      </c>
      <c r="H410" s="1" t="s">
        <v>39</v>
      </c>
    </row>
    <row r="411" spans="1:8" ht="15.75" customHeight="1" x14ac:dyDescent="0.3">
      <c r="A411" s="10">
        <v>10410</v>
      </c>
      <c r="B411" s="10">
        <v>532</v>
      </c>
      <c r="C411" s="10">
        <v>2082</v>
      </c>
      <c r="D411" s="10">
        <v>306</v>
      </c>
      <c r="E411" s="1" t="s">
        <v>112</v>
      </c>
      <c r="F411" s="1" t="s">
        <v>275</v>
      </c>
      <c r="G411" s="10">
        <v>56</v>
      </c>
      <c r="H411" s="1" t="s">
        <v>36</v>
      </c>
    </row>
    <row r="412" spans="1:8" ht="15.75" customHeight="1" x14ac:dyDescent="0.3">
      <c r="A412" s="10">
        <v>10411</v>
      </c>
      <c r="B412" s="10">
        <v>582</v>
      </c>
      <c r="C412" s="10">
        <v>2049</v>
      </c>
      <c r="D412" s="10">
        <v>302</v>
      </c>
      <c r="E412" s="1" t="s">
        <v>91</v>
      </c>
      <c r="F412" s="1" t="s">
        <v>139</v>
      </c>
      <c r="G412" s="10">
        <v>35</v>
      </c>
      <c r="H412" s="1" t="s">
        <v>39</v>
      </c>
    </row>
    <row r="413" spans="1:8" ht="15.75" customHeight="1" x14ac:dyDescent="0.3">
      <c r="A413" s="10">
        <v>10412</v>
      </c>
      <c r="B413" s="10">
        <v>581</v>
      </c>
      <c r="C413" s="10">
        <v>2037</v>
      </c>
      <c r="D413" s="10">
        <v>311</v>
      </c>
      <c r="E413" s="1" t="s">
        <v>195</v>
      </c>
      <c r="F413" s="1" t="s">
        <v>293</v>
      </c>
      <c r="G413" s="10">
        <v>56</v>
      </c>
      <c r="H413" s="1" t="s">
        <v>39</v>
      </c>
    </row>
    <row r="414" spans="1:8" ht="15.75" customHeight="1" x14ac:dyDescent="0.3">
      <c r="A414" s="10">
        <v>10413</v>
      </c>
      <c r="B414" s="10">
        <v>893</v>
      </c>
      <c r="C414" s="10">
        <v>2009</v>
      </c>
      <c r="D414" s="10">
        <v>307</v>
      </c>
      <c r="E414" s="1" t="s">
        <v>299</v>
      </c>
      <c r="F414" s="1" t="s">
        <v>306</v>
      </c>
      <c r="G414" s="10">
        <v>85</v>
      </c>
      <c r="H414" s="1" t="s">
        <v>36</v>
      </c>
    </row>
    <row r="415" spans="1:8" ht="15.75" customHeight="1" x14ac:dyDescent="0.3">
      <c r="A415" s="10">
        <v>10414</v>
      </c>
      <c r="B415" s="10">
        <v>667</v>
      </c>
      <c r="C415" s="10">
        <v>2076</v>
      </c>
      <c r="D415" s="10">
        <v>320</v>
      </c>
      <c r="E415" s="1" t="s">
        <v>314</v>
      </c>
      <c r="F415" s="1" t="s">
        <v>367</v>
      </c>
      <c r="G415" s="10">
        <v>59</v>
      </c>
      <c r="H415" s="1" t="s">
        <v>42</v>
      </c>
    </row>
    <row r="416" spans="1:8" ht="15.75" customHeight="1" x14ac:dyDescent="0.3">
      <c r="A416" s="10">
        <v>10415</v>
      </c>
      <c r="B416" s="10">
        <v>625</v>
      </c>
      <c r="C416" s="10">
        <v>2016</v>
      </c>
      <c r="D416" s="10">
        <v>308</v>
      </c>
      <c r="E416" s="1" t="s">
        <v>267</v>
      </c>
      <c r="F416" s="1" t="s">
        <v>225</v>
      </c>
      <c r="G416" s="10">
        <v>26</v>
      </c>
      <c r="H416" s="1" t="s">
        <v>36</v>
      </c>
    </row>
    <row r="417" spans="1:8" ht="15.75" customHeight="1" x14ac:dyDescent="0.3">
      <c r="A417" s="10">
        <v>10416</v>
      </c>
      <c r="B417" s="10">
        <v>855</v>
      </c>
      <c r="C417" s="10">
        <v>2065</v>
      </c>
      <c r="D417" s="10">
        <v>305</v>
      </c>
      <c r="E417" s="1" t="s">
        <v>196</v>
      </c>
      <c r="F417" s="1" t="s">
        <v>124</v>
      </c>
      <c r="G417" s="10">
        <v>63</v>
      </c>
      <c r="H417" s="1" t="s">
        <v>78</v>
      </c>
    </row>
    <row r="418" spans="1:8" ht="15.75" customHeight="1" x14ac:dyDescent="0.3">
      <c r="A418" s="10">
        <v>10417</v>
      </c>
      <c r="B418" s="10">
        <v>519</v>
      </c>
      <c r="C418" s="10">
        <v>2022</v>
      </c>
      <c r="D418" s="10">
        <v>318</v>
      </c>
      <c r="E418" s="1" t="s">
        <v>51</v>
      </c>
      <c r="F418" s="1" t="s">
        <v>271</v>
      </c>
      <c r="G418" s="10">
        <v>5</v>
      </c>
      <c r="H418" s="1" t="s">
        <v>39</v>
      </c>
    </row>
    <row r="419" spans="1:8" ht="15.75" customHeight="1" x14ac:dyDescent="0.3">
      <c r="A419" s="10">
        <v>10418</v>
      </c>
      <c r="B419" s="10">
        <v>630</v>
      </c>
      <c r="C419" s="10">
        <v>2094</v>
      </c>
      <c r="D419" s="10">
        <v>319</v>
      </c>
      <c r="E419" s="1" t="s">
        <v>41</v>
      </c>
      <c r="F419" s="1" t="s">
        <v>70</v>
      </c>
      <c r="G419" s="10">
        <v>9</v>
      </c>
      <c r="H419" s="1" t="s">
        <v>42</v>
      </c>
    </row>
    <row r="420" spans="1:8" ht="15.75" customHeight="1" x14ac:dyDescent="0.3">
      <c r="A420" s="10">
        <v>10419</v>
      </c>
      <c r="B420" s="10">
        <v>618</v>
      </c>
      <c r="C420" s="10">
        <v>2036</v>
      </c>
      <c r="D420" s="10">
        <v>316</v>
      </c>
      <c r="E420" s="1" t="s">
        <v>368</v>
      </c>
      <c r="F420" s="1" t="s">
        <v>40</v>
      </c>
      <c r="G420" s="10">
        <v>33</v>
      </c>
      <c r="H420" s="1" t="s">
        <v>78</v>
      </c>
    </row>
    <row r="421" spans="1:8" ht="15.75" customHeight="1" x14ac:dyDescent="0.3">
      <c r="A421" s="10">
        <v>10420</v>
      </c>
      <c r="B421" s="10">
        <v>528</v>
      </c>
      <c r="C421" s="10">
        <v>2055</v>
      </c>
      <c r="D421" s="10">
        <v>313</v>
      </c>
      <c r="E421" s="1" t="s">
        <v>207</v>
      </c>
      <c r="F421" s="1" t="s">
        <v>73</v>
      </c>
      <c r="G421" s="10">
        <v>68</v>
      </c>
      <c r="H421" s="1" t="s">
        <v>36</v>
      </c>
    </row>
    <row r="422" spans="1:8" ht="15.75" customHeight="1" x14ac:dyDescent="0.3">
      <c r="A422" s="10">
        <v>10421</v>
      </c>
      <c r="B422" s="10">
        <v>508</v>
      </c>
      <c r="C422" s="10">
        <v>2075</v>
      </c>
      <c r="D422" s="10">
        <v>316</v>
      </c>
      <c r="E422" s="1" t="s">
        <v>363</v>
      </c>
      <c r="F422" s="1" t="s">
        <v>369</v>
      </c>
      <c r="G422" s="10">
        <v>81</v>
      </c>
      <c r="H422" s="1" t="s">
        <v>39</v>
      </c>
    </row>
    <row r="423" spans="1:8" ht="15.75" customHeight="1" x14ac:dyDescent="0.3">
      <c r="A423" s="10">
        <v>10422</v>
      </c>
      <c r="B423" s="10">
        <v>575</v>
      </c>
      <c r="C423" s="10">
        <v>2013</v>
      </c>
      <c r="D423" s="10">
        <v>316</v>
      </c>
      <c r="E423" s="1" t="s">
        <v>243</v>
      </c>
      <c r="F423" s="1" t="s">
        <v>309</v>
      </c>
      <c r="G423" s="10">
        <v>28</v>
      </c>
      <c r="H423" s="1" t="s">
        <v>78</v>
      </c>
    </row>
    <row r="424" spans="1:8" ht="15.75" customHeight="1" x14ac:dyDescent="0.3">
      <c r="A424" s="10">
        <v>10423</v>
      </c>
      <c r="B424" s="10">
        <v>604</v>
      </c>
      <c r="C424" s="10">
        <v>2100</v>
      </c>
      <c r="D424" s="10">
        <v>312</v>
      </c>
      <c r="E424" s="1" t="s">
        <v>116</v>
      </c>
      <c r="F424" s="1" t="s">
        <v>85</v>
      </c>
      <c r="G424" s="10">
        <v>55</v>
      </c>
      <c r="H424" s="1" t="s">
        <v>78</v>
      </c>
    </row>
    <row r="425" spans="1:8" ht="15.75" customHeight="1" x14ac:dyDescent="0.3">
      <c r="A425" s="10">
        <v>10424</v>
      </c>
      <c r="B425" s="10">
        <v>876</v>
      </c>
      <c r="C425" s="10">
        <v>2051</v>
      </c>
      <c r="D425" s="10">
        <v>306</v>
      </c>
      <c r="E425" s="1" t="s">
        <v>370</v>
      </c>
      <c r="F425" s="1" t="s">
        <v>65</v>
      </c>
      <c r="G425" s="10">
        <v>74</v>
      </c>
      <c r="H425" s="1" t="s">
        <v>78</v>
      </c>
    </row>
    <row r="426" spans="1:8" ht="15.75" customHeight="1" x14ac:dyDescent="0.3">
      <c r="A426" s="10">
        <v>10425</v>
      </c>
      <c r="B426" s="10">
        <v>677</v>
      </c>
      <c r="C426" s="10">
        <v>2011</v>
      </c>
      <c r="D426" s="10">
        <v>316</v>
      </c>
      <c r="E426" s="1" t="s">
        <v>169</v>
      </c>
      <c r="F426" s="1" t="s">
        <v>139</v>
      </c>
      <c r="G426" s="10">
        <v>20</v>
      </c>
      <c r="H426" s="1" t="s">
        <v>78</v>
      </c>
    </row>
    <row r="427" spans="1:8" ht="15.75" customHeight="1" x14ac:dyDescent="0.3">
      <c r="A427" s="10">
        <v>10426</v>
      </c>
      <c r="B427" s="10">
        <v>634</v>
      </c>
      <c r="C427" s="10">
        <v>2084</v>
      </c>
      <c r="D427" s="10">
        <v>304</v>
      </c>
      <c r="E427" s="1" t="s">
        <v>177</v>
      </c>
      <c r="F427" s="1" t="s">
        <v>371</v>
      </c>
      <c r="G427" s="10">
        <v>34</v>
      </c>
      <c r="H427" s="1" t="s">
        <v>42</v>
      </c>
    </row>
    <row r="428" spans="1:8" ht="15.75" customHeight="1" x14ac:dyDescent="0.3">
      <c r="A428" s="10">
        <v>10427</v>
      </c>
      <c r="B428" s="10">
        <v>737</v>
      </c>
      <c r="C428" s="10">
        <v>2081</v>
      </c>
      <c r="D428" s="10">
        <v>313</v>
      </c>
      <c r="E428" s="1" t="s">
        <v>53</v>
      </c>
      <c r="F428" s="1" t="s">
        <v>54</v>
      </c>
      <c r="G428" s="10">
        <v>23</v>
      </c>
      <c r="H428" s="1" t="s">
        <v>39</v>
      </c>
    </row>
    <row r="429" spans="1:8" ht="15.75" customHeight="1" x14ac:dyDescent="0.3">
      <c r="A429" s="10">
        <v>10428</v>
      </c>
      <c r="B429" s="10">
        <v>527</v>
      </c>
      <c r="C429" s="10">
        <v>2083</v>
      </c>
      <c r="D429" s="10">
        <v>305</v>
      </c>
      <c r="E429" s="1" t="s">
        <v>63</v>
      </c>
      <c r="F429" s="1" t="s">
        <v>321</v>
      </c>
      <c r="G429" s="10">
        <v>63</v>
      </c>
      <c r="H429" s="1" t="s">
        <v>42</v>
      </c>
    </row>
    <row r="430" spans="1:8" ht="15.75" customHeight="1" x14ac:dyDescent="0.3">
      <c r="A430" s="10">
        <v>10429</v>
      </c>
      <c r="B430" s="10">
        <v>891</v>
      </c>
      <c r="C430" s="10">
        <v>2066</v>
      </c>
      <c r="D430" s="10">
        <v>304</v>
      </c>
      <c r="E430" s="1" t="s">
        <v>135</v>
      </c>
      <c r="F430" s="1" t="s">
        <v>268</v>
      </c>
      <c r="G430" s="10">
        <v>39</v>
      </c>
      <c r="H430" s="1" t="s">
        <v>39</v>
      </c>
    </row>
    <row r="431" spans="1:8" ht="15.75" customHeight="1" x14ac:dyDescent="0.3">
      <c r="A431" s="10">
        <v>10430</v>
      </c>
      <c r="B431" s="10">
        <v>786</v>
      </c>
      <c r="C431" s="10">
        <v>2028</v>
      </c>
      <c r="D431" s="10">
        <v>306</v>
      </c>
      <c r="E431" s="1" t="s">
        <v>261</v>
      </c>
      <c r="F431" s="1" t="s">
        <v>319</v>
      </c>
      <c r="G431" s="10">
        <v>38</v>
      </c>
      <c r="H431" s="1" t="s">
        <v>39</v>
      </c>
    </row>
    <row r="432" spans="1:8" ht="15.75" customHeight="1" x14ac:dyDescent="0.3">
      <c r="A432" s="10">
        <v>10431</v>
      </c>
      <c r="B432" s="10">
        <v>747</v>
      </c>
      <c r="C432" s="10">
        <v>2065</v>
      </c>
      <c r="D432" s="10">
        <v>311</v>
      </c>
      <c r="E432" s="1" t="s">
        <v>323</v>
      </c>
      <c r="F432" s="1" t="s">
        <v>102</v>
      </c>
      <c r="G432" s="10">
        <v>44</v>
      </c>
      <c r="H432" s="1" t="s">
        <v>42</v>
      </c>
    </row>
    <row r="433" spans="1:8" ht="15.75" customHeight="1" x14ac:dyDescent="0.3">
      <c r="A433" s="10">
        <v>10432</v>
      </c>
      <c r="B433" s="10">
        <v>784</v>
      </c>
      <c r="C433" s="10">
        <v>2046</v>
      </c>
      <c r="D433" s="10">
        <v>315</v>
      </c>
      <c r="E433" s="1" t="s">
        <v>310</v>
      </c>
      <c r="F433" s="1" t="s">
        <v>174</v>
      </c>
      <c r="G433" s="10">
        <v>78</v>
      </c>
      <c r="H433" s="1" t="s">
        <v>39</v>
      </c>
    </row>
    <row r="434" spans="1:8" ht="15.75" customHeight="1" x14ac:dyDescent="0.3">
      <c r="A434" s="10">
        <v>10433</v>
      </c>
      <c r="B434" s="10">
        <v>876</v>
      </c>
      <c r="C434" s="10">
        <v>2094</v>
      </c>
      <c r="D434" s="10">
        <v>316</v>
      </c>
      <c r="E434" s="1" t="s">
        <v>332</v>
      </c>
      <c r="F434" s="1" t="s">
        <v>90</v>
      </c>
      <c r="G434" s="10">
        <v>69</v>
      </c>
      <c r="H434" s="1" t="s">
        <v>42</v>
      </c>
    </row>
    <row r="435" spans="1:8" ht="15.75" customHeight="1" x14ac:dyDescent="0.3">
      <c r="A435" s="10">
        <v>10434</v>
      </c>
      <c r="B435" s="10">
        <v>747</v>
      </c>
      <c r="C435" s="10">
        <v>2042</v>
      </c>
      <c r="D435" s="10">
        <v>308</v>
      </c>
      <c r="E435" s="1" t="s">
        <v>219</v>
      </c>
      <c r="F435" s="1" t="s">
        <v>181</v>
      </c>
      <c r="G435" s="10">
        <v>58</v>
      </c>
      <c r="H435" s="1" t="s">
        <v>78</v>
      </c>
    </row>
    <row r="436" spans="1:8" ht="15.75" customHeight="1" x14ac:dyDescent="0.3">
      <c r="A436" s="10">
        <v>10435</v>
      </c>
      <c r="B436" s="10">
        <v>572</v>
      </c>
      <c r="C436" s="10">
        <v>2019</v>
      </c>
      <c r="D436" s="10">
        <v>303</v>
      </c>
      <c r="E436" s="1" t="s">
        <v>185</v>
      </c>
      <c r="F436" s="1" t="s">
        <v>363</v>
      </c>
      <c r="G436" s="10">
        <v>11</v>
      </c>
      <c r="H436" s="1" t="s">
        <v>78</v>
      </c>
    </row>
    <row r="437" spans="1:8" ht="15.75" customHeight="1" x14ac:dyDescent="0.3">
      <c r="A437" s="10">
        <v>10436</v>
      </c>
      <c r="B437" s="10">
        <v>656</v>
      </c>
      <c r="C437" s="10">
        <v>2076</v>
      </c>
      <c r="D437" s="10">
        <v>320</v>
      </c>
      <c r="E437" s="1" t="s">
        <v>277</v>
      </c>
      <c r="F437" s="1" t="s">
        <v>309</v>
      </c>
      <c r="G437" s="10">
        <v>79</v>
      </c>
      <c r="H437" s="1" t="s">
        <v>36</v>
      </c>
    </row>
    <row r="438" spans="1:8" ht="15.75" customHeight="1" x14ac:dyDescent="0.3">
      <c r="A438" s="10">
        <v>10437</v>
      </c>
      <c r="B438" s="10">
        <v>575</v>
      </c>
      <c r="C438" s="10">
        <v>2081</v>
      </c>
      <c r="D438" s="10">
        <v>302</v>
      </c>
      <c r="E438" s="1" t="s">
        <v>371</v>
      </c>
      <c r="F438" s="1" t="s">
        <v>297</v>
      </c>
      <c r="G438" s="10">
        <v>4</v>
      </c>
      <c r="H438" s="1" t="s">
        <v>78</v>
      </c>
    </row>
    <row r="439" spans="1:8" ht="15.75" customHeight="1" x14ac:dyDescent="0.3">
      <c r="A439" s="10">
        <v>10438</v>
      </c>
      <c r="B439" s="10">
        <v>636</v>
      </c>
      <c r="C439" s="10">
        <v>2073</v>
      </c>
      <c r="D439" s="10">
        <v>307</v>
      </c>
      <c r="E439" s="1" t="s">
        <v>214</v>
      </c>
      <c r="F439" s="1" t="s">
        <v>363</v>
      </c>
      <c r="G439" s="10">
        <v>13</v>
      </c>
      <c r="H439" s="1" t="s">
        <v>42</v>
      </c>
    </row>
    <row r="440" spans="1:8" ht="15.75" customHeight="1" x14ac:dyDescent="0.3">
      <c r="A440" s="10">
        <v>10439</v>
      </c>
      <c r="B440" s="10">
        <v>701</v>
      </c>
      <c r="C440" s="10">
        <v>2075</v>
      </c>
      <c r="D440" s="10">
        <v>301</v>
      </c>
      <c r="E440" s="1" t="s">
        <v>54</v>
      </c>
      <c r="F440" s="1" t="s">
        <v>372</v>
      </c>
      <c r="G440" s="10">
        <v>67</v>
      </c>
      <c r="H440" s="1" t="s">
        <v>39</v>
      </c>
    </row>
    <row r="441" spans="1:8" ht="15.75" customHeight="1" x14ac:dyDescent="0.3">
      <c r="A441" s="10">
        <v>10440</v>
      </c>
      <c r="B441" s="10">
        <v>582</v>
      </c>
      <c r="C441" s="10">
        <v>2053</v>
      </c>
      <c r="D441" s="10">
        <v>306</v>
      </c>
      <c r="E441" s="1" t="s">
        <v>373</v>
      </c>
      <c r="F441" s="1" t="s">
        <v>319</v>
      </c>
      <c r="G441" s="10">
        <v>58</v>
      </c>
      <c r="H441" s="1" t="s">
        <v>36</v>
      </c>
    </row>
    <row r="442" spans="1:8" ht="15.75" customHeight="1" x14ac:dyDescent="0.3">
      <c r="A442" s="10">
        <v>10441</v>
      </c>
      <c r="B442" s="10">
        <v>834</v>
      </c>
      <c r="C442" s="10">
        <v>2092</v>
      </c>
      <c r="D442" s="10">
        <v>302</v>
      </c>
      <c r="E442" s="1" t="s">
        <v>109</v>
      </c>
      <c r="F442" s="1" t="s">
        <v>41</v>
      </c>
      <c r="G442" s="10">
        <v>49</v>
      </c>
      <c r="H442" s="1" t="s">
        <v>39</v>
      </c>
    </row>
    <row r="443" spans="1:8" ht="15.75" customHeight="1" x14ac:dyDescent="0.3">
      <c r="A443" s="10">
        <v>10442</v>
      </c>
      <c r="B443" s="10">
        <v>754</v>
      </c>
      <c r="C443" s="10">
        <v>2005</v>
      </c>
      <c r="D443" s="10">
        <v>316</v>
      </c>
      <c r="E443" s="1" t="s">
        <v>248</v>
      </c>
      <c r="F443" s="1" t="s">
        <v>363</v>
      </c>
      <c r="G443" s="10">
        <v>96</v>
      </c>
      <c r="H443" s="1" t="s">
        <v>42</v>
      </c>
    </row>
    <row r="444" spans="1:8" ht="15.75" customHeight="1" x14ac:dyDescent="0.3">
      <c r="A444" s="10">
        <v>10443</v>
      </c>
      <c r="B444" s="10">
        <v>780</v>
      </c>
      <c r="C444" s="10">
        <v>2048</v>
      </c>
      <c r="D444" s="10">
        <v>302</v>
      </c>
      <c r="E444" s="1" t="s">
        <v>280</v>
      </c>
      <c r="F444" s="1" t="s">
        <v>41</v>
      </c>
      <c r="G444" s="10">
        <v>4</v>
      </c>
      <c r="H444" s="1" t="s">
        <v>78</v>
      </c>
    </row>
    <row r="445" spans="1:8" ht="15.75" customHeight="1" x14ac:dyDescent="0.3">
      <c r="A445" s="10">
        <v>10444</v>
      </c>
      <c r="B445" s="10">
        <v>610</v>
      </c>
      <c r="C445" s="10">
        <v>2064</v>
      </c>
      <c r="D445" s="10">
        <v>301</v>
      </c>
      <c r="E445" s="1" t="s">
        <v>237</v>
      </c>
      <c r="F445" s="1" t="s">
        <v>137</v>
      </c>
      <c r="G445" s="10">
        <v>80</v>
      </c>
      <c r="H445" s="1" t="s">
        <v>36</v>
      </c>
    </row>
    <row r="446" spans="1:8" ht="15.75" customHeight="1" x14ac:dyDescent="0.3">
      <c r="A446" s="10">
        <v>10445</v>
      </c>
      <c r="B446" s="10">
        <v>756</v>
      </c>
      <c r="C446" s="10">
        <v>2074</v>
      </c>
      <c r="D446" s="10">
        <v>319</v>
      </c>
      <c r="E446" s="1" t="s">
        <v>143</v>
      </c>
      <c r="F446" s="1" t="s">
        <v>334</v>
      </c>
      <c r="G446" s="10">
        <v>64</v>
      </c>
      <c r="H446" s="1" t="s">
        <v>36</v>
      </c>
    </row>
    <row r="447" spans="1:8" ht="15.75" customHeight="1" x14ac:dyDescent="0.3">
      <c r="A447" s="10">
        <v>10446</v>
      </c>
      <c r="B447" s="10">
        <v>653</v>
      </c>
      <c r="C447" s="10">
        <v>2075</v>
      </c>
      <c r="D447" s="10">
        <v>304</v>
      </c>
      <c r="E447" s="1" t="s">
        <v>271</v>
      </c>
      <c r="F447" s="1" t="s">
        <v>357</v>
      </c>
      <c r="G447" s="10">
        <v>50</v>
      </c>
      <c r="H447" s="1" t="s">
        <v>36</v>
      </c>
    </row>
    <row r="448" spans="1:8" ht="15.75" customHeight="1" x14ac:dyDescent="0.3">
      <c r="A448" s="10">
        <v>10447</v>
      </c>
      <c r="B448" s="10">
        <v>865</v>
      </c>
      <c r="C448" s="10">
        <v>2048</v>
      </c>
      <c r="D448" s="10">
        <v>317</v>
      </c>
      <c r="E448" s="1" t="s">
        <v>374</v>
      </c>
      <c r="F448" s="1" t="s">
        <v>199</v>
      </c>
      <c r="G448" s="10">
        <v>66</v>
      </c>
      <c r="H448" s="1" t="s">
        <v>42</v>
      </c>
    </row>
    <row r="449" spans="1:8" ht="15.75" customHeight="1" x14ac:dyDescent="0.3">
      <c r="A449" s="10">
        <v>10448</v>
      </c>
      <c r="B449" s="10">
        <v>827</v>
      </c>
      <c r="C449" s="10">
        <v>2056</v>
      </c>
      <c r="D449" s="10">
        <v>305</v>
      </c>
      <c r="E449" s="1" t="s">
        <v>214</v>
      </c>
      <c r="F449" s="1" t="s">
        <v>375</v>
      </c>
      <c r="G449" s="10">
        <v>32</v>
      </c>
      <c r="H449" s="1" t="s">
        <v>39</v>
      </c>
    </row>
    <row r="450" spans="1:8" ht="15.75" customHeight="1" x14ac:dyDescent="0.3">
      <c r="A450" s="10">
        <v>10449</v>
      </c>
      <c r="B450" s="10">
        <v>648</v>
      </c>
      <c r="C450" s="10">
        <v>2053</v>
      </c>
      <c r="D450" s="10">
        <v>306</v>
      </c>
      <c r="E450" s="1" t="s">
        <v>376</v>
      </c>
      <c r="F450" s="1" t="s">
        <v>286</v>
      </c>
      <c r="G450" s="10">
        <v>15</v>
      </c>
      <c r="H450" s="1" t="s">
        <v>78</v>
      </c>
    </row>
    <row r="451" spans="1:8" ht="15.75" customHeight="1" x14ac:dyDescent="0.3">
      <c r="A451" s="10">
        <v>10450</v>
      </c>
      <c r="B451" s="10">
        <v>802</v>
      </c>
      <c r="C451" s="10">
        <v>2074</v>
      </c>
      <c r="D451" s="10">
        <v>315</v>
      </c>
      <c r="E451" s="1" t="s">
        <v>377</v>
      </c>
      <c r="F451" s="1" t="s">
        <v>228</v>
      </c>
      <c r="G451" s="10">
        <v>60</v>
      </c>
      <c r="H451" s="1" t="s">
        <v>78</v>
      </c>
    </row>
    <row r="452" spans="1:8" ht="15.75" customHeight="1" x14ac:dyDescent="0.3">
      <c r="A452" s="10">
        <v>10451</v>
      </c>
      <c r="B452" s="10">
        <v>541</v>
      </c>
      <c r="C452" s="10">
        <v>2058</v>
      </c>
      <c r="D452" s="10">
        <v>302</v>
      </c>
      <c r="E452" s="1" t="s">
        <v>378</v>
      </c>
      <c r="F452" s="1" t="s">
        <v>84</v>
      </c>
      <c r="G452" s="10">
        <v>47</v>
      </c>
      <c r="H452" s="1" t="s">
        <v>36</v>
      </c>
    </row>
    <row r="453" spans="1:8" ht="15.75" customHeight="1" x14ac:dyDescent="0.3">
      <c r="A453" s="10">
        <v>10452</v>
      </c>
      <c r="B453" s="10">
        <v>613</v>
      </c>
      <c r="C453" s="10">
        <v>2046</v>
      </c>
      <c r="D453" s="10">
        <v>304</v>
      </c>
      <c r="E453" s="1" t="s">
        <v>97</v>
      </c>
      <c r="F453" s="1" t="s">
        <v>240</v>
      </c>
      <c r="G453" s="10">
        <v>35</v>
      </c>
      <c r="H453" s="1" t="s">
        <v>36</v>
      </c>
    </row>
    <row r="454" spans="1:8" ht="15.75" customHeight="1" x14ac:dyDescent="0.3">
      <c r="A454" s="10">
        <v>10453</v>
      </c>
      <c r="B454" s="10">
        <v>591</v>
      </c>
      <c r="C454" s="10">
        <v>2005</v>
      </c>
      <c r="D454" s="10">
        <v>302</v>
      </c>
      <c r="E454" s="1" t="s">
        <v>206</v>
      </c>
      <c r="F454" s="1" t="s">
        <v>40</v>
      </c>
      <c r="G454" s="10">
        <v>92</v>
      </c>
      <c r="H454" s="1" t="s">
        <v>36</v>
      </c>
    </row>
    <row r="455" spans="1:8" ht="15.75" customHeight="1" x14ac:dyDescent="0.3">
      <c r="A455" s="10">
        <v>10454</v>
      </c>
      <c r="B455" s="10">
        <v>789</v>
      </c>
      <c r="C455" s="10">
        <v>2068</v>
      </c>
      <c r="D455" s="10">
        <v>304</v>
      </c>
      <c r="E455" s="1" t="s">
        <v>370</v>
      </c>
      <c r="F455" s="1" t="s">
        <v>379</v>
      </c>
      <c r="G455" s="10">
        <v>94</v>
      </c>
      <c r="H455" s="1" t="s">
        <v>78</v>
      </c>
    </row>
    <row r="456" spans="1:8" ht="15.75" customHeight="1" x14ac:dyDescent="0.3">
      <c r="A456" s="10">
        <v>10455</v>
      </c>
      <c r="B456" s="10">
        <v>599</v>
      </c>
      <c r="C456" s="10">
        <v>2028</v>
      </c>
      <c r="D456" s="10">
        <v>304</v>
      </c>
      <c r="E456" s="1" t="s">
        <v>72</v>
      </c>
      <c r="F456" s="1" t="s">
        <v>229</v>
      </c>
      <c r="G456" s="10">
        <v>90</v>
      </c>
      <c r="H456" s="1" t="s">
        <v>39</v>
      </c>
    </row>
    <row r="457" spans="1:8" ht="15.75" customHeight="1" x14ac:dyDescent="0.3">
      <c r="A457" s="10">
        <v>10456</v>
      </c>
      <c r="B457" s="10">
        <v>877</v>
      </c>
      <c r="C457" s="10">
        <v>2095</v>
      </c>
      <c r="D457" s="10">
        <v>304</v>
      </c>
      <c r="E457" s="1" t="s">
        <v>378</v>
      </c>
      <c r="F457" s="1" t="s">
        <v>189</v>
      </c>
      <c r="G457" s="10">
        <v>76</v>
      </c>
      <c r="H457" s="1" t="s">
        <v>42</v>
      </c>
    </row>
    <row r="458" spans="1:8" ht="15.75" customHeight="1" x14ac:dyDescent="0.3">
      <c r="A458" s="10">
        <v>10457</v>
      </c>
      <c r="B458" s="10">
        <v>840</v>
      </c>
      <c r="C458" s="10">
        <v>2019</v>
      </c>
      <c r="D458" s="10">
        <v>320</v>
      </c>
      <c r="E458" s="1" t="s">
        <v>124</v>
      </c>
      <c r="F458" s="1" t="s">
        <v>126</v>
      </c>
      <c r="G458" s="10">
        <v>91</v>
      </c>
      <c r="H458" s="1" t="s">
        <v>39</v>
      </c>
    </row>
    <row r="459" spans="1:8" ht="15.75" customHeight="1" x14ac:dyDescent="0.3">
      <c r="A459" s="10">
        <v>10458</v>
      </c>
      <c r="B459" s="10">
        <v>754</v>
      </c>
      <c r="C459" s="10">
        <v>2024</v>
      </c>
      <c r="D459" s="10">
        <v>306</v>
      </c>
      <c r="E459" s="1" t="s">
        <v>238</v>
      </c>
      <c r="F459" s="1" t="s">
        <v>133</v>
      </c>
      <c r="G459" s="10">
        <v>76</v>
      </c>
      <c r="H459" s="1" t="s">
        <v>42</v>
      </c>
    </row>
    <row r="460" spans="1:8" ht="15.75" customHeight="1" x14ac:dyDescent="0.3">
      <c r="A460" s="10">
        <v>10459</v>
      </c>
      <c r="B460" s="10">
        <v>593</v>
      </c>
      <c r="C460" s="10">
        <v>2001</v>
      </c>
      <c r="D460" s="10">
        <v>302</v>
      </c>
      <c r="E460" s="1" t="s">
        <v>278</v>
      </c>
      <c r="F460" s="1" t="s">
        <v>313</v>
      </c>
      <c r="G460" s="10">
        <v>6</v>
      </c>
      <c r="H460" s="1" t="s">
        <v>39</v>
      </c>
    </row>
    <row r="461" spans="1:8" ht="15.75" customHeight="1" x14ac:dyDescent="0.3">
      <c r="A461" s="10">
        <v>10460</v>
      </c>
      <c r="B461" s="10">
        <v>895</v>
      </c>
      <c r="C461" s="10">
        <v>2056</v>
      </c>
      <c r="D461" s="10">
        <v>312</v>
      </c>
      <c r="E461" s="1" t="s">
        <v>320</v>
      </c>
      <c r="F461" s="1" t="s">
        <v>76</v>
      </c>
      <c r="G461" s="10">
        <v>85</v>
      </c>
      <c r="H461" s="1" t="s">
        <v>42</v>
      </c>
    </row>
    <row r="462" spans="1:8" ht="15.75" customHeight="1" x14ac:dyDescent="0.3">
      <c r="A462" s="10">
        <v>10461</v>
      </c>
      <c r="B462" s="10">
        <v>835</v>
      </c>
      <c r="C462" s="10">
        <v>2008</v>
      </c>
      <c r="D462" s="10">
        <v>305</v>
      </c>
      <c r="E462" s="1" t="s">
        <v>268</v>
      </c>
      <c r="F462" s="1" t="s">
        <v>264</v>
      </c>
      <c r="G462" s="10">
        <v>39</v>
      </c>
      <c r="H462" s="1" t="s">
        <v>39</v>
      </c>
    </row>
    <row r="463" spans="1:8" ht="15.75" customHeight="1" x14ac:dyDescent="0.3">
      <c r="A463" s="10">
        <v>10462</v>
      </c>
      <c r="B463" s="10">
        <v>843</v>
      </c>
      <c r="C463" s="10">
        <v>2007</v>
      </c>
      <c r="D463" s="10">
        <v>306</v>
      </c>
      <c r="E463" s="1" t="s">
        <v>332</v>
      </c>
      <c r="F463" s="1" t="s">
        <v>235</v>
      </c>
      <c r="G463" s="10">
        <v>80</v>
      </c>
      <c r="H463" s="1" t="s">
        <v>42</v>
      </c>
    </row>
    <row r="464" spans="1:8" ht="15.75" customHeight="1" x14ac:dyDescent="0.3">
      <c r="A464" s="10">
        <v>10463</v>
      </c>
      <c r="B464" s="10">
        <v>668</v>
      </c>
      <c r="C464" s="10">
        <v>2047</v>
      </c>
      <c r="D464" s="10">
        <v>319</v>
      </c>
      <c r="E464" s="1" t="s">
        <v>188</v>
      </c>
      <c r="F464" s="1" t="s">
        <v>221</v>
      </c>
      <c r="G464" s="10">
        <v>71</v>
      </c>
      <c r="H464" s="1" t="s">
        <v>39</v>
      </c>
    </row>
    <row r="465" spans="1:8" ht="15.75" customHeight="1" x14ac:dyDescent="0.3">
      <c r="A465" s="10">
        <v>10464</v>
      </c>
      <c r="B465" s="10">
        <v>514</v>
      </c>
      <c r="C465" s="10">
        <v>2035</v>
      </c>
      <c r="D465" s="10">
        <v>305</v>
      </c>
      <c r="E465" s="1" t="s">
        <v>53</v>
      </c>
      <c r="F465" s="1" t="s">
        <v>54</v>
      </c>
      <c r="G465" s="10">
        <v>89</v>
      </c>
      <c r="H465" s="1" t="s">
        <v>39</v>
      </c>
    </row>
    <row r="466" spans="1:8" ht="15.75" customHeight="1" x14ac:dyDescent="0.3">
      <c r="A466" s="10">
        <v>10465</v>
      </c>
      <c r="B466" s="10">
        <v>776</v>
      </c>
      <c r="C466" s="10">
        <v>2054</v>
      </c>
      <c r="D466" s="10">
        <v>310</v>
      </c>
      <c r="E466" s="1" t="s">
        <v>132</v>
      </c>
      <c r="F466" s="1" t="s">
        <v>308</v>
      </c>
      <c r="G466" s="10">
        <v>56</v>
      </c>
      <c r="H466" s="1" t="s">
        <v>78</v>
      </c>
    </row>
    <row r="467" spans="1:8" ht="15.75" customHeight="1" x14ac:dyDescent="0.3">
      <c r="A467" s="10">
        <v>10466</v>
      </c>
      <c r="B467" s="10">
        <v>821</v>
      </c>
      <c r="C467" s="10">
        <v>2091</v>
      </c>
      <c r="D467" s="10">
        <v>303</v>
      </c>
      <c r="E467" s="1" t="s">
        <v>331</v>
      </c>
      <c r="F467" s="1" t="s">
        <v>117</v>
      </c>
      <c r="G467" s="10">
        <v>56</v>
      </c>
      <c r="H467" s="1" t="s">
        <v>39</v>
      </c>
    </row>
    <row r="468" spans="1:8" ht="15.75" customHeight="1" x14ac:dyDescent="0.3">
      <c r="A468" s="10">
        <v>10467</v>
      </c>
      <c r="B468" s="10">
        <v>532</v>
      </c>
      <c r="C468" s="10">
        <v>2031</v>
      </c>
      <c r="D468" s="10">
        <v>308</v>
      </c>
      <c r="E468" s="1" t="s">
        <v>309</v>
      </c>
      <c r="F468" s="1" t="s">
        <v>246</v>
      </c>
      <c r="G468" s="10">
        <v>20</v>
      </c>
      <c r="H468" s="1" t="s">
        <v>36</v>
      </c>
    </row>
    <row r="469" spans="1:8" ht="15.75" customHeight="1" x14ac:dyDescent="0.3">
      <c r="A469" s="10">
        <v>10468</v>
      </c>
      <c r="B469" s="10">
        <v>844</v>
      </c>
      <c r="C469" s="10">
        <v>2011</v>
      </c>
      <c r="D469" s="10">
        <v>318</v>
      </c>
      <c r="E469" s="1" t="s">
        <v>276</v>
      </c>
      <c r="F469" s="1" t="s">
        <v>100</v>
      </c>
      <c r="G469" s="10">
        <v>1</v>
      </c>
      <c r="H469" s="1" t="s">
        <v>78</v>
      </c>
    </row>
    <row r="470" spans="1:8" ht="15.75" customHeight="1" x14ac:dyDescent="0.3">
      <c r="A470" s="10">
        <v>10469</v>
      </c>
      <c r="B470" s="10">
        <v>674</v>
      </c>
      <c r="C470" s="10">
        <v>2090</v>
      </c>
      <c r="D470" s="10">
        <v>315</v>
      </c>
      <c r="E470" s="1" t="s">
        <v>320</v>
      </c>
      <c r="F470" s="1" t="s">
        <v>359</v>
      </c>
      <c r="G470" s="10">
        <v>83</v>
      </c>
      <c r="H470" s="1" t="s">
        <v>36</v>
      </c>
    </row>
    <row r="471" spans="1:8" ht="15.75" customHeight="1" x14ac:dyDescent="0.3">
      <c r="A471" s="10">
        <v>10470</v>
      </c>
      <c r="B471" s="10">
        <v>586</v>
      </c>
      <c r="C471" s="10">
        <v>2063</v>
      </c>
      <c r="D471" s="10">
        <v>308</v>
      </c>
      <c r="E471" s="1" t="s">
        <v>233</v>
      </c>
      <c r="F471" s="1" t="s">
        <v>217</v>
      </c>
      <c r="G471" s="10">
        <v>6</v>
      </c>
      <c r="H471" s="1" t="s">
        <v>42</v>
      </c>
    </row>
    <row r="472" spans="1:8" ht="15.75" customHeight="1" x14ac:dyDescent="0.3">
      <c r="A472" s="10">
        <v>10471</v>
      </c>
      <c r="B472" s="10">
        <v>619</v>
      </c>
      <c r="C472" s="10">
        <v>2063</v>
      </c>
      <c r="D472" s="10">
        <v>319</v>
      </c>
      <c r="E472" s="1" t="s">
        <v>380</v>
      </c>
      <c r="F472" s="1" t="s">
        <v>165</v>
      </c>
      <c r="G472" s="10">
        <v>83</v>
      </c>
      <c r="H472" s="1" t="s">
        <v>39</v>
      </c>
    </row>
    <row r="473" spans="1:8" ht="15.75" customHeight="1" x14ac:dyDescent="0.3">
      <c r="A473" s="10">
        <v>10472</v>
      </c>
      <c r="B473" s="10">
        <v>666</v>
      </c>
      <c r="C473" s="10">
        <v>2078</v>
      </c>
      <c r="D473" s="10">
        <v>307</v>
      </c>
      <c r="E473" s="1" t="s">
        <v>315</v>
      </c>
      <c r="F473" s="1" t="s">
        <v>61</v>
      </c>
      <c r="G473" s="10">
        <v>39</v>
      </c>
      <c r="H473" s="1" t="s">
        <v>36</v>
      </c>
    </row>
    <row r="474" spans="1:8" ht="15.75" customHeight="1" x14ac:dyDescent="0.3">
      <c r="A474" s="10">
        <v>10473</v>
      </c>
      <c r="B474" s="10">
        <v>745</v>
      </c>
      <c r="C474" s="10">
        <v>2080</v>
      </c>
      <c r="D474" s="10">
        <v>316</v>
      </c>
      <c r="E474" s="1" t="s">
        <v>371</v>
      </c>
      <c r="F474" s="1" t="s">
        <v>297</v>
      </c>
      <c r="G474" s="10">
        <v>67</v>
      </c>
      <c r="H474" s="1" t="s">
        <v>42</v>
      </c>
    </row>
    <row r="475" spans="1:8" ht="15.75" customHeight="1" x14ac:dyDescent="0.3">
      <c r="A475" s="10">
        <v>10474</v>
      </c>
      <c r="B475" s="10">
        <v>807</v>
      </c>
      <c r="C475" s="10">
        <v>2025</v>
      </c>
      <c r="D475" s="10">
        <v>318</v>
      </c>
      <c r="E475" s="1" t="s">
        <v>54</v>
      </c>
      <c r="F475" s="1" t="s">
        <v>138</v>
      </c>
      <c r="G475" s="10">
        <v>23</v>
      </c>
      <c r="H475" s="1" t="s">
        <v>36</v>
      </c>
    </row>
    <row r="476" spans="1:8" ht="15.75" customHeight="1" x14ac:dyDescent="0.3">
      <c r="A476" s="10">
        <v>10475</v>
      </c>
      <c r="B476" s="10">
        <v>868</v>
      </c>
      <c r="C476" s="10">
        <v>2028</v>
      </c>
      <c r="D476" s="10">
        <v>319</v>
      </c>
      <c r="E476" s="1" t="s">
        <v>72</v>
      </c>
      <c r="F476" s="1" t="s">
        <v>207</v>
      </c>
      <c r="G476" s="10">
        <v>94</v>
      </c>
      <c r="H476" s="1" t="s">
        <v>78</v>
      </c>
    </row>
    <row r="477" spans="1:8" ht="15.75" customHeight="1" x14ac:dyDescent="0.3">
      <c r="A477" s="10">
        <v>10476</v>
      </c>
      <c r="B477" s="10">
        <v>715</v>
      </c>
      <c r="C477" s="10">
        <v>2070</v>
      </c>
      <c r="D477" s="10">
        <v>319</v>
      </c>
      <c r="E477" s="1" t="s">
        <v>381</v>
      </c>
      <c r="F477" s="1" t="s">
        <v>336</v>
      </c>
      <c r="G477" s="10">
        <v>73</v>
      </c>
      <c r="H477" s="1" t="s">
        <v>36</v>
      </c>
    </row>
    <row r="478" spans="1:8" ht="15.75" customHeight="1" x14ac:dyDescent="0.3">
      <c r="A478" s="10">
        <v>10477</v>
      </c>
      <c r="B478" s="10">
        <v>890</v>
      </c>
      <c r="C478" s="10">
        <v>2085</v>
      </c>
      <c r="D478" s="10">
        <v>311</v>
      </c>
      <c r="E478" s="1" t="s">
        <v>292</v>
      </c>
      <c r="F478" s="1" t="s">
        <v>195</v>
      </c>
      <c r="G478" s="10">
        <v>61</v>
      </c>
      <c r="H478" s="1" t="s">
        <v>42</v>
      </c>
    </row>
    <row r="479" spans="1:8" ht="15.75" customHeight="1" x14ac:dyDescent="0.3">
      <c r="A479" s="10">
        <v>10478</v>
      </c>
      <c r="B479" s="10">
        <v>866</v>
      </c>
      <c r="C479" s="10">
        <v>2009</v>
      </c>
      <c r="D479" s="10">
        <v>302</v>
      </c>
      <c r="E479" s="1" t="s">
        <v>92</v>
      </c>
      <c r="F479" s="1" t="s">
        <v>284</v>
      </c>
      <c r="G479" s="10">
        <v>13</v>
      </c>
      <c r="H479" s="1" t="s">
        <v>42</v>
      </c>
    </row>
    <row r="480" spans="1:8" ht="15.75" customHeight="1" x14ac:dyDescent="0.3">
      <c r="A480" s="10">
        <v>10479</v>
      </c>
      <c r="B480" s="10">
        <v>510</v>
      </c>
      <c r="C480" s="10">
        <v>2049</v>
      </c>
      <c r="D480" s="10">
        <v>315</v>
      </c>
      <c r="E480" s="1" t="s">
        <v>71</v>
      </c>
      <c r="F480" s="1" t="s">
        <v>272</v>
      </c>
      <c r="G480" s="10">
        <v>24</v>
      </c>
      <c r="H480" s="1" t="s">
        <v>36</v>
      </c>
    </row>
    <row r="481" spans="1:8" ht="15.75" customHeight="1" x14ac:dyDescent="0.3">
      <c r="A481" s="10">
        <v>10480</v>
      </c>
      <c r="B481" s="10">
        <v>677</v>
      </c>
      <c r="C481" s="10">
        <v>2071</v>
      </c>
      <c r="D481" s="10">
        <v>318</v>
      </c>
      <c r="E481" s="1" t="s">
        <v>344</v>
      </c>
      <c r="F481" s="1" t="s">
        <v>45</v>
      </c>
      <c r="G481" s="10">
        <v>22</v>
      </c>
      <c r="H481" s="1" t="s">
        <v>42</v>
      </c>
    </row>
    <row r="482" spans="1:8" ht="15.75" customHeight="1" x14ac:dyDescent="0.3">
      <c r="A482" s="10">
        <v>10481</v>
      </c>
      <c r="B482" s="10">
        <v>638</v>
      </c>
      <c r="C482" s="10">
        <v>2032</v>
      </c>
      <c r="D482" s="10">
        <v>314</v>
      </c>
      <c r="E482" s="1" t="s">
        <v>369</v>
      </c>
      <c r="F482" s="1" t="s">
        <v>37</v>
      </c>
      <c r="G482" s="10">
        <v>72</v>
      </c>
      <c r="H482" s="1" t="s">
        <v>36</v>
      </c>
    </row>
    <row r="483" spans="1:8" ht="15.75" customHeight="1" x14ac:dyDescent="0.3">
      <c r="A483" s="10">
        <v>10482</v>
      </c>
      <c r="B483" s="10">
        <v>741</v>
      </c>
      <c r="C483" s="10">
        <v>2098</v>
      </c>
      <c r="D483" s="10">
        <v>307</v>
      </c>
      <c r="E483" s="1" t="s">
        <v>262</v>
      </c>
      <c r="F483" s="1" t="s">
        <v>98</v>
      </c>
      <c r="G483" s="10">
        <v>9</v>
      </c>
      <c r="H483" s="1" t="s">
        <v>42</v>
      </c>
    </row>
    <row r="484" spans="1:8" ht="15.75" customHeight="1" x14ac:dyDescent="0.3">
      <c r="A484" s="10">
        <v>10483</v>
      </c>
      <c r="B484" s="10">
        <v>885</v>
      </c>
      <c r="C484" s="10">
        <v>2096</v>
      </c>
      <c r="D484" s="10">
        <v>315</v>
      </c>
      <c r="E484" s="1" t="s">
        <v>189</v>
      </c>
      <c r="F484" s="1" t="s">
        <v>205</v>
      </c>
      <c r="G484" s="10">
        <v>43</v>
      </c>
      <c r="H484" s="1" t="s">
        <v>36</v>
      </c>
    </row>
    <row r="485" spans="1:8" ht="15.75" customHeight="1" x14ac:dyDescent="0.3">
      <c r="A485" s="10">
        <v>10484</v>
      </c>
      <c r="B485" s="10">
        <v>702</v>
      </c>
      <c r="C485" s="10">
        <v>2024</v>
      </c>
      <c r="D485" s="10">
        <v>308</v>
      </c>
      <c r="E485" s="1" t="s">
        <v>85</v>
      </c>
      <c r="F485" s="1" t="s">
        <v>40</v>
      </c>
      <c r="G485" s="10">
        <v>91</v>
      </c>
      <c r="H485" s="1" t="s">
        <v>42</v>
      </c>
    </row>
    <row r="486" spans="1:8" ht="15.75" customHeight="1" x14ac:dyDescent="0.3">
      <c r="A486" s="10">
        <v>10485</v>
      </c>
      <c r="B486" s="10">
        <v>764</v>
      </c>
      <c r="C486" s="10">
        <v>2047</v>
      </c>
      <c r="D486" s="10">
        <v>315</v>
      </c>
      <c r="E486" s="1" t="s">
        <v>139</v>
      </c>
      <c r="F486" s="1" t="s">
        <v>133</v>
      </c>
      <c r="G486" s="10">
        <v>31</v>
      </c>
      <c r="H486" s="1" t="s">
        <v>39</v>
      </c>
    </row>
    <row r="487" spans="1:8" ht="15.75" customHeight="1" x14ac:dyDescent="0.3">
      <c r="A487" s="10">
        <v>10486</v>
      </c>
      <c r="B487" s="10">
        <v>557</v>
      </c>
      <c r="C487" s="10">
        <v>2092</v>
      </c>
      <c r="D487" s="10">
        <v>307</v>
      </c>
      <c r="E487" s="1" t="s">
        <v>351</v>
      </c>
      <c r="F487" s="1" t="s">
        <v>382</v>
      </c>
      <c r="G487" s="10">
        <v>40</v>
      </c>
      <c r="H487" s="1" t="s">
        <v>36</v>
      </c>
    </row>
    <row r="488" spans="1:8" ht="15.75" customHeight="1" x14ac:dyDescent="0.3">
      <c r="A488" s="10">
        <v>10487</v>
      </c>
      <c r="B488" s="10">
        <v>630</v>
      </c>
      <c r="C488" s="10">
        <v>2051</v>
      </c>
      <c r="D488" s="10">
        <v>304</v>
      </c>
      <c r="E488" s="1" t="s">
        <v>367</v>
      </c>
      <c r="F488" s="1" t="s">
        <v>329</v>
      </c>
      <c r="G488" s="10">
        <v>45</v>
      </c>
      <c r="H488" s="1" t="s">
        <v>42</v>
      </c>
    </row>
    <row r="489" spans="1:8" ht="15.75" customHeight="1" x14ac:dyDescent="0.3">
      <c r="A489" s="10">
        <v>10488</v>
      </c>
      <c r="B489" s="10">
        <v>599</v>
      </c>
      <c r="C489" s="10">
        <v>2002</v>
      </c>
      <c r="D489" s="10">
        <v>306</v>
      </c>
      <c r="E489" s="1" t="s">
        <v>383</v>
      </c>
      <c r="F489" s="1" t="s">
        <v>384</v>
      </c>
      <c r="G489" s="10">
        <v>57</v>
      </c>
      <c r="H489" s="1" t="s">
        <v>42</v>
      </c>
    </row>
    <row r="490" spans="1:8" ht="15.75" customHeight="1" x14ac:dyDescent="0.3">
      <c r="A490" s="10">
        <v>10489</v>
      </c>
      <c r="B490" s="10">
        <v>574</v>
      </c>
      <c r="C490" s="10">
        <v>2037</v>
      </c>
      <c r="D490" s="10">
        <v>303</v>
      </c>
      <c r="E490" s="1" t="s">
        <v>162</v>
      </c>
      <c r="F490" s="1" t="s">
        <v>365</v>
      </c>
      <c r="G490" s="10">
        <v>20</v>
      </c>
      <c r="H490" s="1" t="s">
        <v>36</v>
      </c>
    </row>
    <row r="491" spans="1:8" ht="15.75" customHeight="1" x14ac:dyDescent="0.3">
      <c r="A491" s="10">
        <v>10490</v>
      </c>
      <c r="B491" s="10">
        <v>714</v>
      </c>
      <c r="C491" s="10">
        <v>2005</v>
      </c>
      <c r="D491" s="10">
        <v>312</v>
      </c>
      <c r="E491" s="1" t="s">
        <v>227</v>
      </c>
      <c r="F491" s="1" t="s">
        <v>59</v>
      </c>
      <c r="G491" s="10">
        <v>58</v>
      </c>
      <c r="H491" s="1" t="s">
        <v>36</v>
      </c>
    </row>
    <row r="492" spans="1:8" ht="15.75" customHeight="1" x14ac:dyDescent="0.3">
      <c r="A492" s="10">
        <v>10491</v>
      </c>
      <c r="B492" s="10">
        <v>899</v>
      </c>
      <c r="C492" s="10">
        <v>2078</v>
      </c>
      <c r="D492" s="10">
        <v>313</v>
      </c>
      <c r="E492" s="1" t="s">
        <v>156</v>
      </c>
      <c r="F492" s="1" t="s">
        <v>380</v>
      </c>
      <c r="G492" s="10">
        <v>37</v>
      </c>
      <c r="H492" s="1" t="s">
        <v>78</v>
      </c>
    </row>
    <row r="493" spans="1:8" ht="15.75" customHeight="1" x14ac:dyDescent="0.3">
      <c r="A493" s="10">
        <v>10492</v>
      </c>
      <c r="B493" s="10">
        <v>503</v>
      </c>
      <c r="C493" s="10">
        <v>2007</v>
      </c>
      <c r="D493" s="10">
        <v>308</v>
      </c>
      <c r="E493" s="1" t="s">
        <v>227</v>
      </c>
      <c r="F493" s="1" t="s">
        <v>303</v>
      </c>
      <c r="G493" s="10">
        <v>20</v>
      </c>
      <c r="H493" s="1" t="s">
        <v>39</v>
      </c>
    </row>
    <row r="494" spans="1:8" ht="15.75" customHeight="1" x14ac:dyDescent="0.3">
      <c r="A494" s="10">
        <v>10493</v>
      </c>
      <c r="B494" s="10">
        <v>835</v>
      </c>
      <c r="C494" s="10">
        <v>2012</v>
      </c>
      <c r="D494" s="10">
        <v>311</v>
      </c>
      <c r="E494" s="1" t="s">
        <v>221</v>
      </c>
      <c r="F494" s="1" t="s">
        <v>385</v>
      </c>
      <c r="G494" s="10">
        <v>18</v>
      </c>
      <c r="H494" s="1" t="s">
        <v>36</v>
      </c>
    </row>
    <row r="495" spans="1:8" ht="15.75" customHeight="1" x14ac:dyDescent="0.3">
      <c r="A495" s="10">
        <v>10494</v>
      </c>
      <c r="B495" s="10">
        <v>867</v>
      </c>
      <c r="C495" s="10">
        <v>2032</v>
      </c>
      <c r="D495" s="10">
        <v>311</v>
      </c>
      <c r="E495" s="1" t="s">
        <v>157</v>
      </c>
      <c r="F495" s="1" t="s">
        <v>123</v>
      </c>
      <c r="G495" s="10">
        <v>35</v>
      </c>
      <c r="H495" s="1" t="s">
        <v>39</v>
      </c>
    </row>
    <row r="496" spans="1:8" ht="15.75" customHeight="1" x14ac:dyDescent="0.3">
      <c r="A496" s="10">
        <v>10495</v>
      </c>
      <c r="B496" s="10">
        <v>562</v>
      </c>
      <c r="C496" s="10">
        <v>2041</v>
      </c>
      <c r="D496" s="10">
        <v>302</v>
      </c>
      <c r="E496" s="1" t="s">
        <v>113</v>
      </c>
      <c r="F496" s="1" t="s">
        <v>175</v>
      </c>
      <c r="G496" s="10">
        <v>26</v>
      </c>
      <c r="H496" s="1" t="s">
        <v>39</v>
      </c>
    </row>
    <row r="497" spans="1:8" ht="15.75" customHeight="1" x14ac:dyDescent="0.3">
      <c r="A497" s="10">
        <v>10496</v>
      </c>
      <c r="B497" s="10">
        <v>833</v>
      </c>
      <c r="C497" s="10">
        <v>2054</v>
      </c>
      <c r="D497" s="10">
        <v>314</v>
      </c>
      <c r="E497" s="1" t="s">
        <v>109</v>
      </c>
      <c r="F497" s="1" t="s">
        <v>41</v>
      </c>
      <c r="G497" s="10">
        <v>66</v>
      </c>
      <c r="H497" s="1" t="s">
        <v>78</v>
      </c>
    </row>
    <row r="498" spans="1:8" ht="15.75" customHeight="1" x14ac:dyDescent="0.3">
      <c r="A498" s="10">
        <v>10497</v>
      </c>
      <c r="B498" s="10">
        <v>554</v>
      </c>
      <c r="C498" s="10">
        <v>2031</v>
      </c>
      <c r="D498" s="10">
        <v>314</v>
      </c>
      <c r="E498" s="1" t="s">
        <v>386</v>
      </c>
      <c r="F498" s="1" t="s">
        <v>223</v>
      </c>
      <c r="G498" s="10">
        <v>53</v>
      </c>
      <c r="H498" s="1" t="s">
        <v>78</v>
      </c>
    </row>
    <row r="499" spans="1:8" ht="15.75" customHeight="1" x14ac:dyDescent="0.3">
      <c r="A499" s="10">
        <v>10498</v>
      </c>
      <c r="B499" s="10">
        <v>654</v>
      </c>
      <c r="C499" s="10">
        <v>2056</v>
      </c>
      <c r="D499" s="10">
        <v>312</v>
      </c>
      <c r="E499" s="1" t="s">
        <v>245</v>
      </c>
      <c r="F499" s="1" t="s">
        <v>175</v>
      </c>
      <c r="G499" s="10">
        <v>97</v>
      </c>
      <c r="H499" s="1" t="s">
        <v>78</v>
      </c>
    </row>
    <row r="500" spans="1:8" ht="15.75" customHeight="1" x14ac:dyDescent="0.3">
      <c r="A500" s="10">
        <v>10499</v>
      </c>
      <c r="B500" s="10">
        <v>863</v>
      </c>
      <c r="C500" s="10">
        <v>2094</v>
      </c>
      <c r="D500" s="10">
        <v>304</v>
      </c>
      <c r="E500" s="1" t="s">
        <v>86</v>
      </c>
      <c r="F500" s="1" t="s">
        <v>378</v>
      </c>
      <c r="G500" s="10">
        <v>67</v>
      </c>
      <c r="H500" s="1" t="s">
        <v>78</v>
      </c>
    </row>
    <row r="501" spans="1:8" ht="15.75" customHeight="1" x14ac:dyDescent="0.3">
      <c r="A501" s="10">
        <v>10500</v>
      </c>
      <c r="B501" s="10">
        <v>658</v>
      </c>
      <c r="C501" s="10">
        <v>2048</v>
      </c>
      <c r="D501" s="10">
        <v>303</v>
      </c>
      <c r="E501" s="1" t="s">
        <v>262</v>
      </c>
      <c r="F501" s="1" t="s">
        <v>245</v>
      </c>
      <c r="G501" s="10">
        <v>38</v>
      </c>
      <c r="H501" s="1" t="s">
        <v>42</v>
      </c>
    </row>
    <row r="502" spans="1:8" ht="15.75" customHeight="1" x14ac:dyDescent="0.3">
      <c r="A502" s="10">
        <v>10501</v>
      </c>
      <c r="B502" s="10">
        <v>766</v>
      </c>
      <c r="C502" s="10">
        <v>2045</v>
      </c>
      <c r="D502" s="10">
        <v>314</v>
      </c>
      <c r="E502" s="1" t="s">
        <v>168</v>
      </c>
      <c r="F502" s="1" t="s">
        <v>132</v>
      </c>
      <c r="G502" s="10">
        <v>60</v>
      </c>
      <c r="H502" s="1" t="s">
        <v>78</v>
      </c>
    </row>
    <row r="503" spans="1:8" ht="15.75" customHeight="1" x14ac:dyDescent="0.3">
      <c r="A503" s="10">
        <v>10502</v>
      </c>
      <c r="B503" s="10">
        <v>758</v>
      </c>
      <c r="C503" s="10">
        <v>2027</v>
      </c>
      <c r="D503" s="10">
        <v>320</v>
      </c>
      <c r="E503" s="1" t="s">
        <v>275</v>
      </c>
      <c r="F503" s="1" t="s">
        <v>45</v>
      </c>
      <c r="G503" s="10">
        <v>36</v>
      </c>
      <c r="H503" s="1" t="s">
        <v>36</v>
      </c>
    </row>
    <row r="504" spans="1:8" ht="15.75" customHeight="1" x14ac:dyDescent="0.3">
      <c r="A504" s="10">
        <v>10503</v>
      </c>
      <c r="B504" s="10">
        <v>643</v>
      </c>
      <c r="C504" s="10">
        <v>2091</v>
      </c>
      <c r="D504" s="10">
        <v>304</v>
      </c>
      <c r="E504" s="1" t="s">
        <v>112</v>
      </c>
      <c r="F504" s="1" t="s">
        <v>344</v>
      </c>
      <c r="G504" s="10">
        <v>39</v>
      </c>
      <c r="H504" s="1" t="s">
        <v>42</v>
      </c>
    </row>
    <row r="505" spans="1:8" ht="15.75" customHeight="1" x14ac:dyDescent="0.3">
      <c r="A505" s="10">
        <v>10504</v>
      </c>
      <c r="B505" s="10">
        <v>695</v>
      </c>
      <c r="C505" s="10">
        <v>2052</v>
      </c>
      <c r="D505" s="10">
        <v>317</v>
      </c>
      <c r="E505" s="1" t="s">
        <v>150</v>
      </c>
      <c r="F505" s="1" t="s">
        <v>316</v>
      </c>
      <c r="G505" s="10">
        <v>31</v>
      </c>
      <c r="H505" s="1" t="s">
        <v>39</v>
      </c>
    </row>
    <row r="506" spans="1:8" ht="15.75" customHeight="1" x14ac:dyDescent="0.3">
      <c r="A506" s="10">
        <v>10505</v>
      </c>
      <c r="B506" s="10">
        <v>721</v>
      </c>
      <c r="C506" s="10">
        <v>2035</v>
      </c>
      <c r="D506" s="10">
        <v>312</v>
      </c>
      <c r="E506" s="1" t="s">
        <v>320</v>
      </c>
      <c r="F506" s="1" t="s">
        <v>123</v>
      </c>
      <c r="G506" s="10">
        <v>15</v>
      </c>
      <c r="H506" s="1" t="s">
        <v>36</v>
      </c>
    </row>
    <row r="507" spans="1:8" ht="15.75" customHeight="1" x14ac:dyDescent="0.3">
      <c r="A507" s="10">
        <v>10506</v>
      </c>
      <c r="B507" s="10">
        <v>844</v>
      </c>
      <c r="C507" s="10">
        <v>2084</v>
      </c>
      <c r="D507" s="10">
        <v>307</v>
      </c>
      <c r="E507" s="1" t="s">
        <v>285</v>
      </c>
      <c r="F507" s="1" t="s">
        <v>360</v>
      </c>
      <c r="G507" s="10">
        <v>41</v>
      </c>
      <c r="H507" s="1" t="s">
        <v>36</v>
      </c>
    </row>
    <row r="508" spans="1:8" ht="15.75" customHeight="1" x14ac:dyDescent="0.3">
      <c r="A508" s="10">
        <v>10507</v>
      </c>
      <c r="B508" s="10">
        <v>506</v>
      </c>
      <c r="C508" s="10">
        <v>2043</v>
      </c>
      <c r="D508" s="10">
        <v>303</v>
      </c>
      <c r="E508" s="1" t="s">
        <v>238</v>
      </c>
      <c r="F508" s="1" t="s">
        <v>134</v>
      </c>
      <c r="G508" s="10">
        <v>42</v>
      </c>
      <c r="H508" s="1" t="s">
        <v>39</v>
      </c>
    </row>
    <row r="509" spans="1:8" ht="15.75" customHeight="1" x14ac:dyDescent="0.3">
      <c r="A509" s="10">
        <v>10508</v>
      </c>
      <c r="B509" s="10">
        <v>837</v>
      </c>
      <c r="C509" s="10">
        <v>2070</v>
      </c>
      <c r="D509" s="10">
        <v>316</v>
      </c>
      <c r="E509" s="1" t="s">
        <v>168</v>
      </c>
      <c r="F509" s="1" t="s">
        <v>103</v>
      </c>
      <c r="G509" s="10">
        <v>58</v>
      </c>
      <c r="H509" s="1" t="s">
        <v>39</v>
      </c>
    </row>
    <row r="510" spans="1:8" ht="15.75" customHeight="1" x14ac:dyDescent="0.3">
      <c r="A510" s="10">
        <v>10509</v>
      </c>
      <c r="B510" s="10">
        <v>738</v>
      </c>
      <c r="C510" s="10">
        <v>2095</v>
      </c>
      <c r="D510" s="10">
        <v>319</v>
      </c>
      <c r="E510" s="1" t="s">
        <v>130</v>
      </c>
      <c r="F510" s="1" t="s">
        <v>236</v>
      </c>
      <c r="G510" s="10">
        <v>3</v>
      </c>
      <c r="H510" s="1" t="s">
        <v>42</v>
      </c>
    </row>
    <row r="511" spans="1:8" ht="15.75" customHeight="1" x14ac:dyDescent="0.3">
      <c r="A511" s="10">
        <v>10510</v>
      </c>
      <c r="B511" s="10">
        <v>660</v>
      </c>
      <c r="C511" s="10">
        <v>2039</v>
      </c>
      <c r="D511" s="10">
        <v>308</v>
      </c>
      <c r="E511" s="1" t="s">
        <v>57</v>
      </c>
      <c r="F511" s="1" t="s">
        <v>305</v>
      </c>
      <c r="G511" s="10">
        <v>51</v>
      </c>
      <c r="H511" s="1" t="s">
        <v>39</v>
      </c>
    </row>
    <row r="512" spans="1:8" ht="15.75" customHeight="1" x14ac:dyDescent="0.3">
      <c r="A512" s="10">
        <v>10511</v>
      </c>
      <c r="B512" s="10">
        <v>679</v>
      </c>
      <c r="C512" s="10">
        <v>2091</v>
      </c>
      <c r="D512" s="10">
        <v>314</v>
      </c>
      <c r="E512" s="1" t="s">
        <v>238</v>
      </c>
      <c r="F512" s="1" t="s">
        <v>139</v>
      </c>
      <c r="G512" s="10">
        <v>87</v>
      </c>
      <c r="H512" s="1" t="s">
        <v>78</v>
      </c>
    </row>
    <row r="513" spans="1:8" ht="15.75" customHeight="1" x14ac:dyDescent="0.3">
      <c r="A513" s="10">
        <v>10512</v>
      </c>
      <c r="B513" s="10">
        <v>563</v>
      </c>
      <c r="C513" s="10">
        <v>2023</v>
      </c>
      <c r="D513" s="10">
        <v>307</v>
      </c>
      <c r="E513" s="1" t="s">
        <v>203</v>
      </c>
      <c r="F513" s="1" t="s">
        <v>216</v>
      </c>
      <c r="G513" s="10">
        <v>70</v>
      </c>
      <c r="H513" s="1" t="s">
        <v>42</v>
      </c>
    </row>
    <row r="514" spans="1:8" ht="15.75" customHeight="1" x14ac:dyDescent="0.3">
      <c r="A514" s="10">
        <v>10513</v>
      </c>
      <c r="B514" s="10">
        <v>786</v>
      </c>
      <c r="C514" s="10">
        <v>2044</v>
      </c>
      <c r="D514" s="10">
        <v>312</v>
      </c>
      <c r="E514" s="1" t="s">
        <v>187</v>
      </c>
      <c r="F514" s="1" t="s">
        <v>71</v>
      </c>
      <c r="G514" s="10">
        <v>50</v>
      </c>
      <c r="H514" s="1" t="s">
        <v>36</v>
      </c>
    </row>
    <row r="515" spans="1:8" ht="15.75" customHeight="1" x14ac:dyDescent="0.3">
      <c r="A515" s="10">
        <v>10514</v>
      </c>
      <c r="B515" s="10">
        <v>831</v>
      </c>
      <c r="C515" s="10">
        <v>2002</v>
      </c>
      <c r="D515" s="10">
        <v>317</v>
      </c>
      <c r="E515" s="1" t="s">
        <v>197</v>
      </c>
      <c r="F515" s="1" t="s">
        <v>41</v>
      </c>
      <c r="G515" s="10">
        <v>8</v>
      </c>
      <c r="H515" s="1" t="s">
        <v>42</v>
      </c>
    </row>
    <row r="516" spans="1:8" ht="15.75" customHeight="1" x14ac:dyDescent="0.3">
      <c r="A516" s="10">
        <v>10515</v>
      </c>
      <c r="B516" s="10">
        <v>642</v>
      </c>
      <c r="C516" s="10">
        <v>2012</v>
      </c>
      <c r="D516" s="10">
        <v>316</v>
      </c>
      <c r="E516" s="1" t="s">
        <v>269</v>
      </c>
      <c r="F516" s="1" t="s">
        <v>306</v>
      </c>
      <c r="G516" s="10">
        <v>49</v>
      </c>
      <c r="H516" s="1" t="s">
        <v>36</v>
      </c>
    </row>
    <row r="517" spans="1:8" ht="15.75" customHeight="1" x14ac:dyDescent="0.3">
      <c r="A517" s="10">
        <v>10516</v>
      </c>
      <c r="B517" s="10">
        <v>677</v>
      </c>
      <c r="C517" s="10">
        <v>2037</v>
      </c>
      <c r="D517" s="10">
        <v>304</v>
      </c>
      <c r="E517" s="1" t="s">
        <v>387</v>
      </c>
      <c r="F517" s="1" t="s">
        <v>361</v>
      </c>
      <c r="G517" s="10">
        <v>27</v>
      </c>
      <c r="H517" s="1" t="s">
        <v>36</v>
      </c>
    </row>
    <row r="518" spans="1:8" ht="15.75" customHeight="1" x14ac:dyDescent="0.3">
      <c r="A518" s="10">
        <v>10517</v>
      </c>
      <c r="B518" s="10">
        <v>627</v>
      </c>
      <c r="C518" s="10">
        <v>2041</v>
      </c>
      <c r="D518" s="10">
        <v>302</v>
      </c>
      <c r="E518" s="1" t="s">
        <v>377</v>
      </c>
      <c r="F518" s="1" t="s">
        <v>73</v>
      </c>
      <c r="G518" s="10">
        <v>74</v>
      </c>
      <c r="H518" s="1" t="s">
        <v>78</v>
      </c>
    </row>
    <row r="519" spans="1:8" ht="15.75" customHeight="1" x14ac:dyDescent="0.3">
      <c r="A519" s="10">
        <v>10518</v>
      </c>
      <c r="B519" s="10">
        <v>665</v>
      </c>
      <c r="C519" s="10">
        <v>2043</v>
      </c>
      <c r="D519" s="10">
        <v>317</v>
      </c>
      <c r="E519" s="1" t="s">
        <v>302</v>
      </c>
      <c r="F519" s="1" t="s">
        <v>66</v>
      </c>
      <c r="G519" s="10">
        <v>21</v>
      </c>
      <c r="H519" s="1" t="s">
        <v>39</v>
      </c>
    </row>
    <row r="520" spans="1:8" ht="15.75" customHeight="1" x14ac:dyDescent="0.3">
      <c r="A520" s="10">
        <v>10519</v>
      </c>
      <c r="B520" s="10">
        <v>757</v>
      </c>
      <c r="C520" s="10">
        <v>2004</v>
      </c>
      <c r="D520" s="10">
        <v>312</v>
      </c>
      <c r="E520" s="1" t="s">
        <v>104</v>
      </c>
      <c r="F520" s="1" t="s">
        <v>190</v>
      </c>
      <c r="G520" s="10">
        <v>45</v>
      </c>
      <c r="H520" s="1" t="s">
        <v>42</v>
      </c>
    </row>
    <row r="521" spans="1:8" ht="15.75" customHeight="1" x14ac:dyDescent="0.3">
      <c r="A521" s="10">
        <v>10520</v>
      </c>
      <c r="B521" s="10">
        <v>792</v>
      </c>
      <c r="C521" s="10">
        <v>2011</v>
      </c>
      <c r="D521" s="10">
        <v>306</v>
      </c>
      <c r="E521" s="1" t="s">
        <v>166</v>
      </c>
      <c r="F521" s="1" t="s">
        <v>294</v>
      </c>
      <c r="G521" s="10">
        <v>51</v>
      </c>
      <c r="H521" s="1" t="s">
        <v>36</v>
      </c>
    </row>
    <row r="522" spans="1:8" ht="15.75" customHeight="1" x14ac:dyDescent="0.3">
      <c r="A522" s="10">
        <v>10521</v>
      </c>
      <c r="B522" s="10">
        <v>744</v>
      </c>
      <c r="C522" s="10">
        <v>2078</v>
      </c>
      <c r="D522" s="10">
        <v>319</v>
      </c>
      <c r="E522" s="1" t="s">
        <v>146</v>
      </c>
      <c r="F522" s="1" t="s">
        <v>383</v>
      </c>
      <c r="G522" s="10">
        <v>49</v>
      </c>
      <c r="H522" s="1" t="s">
        <v>42</v>
      </c>
    </row>
    <row r="523" spans="1:8" ht="15.75" customHeight="1" x14ac:dyDescent="0.3">
      <c r="A523" s="10">
        <v>10522</v>
      </c>
      <c r="B523" s="10">
        <v>639</v>
      </c>
      <c r="C523" s="10">
        <v>2084</v>
      </c>
      <c r="D523" s="10">
        <v>316</v>
      </c>
      <c r="E523" s="1" t="s">
        <v>65</v>
      </c>
      <c r="F523" s="1" t="s">
        <v>303</v>
      </c>
      <c r="G523" s="10">
        <v>19</v>
      </c>
      <c r="H523" s="1" t="s">
        <v>36</v>
      </c>
    </row>
    <row r="524" spans="1:8" ht="15.75" customHeight="1" x14ac:dyDescent="0.3">
      <c r="A524" s="10">
        <v>10523</v>
      </c>
      <c r="B524" s="10">
        <v>654</v>
      </c>
      <c r="C524" s="10">
        <v>2036</v>
      </c>
      <c r="D524" s="10">
        <v>313</v>
      </c>
      <c r="E524" s="1" t="s">
        <v>66</v>
      </c>
      <c r="F524" s="1" t="s">
        <v>95</v>
      </c>
      <c r="G524" s="10">
        <v>55</v>
      </c>
      <c r="H524" s="1" t="s">
        <v>39</v>
      </c>
    </row>
    <row r="525" spans="1:8" ht="15.75" customHeight="1" x14ac:dyDescent="0.3">
      <c r="A525" s="10">
        <v>10524</v>
      </c>
      <c r="B525" s="10">
        <v>754</v>
      </c>
      <c r="C525" s="10">
        <v>2044</v>
      </c>
      <c r="D525" s="10">
        <v>303</v>
      </c>
      <c r="E525" s="1" t="s">
        <v>299</v>
      </c>
      <c r="F525" s="1" t="s">
        <v>122</v>
      </c>
      <c r="G525" s="10">
        <v>72</v>
      </c>
      <c r="H525" s="1" t="s">
        <v>39</v>
      </c>
    </row>
    <row r="526" spans="1:8" ht="15.75" customHeight="1" x14ac:dyDescent="0.3">
      <c r="A526" s="10">
        <v>10525</v>
      </c>
      <c r="B526" s="10">
        <v>627</v>
      </c>
      <c r="C526" s="10">
        <v>2012</v>
      </c>
      <c r="D526" s="10">
        <v>317</v>
      </c>
      <c r="E526" s="1" t="s">
        <v>205</v>
      </c>
      <c r="F526" s="1" t="s">
        <v>85</v>
      </c>
      <c r="G526" s="10">
        <v>35</v>
      </c>
      <c r="H526" s="1" t="s">
        <v>36</v>
      </c>
    </row>
    <row r="527" spans="1:8" ht="15.75" customHeight="1" x14ac:dyDescent="0.3">
      <c r="A527" s="10">
        <v>10526</v>
      </c>
      <c r="B527" s="10">
        <v>742</v>
      </c>
      <c r="C527" s="10">
        <v>2057</v>
      </c>
      <c r="D527" s="10">
        <v>315</v>
      </c>
      <c r="E527" s="1" t="s">
        <v>344</v>
      </c>
      <c r="F527" s="1" t="s">
        <v>345</v>
      </c>
      <c r="G527" s="10">
        <v>59</v>
      </c>
      <c r="H527" s="1" t="s">
        <v>42</v>
      </c>
    </row>
    <row r="528" spans="1:8" ht="15.75" customHeight="1" x14ac:dyDescent="0.3">
      <c r="A528" s="10">
        <v>10527</v>
      </c>
      <c r="B528" s="10">
        <v>533</v>
      </c>
      <c r="C528" s="10">
        <v>2040</v>
      </c>
      <c r="D528" s="10">
        <v>318</v>
      </c>
      <c r="E528" s="1" t="s">
        <v>107</v>
      </c>
      <c r="F528" s="1" t="s">
        <v>217</v>
      </c>
      <c r="G528" s="10">
        <v>29</v>
      </c>
      <c r="H528" s="1" t="s">
        <v>39</v>
      </c>
    </row>
    <row r="529" spans="1:8" ht="15.75" customHeight="1" x14ac:dyDescent="0.3">
      <c r="A529" s="10">
        <v>10528</v>
      </c>
      <c r="B529" s="10">
        <v>551</v>
      </c>
      <c r="C529" s="10">
        <v>2078</v>
      </c>
      <c r="D529" s="10">
        <v>306</v>
      </c>
      <c r="E529" s="1" t="s">
        <v>295</v>
      </c>
      <c r="F529" s="1" t="s">
        <v>57</v>
      </c>
      <c r="G529" s="10">
        <v>28</v>
      </c>
      <c r="H529" s="1" t="s">
        <v>78</v>
      </c>
    </row>
    <row r="530" spans="1:8" ht="15.75" customHeight="1" x14ac:dyDescent="0.3">
      <c r="A530" s="10">
        <v>10529</v>
      </c>
      <c r="B530" s="10">
        <v>623</v>
      </c>
      <c r="C530" s="10">
        <v>2078</v>
      </c>
      <c r="D530" s="10">
        <v>309</v>
      </c>
      <c r="E530" s="1" t="s">
        <v>90</v>
      </c>
      <c r="F530" s="1" t="s">
        <v>288</v>
      </c>
      <c r="G530" s="10">
        <v>48</v>
      </c>
      <c r="H530" s="1" t="s">
        <v>78</v>
      </c>
    </row>
    <row r="531" spans="1:8" ht="15.75" customHeight="1" x14ac:dyDescent="0.3">
      <c r="A531" s="10">
        <v>10530</v>
      </c>
      <c r="B531" s="10">
        <v>510</v>
      </c>
      <c r="C531" s="10">
        <v>2086</v>
      </c>
      <c r="D531" s="10">
        <v>308</v>
      </c>
      <c r="E531" s="1" t="s">
        <v>59</v>
      </c>
      <c r="F531" s="1" t="s">
        <v>388</v>
      </c>
      <c r="G531" s="10">
        <v>8</v>
      </c>
      <c r="H531" s="1" t="s">
        <v>42</v>
      </c>
    </row>
    <row r="532" spans="1:8" ht="15.75" customHeight="1" x14ac:dyDescent="0.3">
      <c r="A532" s="10">
        <v>10531</v>
      </c>
      <c r="B532" s="10">
        <v>636</v>
      </c>
      <c r="C532" s="10">
        <v>2035</v>
      </c>
      <c r="D532" s="10">
        <v>316</v>
      </c>
      <c r="E532" s="1" t="s">
        <v>63</v>
      </c>
      <c r="F532" s="1" t="s">
        <v>112</v>
      </c>
      <c r="G532" s="10">
        <v>81</v>
      </c>
      <c r="H532" s="1" t="s">
        <v>36</v>
      </c>
    </row>
    <row r="533" spans="1:8" ht="15.75" customHeight="1" x14ac:dyDescent="0.3">
      <c r="A533" s="10">
        <v>10532</v>
      </c>
      <c r="B533" s="10">
        <v>774</v>
      </c>
      <c r="C533" s="10">
        <v>2025</v>
      </c>
      <c r="D533" s="10">
        <v>315</v>
      </c>
      <c r="E533" s="1" t="s">
        <v>334</v>
      </c>
      <c r="F533" s="1" t="s">
        <v>227</v>
      </c>
      <c r="G533" s="10">
        <v>23</v>
      </c>
      <c r="H533" s="1" t="s">
        <v>42</v>
      </c>
    </row>
    <row r="534" spans="1:8" ht="15.75" customHeight="1" x14ac:dyDescent="0.3">
      <c r="A534" s="10">
        <v>10533</v>
      </c>
      <c r="B534" s="10">
        <v>794</v>
      </c>
      <c r="C534" s="10">
        <v>2072</v>
      </c>
      <c r="D534" s="10">
        <v>304</v>
      </c>
      <c r="E534" s="1" t="s">
        <v>294</v>
      </c>
      <c r="F534" s="1" t="s">
        <v>250</v>
      </c>
      <c r="G534" s="10">
        <v>32</v>
      </c>
      <c r="H534" s="1" t="s">
        <v>39</v>
      </c>
    </row>
    <row r="535" spans="1:8" ht="15.75" customHeight="1" x14ac:dyDescent="0.3">
      <c r="A535" s="10">
        <v>10534</v>
      </c>
      <c r="B535" s="10">
        <v>866</v>
      </c>
      <c r="C535" s="10">
        <v>2022</v>
      </c>
      <c r="D535" s="10">
        <v>304</v>
      </c>
      <c r="E535" s="1" t="s">
        <v>63</v>
      </c>
      <c r="F535" s="1" t="s">
        <v>231</v>
      </c>
      <c r="G535" s="10">
        <v>34</v>
      </c>
      <c r="H535" s="1" t="s">
        <v>39</v>
      </c>
    </row>
    <row r="536" spans="1:8" ht="15.75" customHeight="1" x14ac:dyDescent="0.3">
      <c r="A536" s="10">
        <v>10535</v>
      </c>
      <c r="B536" s="10">
        <v>818</v>
      </c>
      <c r="C536" s="10">
        <v>2057</v>
      </c>
      <c r="D536" s="10">
        <v>302</v>
      </c>
      <c r="E536" s="1" t="s">
        <v>389</v>
      </c>
      <c r="F536" s="1" t="s">
        <v>332</v>
      </c>
      <c r="G536" s="10">
        <v>33</v>
      </c>
      <c r="H536" s="1" t="s">
        <v>39</v>
      </c>
    </row>
    <row r="537" spans="1:8" ht="15.75" customHeight="1" x14ac:dyDescent="0.3">
      <c r="A537" s="10">
        <v>10536</v>
      </c>
      <c r="B537" s="10">
        <v>894</v>
      </c>
      <c r="C537" s="10">
        <v>2082</v>
      </c>
      <c r="D537" s="10">
        <v>302</v>
      </c>
      <c r="E537" s="1" t="s">
        <v>283</v>
      </c>
      <c r="F537" s="1" t="s">
        <v>95</v>
      </c>
      <c r="G537" s="10">
        <v>3</v>
      </c>
      <c r="H537" s="1" t="s">
        <v>36</v>
      </c>
    </row>
    <row r="538" spans="1:8" ht="15.75" customHeight="1" x14ac:dyDescent="0.3">
      <c r="A538" s="10">
        <v>10537</v>
      </c>
      <c r="B538" s="10">
        <v>867</v>
      </c>
      <c r="C538" s="10">
        <v>2074</v>
      </c>
      <c r="D538" s="10">
        <v>318</v>
      </c>
      <c r="E538" s="1" t="s">
        <v>213</v>
      </c>
      <c r="F538" s="1" t="s">
        <v>339</v>
      </c>
      <c r="G538" s="10">
        <v>82</v>
      </c>
      <c r="H538" s="1" t="s">
        <v>36</v>
      </c>
    </row>
    <row r="539" spans="1:8" ht="15.75" customHeight="1" x14ac:dyDescent="0.3">
      <c r="A539" s="10">
        <v>10538</v>
      </c>
      <c r="B539" s="10">
        <v>879</v>
      </c>
      <c r="C539" s="10">
        <v>2038</v>
      </c>
      <c r="D539" s="10">
        <v>302</v>
      </c>
      <c r="E539" s="1" t="s">
        <v>390</v>
      </c>
      <c r="F539" s="1" t="s">
        <v>363</v>
      </c>
      <c r="G539" s="10">
        <v>72</v>
      </c>
      <c r="H539" s="1" t="s">
        <v>78</v>
      </c>
    </row>
    <row r="540" spans="1:8" ht="15.75" customHeight="1" x14ac:dyDescent="0.3">
      <c r="A540" s="10">
        <v>10539</v>
      </c>
      <c r="B540" s="10">
        <v>785</v>
      </c>
      <c r="C540" s="10">
        <v>2081</v>
      </c>
      <c r="D540" s="10">
        <v>304</v>
      </c>
      <c r="E540" s="1" t="s">
        <v>266</v>
      </c>
      <c r="F540" s="1" t="s">
        <v>313</v>
      </c>
      <c r="G540" s="10">
        <v>36</v>
      </c>
      <c r="H540" s="1" t="s">
        <v>36</v>
      </c>
    </row>
    <row r="541" spans="1:8" ht="15.75" customHeight="1" x14ac:dyDescent="0.3">
      <c r="A541" s="10">
        <v>10540</v>
      </c>
      <c r="B541" s="10">
        <v>536</v>
      </c>
      <c r="C541" s="10">
        <v>2055</v>
      </c>
      <c r="D541" s="10">
        <v>304</v>
      </c>
      <c r="E541" s="1" t="s">
        <v>73</v>
      </c>
      <c r="F541" s="1" t="s">
        <v>244</v>
      </c>
      <c r="G541" s="10">
        <v>85</v>
      </c>
      <c r="H541" s="1" t="s">
        <v>78</v>
      </c>
    </row>
    <row r="542" spans="1:8" ht="15.75" customHeight="1" x14ac:dyDescent="0.3">
      <c r="A542" s="10">
        <v>10541</v>
      </c>
      <c r="B542" s="10">
        <v>551</v>
      </c>
      <c r="C542" s="10">
        <v>2065</v>
      </c>
      <c r="D542" s="10">
        <v>307</v>
      </c>
      <c r="E542" s="1" t="s">
        <v>256</v>
      </c>
      <c r="F542" s="1" t="s">
        <v>378</v>
      </c>
      <c r="G542" s="10">
        <v>68</v>
      </c>
      <c r="H542" s="1" t="s">
        <v>39</v>
      </c>
    </row>
    <row r="543" spans="1:8" ht="15.75" customHeight="1" x14ac:dyDescent="0.3">
      <c r="A543" s="10">
        <v>10542</v>
      </c>
      <c r="B543" s="10">
        <v>765</v>
      </c>
      <c r="C543" s="10">
        <v>2053</v>
      </c>
      <c r="D543" s="10">
        <v>320</v>
      </c>
      <c r="E543" s="1" t="s">
        <v>193</v>
      </c>
      <c r="F543" s="1" t="s">
        <v>115</v>
      </c>
      <c r="G543" s="10">
        <v>20</v>
      </c>
      <c r="H543" s="1" t="s">
        <v>78</v>
      </c>
    </row>
    <row r="544" spans="1:8" ht="15.75" customHeight="1" x14ac:dyDescent="0.3">
      <c r="A544" s="10">
        <v>10543</v>
      </c>
      <c r="B544" s="10">
        <v>896</v>
      </c>
      <c r="C544" s="10">
        <v>2073</v>
      </c>
      <c r="D544" s="10">
        <v>303</v>
      </c>
      <c r="E544" s="1" t="s">
        <v>344</v>
      </c>
      <c r="F544" s="1" t="s">
        <v>45</v>
      </c>
      <c r="G544" s="10">
        <v>2</v>
      </c>
      <c r="H544" s="1" t="s">
        <v>78</v>
      </c>
    </row>
    <row r="545" spans="1:8" ht="15.75" customHeight="1" x14ac:dyDescent="0.3">
      <c r="A545" s="10">
        <v>10544</v>
      </c>
      <c r="B545" s="10">
        <v>565</v>
      </c>
      <c r="C545" s="10">
        <v>2084</v>
      </c>
      <c r="D545" s="10">
        <v>311</v>
      </c>
      <c r="E545" s="1" t="s">
        <v>293</v>
      </c>
      <c r="F545" s="1" t="s">
        <v>262</v>
      </c>
      <c r="G545" s="10">
        <v>55</v>
      </c>
      <c r="H545" s="1" t="s">
        <v>39</v>
      </c>
    </row>
    <row r="546" spans="1:8" ht="15.75" customHeight="1" x14ac:dyDescent="0.3">
      <c r="A546" s="10">
        <v>10545</v>
      </c>
      <c r="B546" s="10">
        <v>833</v>
      </c>
      <c r="C546" s="10">
        <v>2045</v>
      </c>
      <c r="D546" s="10">
        <v>311</v>
      </c>
      <c r="E546" s="1" t="s">
        <v>115</v>
      </c>
      <c r="F546" s="1" t="s">
        <v>385</v>
      </c>
      <c r="G546" s="10">
        <v>100</v>
      </c>
      <c r="H546" s="1" t="s">
        <v>42</v>
      </c>
    </row>
    <row r="547" spans="1:8" ht="15.75" customHeight="1" x14ac:dyDescent="0.3">
      <c r="A547" s="10">
        <v>10546</v>
      </c>
      <c r="B547" s="10">
        <v>667</v>
      </c>
      <c r="C547" s="10">
        <v>2076</v>
      </c>
      <c r="D547" s="10">
        <v>302</v>
      </c>
      <c r="E547" s="1" t="s">
        <v>391</v>
      </c>
      <c r="F547" s="1" t="s">
        <v>212</v>
      </c>
      <c r="G547" s="10">
        <v>29</v>
      </c>
      <c r="H547" s="1" t="s">
        <v>39</v>
      </c>
    </row>
    <row r="548" spans="1:8" ht="15.75" customHeight="1" x14ac:dyDescent="0.3">
      <c r="A548" s="10">
        <v>10547</v>
      </c>
      <c r="B548" s="10">
        <v>719</v>
      </c>
      <c r="C548" s="10">
        <v>2020</v>
      </c>
      <c r="D548" s="10">
        <v>301</v>
      </c>
      <c r="E548" s="1" t="s">
        <v>198</v>
      </c>
      <c r="F548" s="1" t="s">
        <v>329</v>
      </c>
      <c r="G548" s="10">
        <v>49</v>
      </c>
      <c r="H548" s="1" t="s">
        <v>39</v>
      </c>
    </row>
    <row r="549" spans="1:8" ht="15.75" customHeight="1" x14ac:dyDescent="0.3">
      <c r="A549" s="10">
        <v>10548</v>
      </c>
      <c r="B549" s="10">
        <v>744</v>
      </c>
      <c r="C549" s="10">
        <v>2025</v>
      </c>
      <c r="D549" s="10">
        <v>302</v>
      </c>
      <c r="E549" s="1" t="s">
        <v>233</v>
      </c>
      <c r="F549" s="1" t="s">
        <v>76</v>
      </c>
      <c r="G549" s="10">
        <v>38</v>
      </c>
      <c r="H549" s="1" t="s">
        <v>39</v>
      </c>
    </row>
    <row r="550" spans="1:8" ht="15.75" customHeight="1" x14ac:dyDescent="0.3">
      <c r="A550" s="10">
        <v>10549</v>
      </c>
      <c r="B550" s="10">
        <v>756</v>
      </c>
      <c r="C550" s="10">
        <v>2094</v>
      </c>
      <c r="D550" s="10">
        <v>305</v>
      </c>
      <c r="E550" s="1" t="s">
        <v>52</v>
      </c>
      <c r="F550" s="1" t="s">
        <v>271</v>
      </c>
      <c r="G550" s="10">
        <v>66</v>
      </c>
      <c r="H550" s="1" t="s">
        <v>39</v>
      </c>
    </row>
    <row r="551" spans="1:8" ht="15.75" customHeight="1" x14ac:dyDescent="0.3">
      <c r="A551" s="10">
        <v>10550</v>
      </c>
      <c r="B551" s="10">
        <v>796</v>
      </c>
      <c r="C551" s="10">
        <v>2019</v>
      </c>
      <c r="D551" s="10">
        <v>319</v>
      </c>
      <c r="E551" s="1" t="s">
        <v>260</v>
      </c>
      <c r="F551" s="1" t="s">
        <v>207</v>
      </c>
      <c r="G551" s="10">
        <v>69</v>
      </c>
      <c r="H551" s="1" t="s">
        <v>42</v>
      </c>
    </row>
    <row r="552" spans="1:8" ht="15.75" customHeight="1" x14ac:dyDescent="0.3">
      <c r="A552" s="10">
        <v>10551</v>
      </c>
      <c r="B552" s="10">
        <v>734</v>
      </c>
      <c r="C552" s="10">
        <v>2010</v>
      </c>
      <c r="D552" s="10">
        <v>314</v>
      </c>
      <c r="E552" s="1" t="s">
        <v>264</v>
      </c>
      <c r="F552" s="1" t="s">
        <v>230</v>
      </c>
      <c r="G552" s="10">
        <v>61</v>
      </c>
      <c r="H552" s="1" t="s">
        <v>36</v>
      </c>
    </row>
    <row r="553" spans="1:8" ht="15.75" customHeight="1" x14ac:dyDescent="0.3">
      <c r="A553" s="10">
        <v>10552</v>
      </c>
      <c r="B553" s="10">
        <v>669</v>
      </c>
      <c r="C553" s="10">
        <v>2035</v>
      </c>
      <c r="D553" s="10">
        <v>308</v>
      </c>
      <c r="E553" s="1" t="s">
        <v>62</v>
      </c>
      <c r="F553" s="1" t="s">
        <v>392</v>
      </c>
      <c r="G553" s="10">
        <v>59</v>
      </c>
      <c r="H553" s="1" t="s">
        <v>36</v>
      </c>
    </row>
    <row r="554" spans="1:8" ht="15.75" customHeight="1" x14ac:dyDescent="0.3">
      <c r="A554" s="10">
        <v>10553</v>
      </c>
      <c r="B554" s="10">
        <v>533</v>
      </c>
      <c r="C554" s="10">
        <v>2043</v>
      </c>
      <c r="D554" s="10">
        <v>305</v>
      </c>
      <c r="E554" s="1" t="s">
        <v>319</v>
      </c>
      <c r="F554" s="1" t="s">
        <v>259</v>
      </c>
      <c r="G554" s="10">
        <v>92</v>
      </c>
      <c r="H554" s="1" t="s">
        <v>42</v>
      </c>
    </row>
    <row r="555" spans="1:8" ht="15.75" customHeight="1" x14ac:dyDescent="0.3">
      <c r="A555" s="10">
        <v>10554</v>
      </c>
      <c r="B555" s="10">
        <v>579</v>
      </c>
      <c r="C555" s="10">
        <v>2036</v>
      </c>
      <c r="D555" s="10">
        <v>304</v>
      </c>
      <c r="E555" s="1" t="s">
        <v>68</v>
      </c>
      <c r="F555" s="1" t="s">
        <v>69</v>
      </c>
      <c r="G555" s="10">
        <v>66</v>
      </c>
      <c r="H555" s="1" t="s">
        <v>39</v>
      </c>
    </row>
    <row r="556" spans="1:8" ht="15.75" customHeight="1" x14ac:dyDescent="0.3">
      <c r="A556" s="10">
        <v>10555</v>
      </c>
      <c r="B556" s="10">
        <v>618</v>
      </c>
      <c r="C556" s="10">
        <v>2013</v>
      </c>
      <c r="D556" s="10">
        <v>308</v>
      </c>
      <c r="E556" s="1" t="s">
        <v>243</v>
      </c>
      <c r="F556" s="1" t="s">
        <v>377</v>
      </c>
      <c r="G556" s="10">
        <v>77</v>
      </c>
      <c r="H556" s="1" t="s">
        <v>78</v>
      </c>
    </row>
    <row r="557" spans="1:8" ht="15.75" customHeight="1" x14ac:dyDescent="0.3">
      <c r="A557" s="10">
        <v>10556</v>
      </c>
      <c r="B557" s="10">
        <v>613</v>
      </c>
      <c r="C557" s="10">
        <v>2056</v>
      </c>
      <c r="D557" s="10">
        <v>314</v>
      </c>
      <c r="E557" s="1" t="s">
        <v>178</v>
      </c>
      <c r="F557" s="1" t="s">
        <v>182</v>
      </c>
      <c r="G557" s="10">
        <v>32</v>
      </c>
      <c r="H557" s="1" t="s">
        <v>78</v>
      </c>
    </row>
    <row r="558" spans="1:8" ht="15.75" customHeight="1" x14ac:dyDescent="0.3">
      <c r="A558" s="10">
        <v>10557</v>
      </c>
      <c r="B558" s="10">
        <v>710</v>
      </c>
      <c r="C558" s="10">
        <v>2024</v>
      </c>
      <c r="D558" s="10">
        <v>304</v>
      </c>
      <c r="E558" s="1" t="s">
        <v>346</v>
      </c>
      <c r="F558" s="1" t="s">
        <v>71</v>
      </c>
      <c r="G558" s="10">
        <v>73</v>
      </c>
      <c r="H558" s="1" t="s">
        <v>42</v>
      </c>
    </row>
    <row r="559" spans="1:8" ht="15.75" customHeight="1" x14ac:dyDescent="0.3">
      <c r="A559" s="10">
        <v>10558</v>
      </c>
      <c r="B559" s="10">
        <v>758</v>
      </c>
      <c r="C559" s="10">
        <v>2068</v>
      </c>
      <c r="D559" s="10">
        <v>317</v>
      </c>
      <c r="E559" s="1" t="s">
        <v>115</v>
      </c>
      <c r="F559" s="1" t="s">
        <v>205</v>
      </c>
      <c r="G559" s="10">
        <v>12</v>
      </c>
      <c r="H559" s="1" t="s">
        <v>39</v>
      </c>
    </row>
    <row r="560" spans="1:8" ht="15.75" customHeight="1" x14ac:dyDescent="0.3">
      <c r="A560" s="10">
        <v>10559</v>
      </c>
      <c r="B560" s="10">
        <v>698</v>
      </c>
      <c r="C560" s="10">
        <v>2060</v>
      </c>
      <c r="D560" s="10">
        <v>310</v>
      </c>
      <c r="E560" s="1" t="s">
        <v>287</v>
      </c>
      <c r="F560" s="1" t="s">
        <v>202</v>
      </c>
      <c r="G560" s="10">
        <v>93</v>
      </c>
      <c r="H560" s="1" t="s">
        <v>36</v>
      </c>
    </row>
    <row r="561" spans="1:8" ht="15.75" customHeight="1" x14ac:dyDescent="0.3">
      <c r="A561" s="10">
        <v>10560</v>
      </c>
      <c r="B561" s="10">
        <v>672</v>
      </c>
      <c r="C561" s="10">
        <v>2044</v>
      </c>
      <c r="D561" s="10">
        <v>319</v>
      </c>
      <c r="E561" s="1" t="s">
        <v>247</v>
      </c>
      <c r="F561" s="1" t="s">
        <v>355</v>
      </c>
      <c r="G561" s="10">
        <v>1</v>
      </c>
      <c r="H561" s="1" t="s">
        <v>39</v>
      </c>
    </row>
    <row r="562" spans="1:8" ht="15.75" customHeight="1" x14ac:dyDescent="0.3">
      <c r="A562" s="10">
        <v>10561</v>
      </c>
      <c r="B562" s="10">
        <v>805</v>
      </c>
      <c r="C562" s="10">
        <v>2006</v>
      </c>
      <c r="D562" s="10">
        <v>312</v>
      </c>
      <c r="E562" s="1" t="s">
        <v>262</v>
      </c>
      <c r="F562" s="1" t="s">
        <v>245</v>
      </c>
      <c r="G562" s="10">
        <v>60</v>
      </c>
      <c r="H562" s="1" t="s">
        <v>42</v>
      </c>
    </row>
    <row r="563" spans="1:8" ht="15.75" customHeight="1" x14ac:dyDescent="0.3">
      <c r="A563" s="10">
        <v>10562</v>
      </c>
      <c r="B563" s="10">
        <v>590</v>
      </c>
      <c r="C563" s="10">
        <v>2032</v>
      </c>
      <c r="D563" s="10">
        <v>305</v>
      </c>
      <c r="E563" s="1" t="s">
        <v>288</v>
      </c>
      <c r="F563" s="1" t="s">
        <v>341</v>
      </c>
      <c r="G563" s="10">
        <v>43</v>
      </c>
      <c r="H563" s="1" t="s">
        <v>78</v>
      </c>
    </row>
    <row r="564" spans="1:8" ht="15.75" customHeight="1" x14ac:dyDescent="0.3">
      <c r="A564" s="10">
        <v>10563</v>
      </c>
      <c r="B564" s="10">
        <v>800</v>
      </c>
      <c r="C564" s="10">
        <v>2021</v>
      </c>
      <c r="D564" s="10">
        <v>304</v>
      </c>
      <c r="E564" s="1" t="s">
        <v>234</v>
      </c>
      <c r="F564" s="1" t="s">
        <v>80</v>
      </c>
      <c r="G564" s="10">
        <v>3</v>
      </c>
      <c r="H564" s="1" t="s">
        <v>36</v>
      </c>
    </row>
    <row r="565" spans="1:8" ht="15.75" customHeight="1" x14ac:dyDescent="0.3">
      <c r="A565" s="10">
        <v>10564</v>
      </c>
      <c r="B565" s="10">
        <v>800</v>
      </c>
      <c r="C565" s="10">
        <v>2034</v>
      </c>
      <c r="D565" s="10">
        <v>301</v>
      </c>
      <c r="E565" s="1" t="s">
        <v>174</v>
      </c>
      <c r="F565" s="1" t="s">
        <v>245</v>
      </c>
      <c r="G565" s="10">
        <v>78</v>
      </c>
      <c r="H565" s="1" t="s">
        <v>42</v>
      </c>
    </row>
    <row r="566" spans="1:8" ht="15.75" customHeight="1" x14ac:dyDescent="0.3">
      <c r="A566" s="10">
        <v>10565</v>
      </c>
      <c r="B566" s="10">
        <v>785</v>
      </c>
      <c r="C566" s="10">
        <v>2019</v>
      </c>
      <c r="D566" s="10">
        <v>317</v>
      </c>
      <c r="E566" s="1" t="s">
        <v>125</v>
      </c>
      <c r="F566" s="1" t="s">
        <v>114</v>
      </c>
      <c r="G566" s="10">
        <v>18</v>
      </c>
      <c r="H566" s="1" t="s">
        <v>42</v>
      </c>
    </row>
    <row r="567" spans="1:8" ht="15.75" customHeight="1" x14ac:dyDescent="0.3">
      <c r="A567" s="10">
        <v>10566</v>
      </c>
      <c r="B567" s="10">
        <v>607</v>
      </c>
      <c r="C567" s="10">
        <v>2008</v>
      </c>
      <c r="D567" s="10">
        <v>310</v>
      </c>
      <c r="E567" s="1" t="s">
        <v>73</v>
      </c>
      <c r="F567" s="1" t="s">
        <v>246</v>
      </c>
      <c r="G567" s="10">
        <v>56</v>
      </c>
      <c r="H567" s="1" t="s">
        <v>78</v>
      </c>
    </row>
    <row r="568" spans="1:8" ht="15.75" customHeight="1" x14ac:dyDescent="0.3">
      <c r="A568" s="10">
        <v>10567</v>
      </c>
      <c r="B568" s="10">
        <v>739</v>
      </c>
      <c r="C568" s="10">
        <v>2021</v>
      </c>
      <c r="D568" s="10">
        <v>309</v>
      </c>
      <c r="E568" s="1" t="s">
        <v>184</v>
      </c>
      <c r="F568" s="1" t="s">
        <v>349</v>
      </c>
      <c r="G568" s="10">
        <v>93</v>
      </c>
      <c r="H568" s="1" t="s">
        <v>42</v>
      </c>
    </row>
    <row r="569" spans="1:8" ht="15.75" customHeight="1" x14ac:dyDescent="0.3">
      <c r="A569" s="10">
        <v>10568</v>
      </c>
      <c r="B569" s="10">
        <v>832</v>
      </c>
      <c r="C569" s="10">
        <v>2093</v>
      </c>
      <c r="D569" s="10">
        <v>311</v>
      </c>
      <c r="E569" s="1" t="s">
        <v>372</v>
      </c>
      <c r="F569" s="1" t="s">
        <v>138</v>
      </c>
      <c r="G569" s="10">
        <v>3</v>
      </c>
      <c r="H569" s="1" t="s">
        <v>42</v>
      </c>
    </row>
    <row r="570" spans="1:8" ht="15.75" customHeight="1" x14ac:dyDescent="0.3">
      <c r="A570" s="10">
        <v>10569</v>
      </c>
      <c r="B570" s="10">
        <v>664</v>
      </c>
      <c r="C570" s="10">
        <v>2032</v>
      </c>
      <c r="D570" s="10">
        <v>302</v>
      </c>
      <c r="E570" s="1" t="s">
        <v>71</v>
      </c>
      <c r="F570" s="1" t="s">
        <v>338</v>
      </c>
      <c r="G570" s="10">
        <v>47</v>
      </c>
      <c r="H570" s="1" t="s">
        <v>78</v>
      </c>
    </row>
    <row r="571" spans="1:8" ht="15.75" customHeight="1" x14ac:dyDescent="0.3">
      <c r="A571" s="10">
        <v>10570</v>
      </c>
      <c r="B571" s="10">
        <v>832</v>
      </c>
      <c r="C571" s="10">
        <v>2088</v>
      </c>
      <c r="D571" s="10">
        <v>307</v>
      </c>
      <c r="E571" s="1" t="s">
        <v>172</v>
      </c>
      <c r="F571" s="1" t="s">
        <v>393</v>
      </c>
      <c r="G571" s="10">
        <v>50</v>
      </c>
      <c r="H571" s="1" t="s">
        <v>78</v>
      </c>
    </row>
    <row r="572" spans="1:8" ht="15.75" customHeight="1" x14ac:dyDescent="0.3">
      <c r="A572" s="10">
        <v>10571</v>
      </c>
      <c r="B572" s="10">
        <v>569</v>
      </c>
      <c r="C572" s="10">
        <v>2081</v>
      </c>
      <c r="D572" s="10">
        <v>301</v>
      </c>
      <c r="E572" s="1" t="s">
        <v>318</v>
      </c>
      <c r="F572" s="1" t="s">
        <v>202</v>
      </c>
      <c r="G572" s="10">
        <v>44</v>
      </c>
      <c r="H572" s="1" t="s">
        <v>39</v>
      </c>
    </row>
    <row r="573" spans="1:8" ht="15.75" customHeight="1" x14ac:dyDescent="0.3">
      <c r="A573" s="10">
        <v>10572</v>
      </c>
      <c r="B573" s="10">
        <v>579</v>
      </c>
      <c r="C573" s="10">
        <v>2034</v>
      </c>
      <c r="D573" s="10">
        <v>310</v>
      </c>
      <c r="E573" s="1" t="s">
        <v>95</v>
      </c>
      <c r="F573" s="1" t="s">
        <v>165</v>
      </c>
      <c r="G573" s="10">
        <v>23</v>
      </c>
      <c r="H573" s="1" t="s">
        <v>39</v>
      </c>
    </row>
    <row r="574" spans="1:8" ht="15.75" customHeight="1" x14ac:dyDescent="0.3">
      <c r="A574" s="10">
        <v>10573</v>
      </c>
      <c r="B574" s="10">
        <v>626</v>
      </c>
      <c r="C574" s="10">
        <v>2020</v>
      </c>
      <c r="D574" s="10">
        <v>303</v>
      </c>
      <c r="E574" s="1" t="s">
        <v>348</v>
      </c>
      <c r="F574" s="1" t="s">
        <v>89</v>
      </c>
      <c r="G574" s="10">
        <v>22</v>
      </c>
      <c r="H574" s="1" t="s">
        <v>36</v>
      </c>
    </row>
    <row r="575" spans="1:8" ht="15.75" customHeight="1" x14ac:dyDescent="0.3">
      <c r="A575" s="10">
        <v>10574</v>
      </c>
      <c r="B575" s="10">
        <v>586</v>
      </c>
      <c r="C575" s="10">
        <v>2094</v>
      </c>
      <c r="D575" s="10">
        <v>308</v>
      </c>
      <c r="E575" s="1" t="s">
        <v>313</v>
      </c>
      <c r="F575" s="1" t="s">
        <v>267</v>
      </c>
      <c r="G575" s="10">
        <v>60</v>
      </c>
      <c r="H575" s="1" t="s">
        <v>78</v>
      </c>
    </row>
    <row r="576" spans="1:8" ht="15.75" customHeight="1" x14ac:dyDescent="0.3">
      <c r="A576" s="10">
        <v>10575</v>
      </c>
      <c r="B576" s="10">
        <v>803</v>
      </c>
      <c r="C576" s="10">
        <v>2060</v>
      </c>
      <c r="D576" s="10">
        <v>308</v>
      </c>
      <c r="E576" s="1" t="s">
        <v>214</v>
      </c>
      <c r="F576" s="1" t="s">
        <v>363</v>
      </c>
      <c r="G576" s="10">
        <v>79</v>
      </c>
      <c r="H576" s="1" t="s">
        <v>42</v>
      </c>
    </row>
    <row r="577" spans="1:8" ht="15.75" customHeight="1" x14ac:dyDescent="0.3">
      <c r="A577" s="10">
        <v>10576</v>
      </c>
      <c r="B577" s="10">
        <v>784</v>
      </c>
      <c r="C577" s="10">
        <v>2084</v>
      </c>
      <c r="D577" s="10">
        <v>312</v>
      </c>
      <c r="E577" s="1" t="s">
        <v>215</v>
      </c>
      <c r="F577" s="1" t="s">
        <v>153</v>
      </c>
      <c r="G577" s="10">
        <v>74</v>
      </c>
      <c r="H577" s="1" t="s">
        <v>78</v>
      </c>
    </row>
    <row r="578" spans="1:8" ht="15.75" customHeight="1" x14ac:dyDescent="0.3">
      <c r="A578" s="10">
        <v>10577</v>
      </c>
      <c r="B578" s="10">
        <v>814</v>
      </c>
      <c r="C578" s="10">
        <v>2058</v>
      </c>
      <c r="D578" s="10">
        <v>307</v>
      </c>
      <c r="E578" s="1" t="s">
        <v>238</v>
      </c>
      <c r="F578" s="1" t="s">
        <v>133</v>
      </c>
      <c r="G578" s="10">
        <v>26</v>
      </c>
      <c r="H578" s="1" t="s">
        <v>39</v>
      </c>
    </row>
    <row r="579" spans="1:8" ht="15.75" customHeight="1" x14ac:dyDescent="0.3">
      <c r="A579" s="10">
        <v>10578</v>
      </c>
      <c r="B579" s="10">
        <v>865</v>
      </c>
      <c r="C579" s="10">
        <v>2038</v>
      </c>
      <c r="D579" s="10">
        <v>313</v>
      </c>
      <c r="E579" s="1" t="s">
        <v>107</v>
      </c>
      <c r="F579" s="1" t="s">
        <v>237</v>
      </c>
      <c r="G579" s="10">
        <v>96</v>
      </c>
      <c r="H579" s="1" t="s">
        <v>78</v>
      </c>
    </row>
    <row r="580" spans="1:8" ht="15.75" customHeight="1" x14ac:dyDescent="0.3">
      <c r="A580" s="10">
        <v>10579</v>
      </c>
      <c r="B580" s="10">
        <v>539</v>
      </c>
      <c r="C580" s="10">
        <v>2088</v>
      </c>
      <c r="D580" s="10">
        <v>312</v>
      </c>
      <c r="E580" s="1" t="s">
        <v>191</v>
      </c>
      <c r="F580" s="1" t="s">
        <v>255</v>
      </c>
      <c r="G580" s="10">
        <v>70</v>
      </c>
      <c r="H580" s="1" t="s">
        <v>78</v>
      </c>
    </row>
    <row r="581" spans="1:8" ht="15.75" customHeight="1" x14ac:dyDescent="0.3">
      <c r="A581" s="10">
        <v>10580</v>
      </c>
      <c r="B581" s="10">
        <v>650</v>
      </c>
      <c r="C581" s="10">
        <v>2031</v>
      </c>
      <c r="D581" s="10">
        <v>303</v>
      </c>
      <c r="E581" s="1" t="s">
        <v>177</v>
      </c>
      <c r="F581" s="1" t="s">
        <v>110</v>
      </c>
      <c r="G581" s="10">
        <v>43</v>
      </c>
      <c r="H581" s="1" t="s">
        <v>78</v>
      </c>
    </row>
    <row r="582" spans="1:8" ht="15.75" customHeight="1" x14ac:dyDescent="0.3">
      <c r="A582" s="10">
        <v>10581</v>
      </c>
      <c r="B582" s="10">
        <v>716</v>
      </c>
      <c r="C582" s="10">
        <v>2038</v>
      </c>
      <c r="D582" s="10">
        <v>302</v>
      </c>
      <c r="E582" s="1" t="s">
        <v>287</v>
      </c>
      <c r="F582" s="1" t="s">
        <v>202</v>
      </c>
      <c r="G582" s="10">
        <v>66</v>
      </c>
      <c r="H582" s="1" t="s">
        <v>42</v>
      </c>
    </row>
    <row r="583" spans="1:8" ht="15.75" customHeight="1" x14ac:dyDescent="0.3">
      <c r="A583" s="10">
        <v>10582</v>
      </c>
      <c r="B583" s="10">
        <v>874</v>
      </c>
      <c r="C583" s="10">
        <v>2007</v>
      </c>
      <c r="D583" s="10">
        <v>312</v>
      </c>
      <c r="E583" s="1" t="s">
        <v>385</v>
      </c>
      <c r="F583" s="1" t="s">
        <v>394</v>
      </c>
      <c r="G583" s="10">
        <v>18</v>
      </c>
      <c r="H583" s="1" t="s">
        <v>39</v>
      </c>
    </row>
    <row r="584" spans="1:8" ht="15.75" customHeight="1" x14ac:dyDescent="0.3">
      <c r="A584" s="10">
        <v>10583</v>
      </c>
      <c r="B584" s="10">
        <v>646</v>
      </c>
      <c r="C584" s="10">
        <v>2074</v>
      </c>
      <c r="D584" s="10">
        <v>301</v>
      </c>
      <c r="E584" s="1" t="s">
        <v>295</v>
      </c>
      <c r="F584" s="1" t="s">
        <v>325</v>
      </c>
      <c r="G584" s="10">
        <v>72</v>
      </c>
      <c r="H584" s="1" t="s">
        <v>39</v>
      </c>
    </row>
    <row r="585" spans="1:8" ht="15.75" customHeight="1" x14ac:dyDescent="0.3">
      <c r="A585" s="10">
        <v>10584</v>
      </c>
      <c r="B585" s="10">
        <v>663</v>
      </c>
      <c r="C585" s="10">
        <v>2023</v>
      </c>
      <c r="D585" s="10">
        <v>309</v>
      </c>
      <c r="E585" s="1" t="s">
        <v>211</v>
      </c>
      <c r="F585" s="1" t="s">
        <v>391</v>
      </c>
      <c r="G585" s="10">
        <v>66</v>
      </c>
      <c r="H585" s="1" t="s">
        <v>36</v>
      </c>
    </row>
    <row r="586" spans="1:8" ht="15.75" customHeight="1" x14ac:dyDescent="0.3">
      <c r="A586" s="10">
        <v>10585</v>
      </c>
      <c r="B586" s="10">
        <v>529</v>
      </c>
      <c r="C586" s="10">
        <v>2097</v>
      </c>
      <c r="D586" s="10">
        <v>312</v>
      </c>
      <c r="E586" s="1" t="s">
        <v>164</v>
      </c>
      <c r="F586" s="1" t="s">
        <v>155</v>
      </c>
      <c r="G586" s="10">
        <v>44</v>
      </c>
      <c r="H586" s="1" t="s">
        <v>39</v>
      </c>
    </row>
    <row r="587" spans="1:8" ht="15.75" customHeight="1" x14ac:dyDescent="0.3">
      <c r="A587" s="10">
        <v>10586</v>
      </c>
      <c r="B587" s="10">
        <v>735</v>
      </c>
      <c r="C587" s="10">
        <v>2010</v>
      </c>
      <c r="D587" s="10">
        <v>320</v>
      </c>
      <c r="E587" s="1" t="s">
        <v>243</v>
      </c>
      <c r="F587" s="1" t="s">
        <v>377</v>
      </c>
      <c r="G587" s="10">
        <v>80</v>
      </c>
      <c r="H587" s="1" t="s">
        <v>36</v>
      </c>
    </row>
    <row r="588" spans="1:8" ht="15.75" customHeight="1" x14ac:dyDescent="0.3">
      <c r="A588" s="10">
        <v>10587</v>
      </c>
      <c r="B588" s="10">
        <v>770</v>
      </c>
      <c r="C588" s="10">
        <v>2026</v>
      </c>
      <c r="D588" s="10">
        <v>307</v>
      </c>
      <c r="E588" s="1" t="s">
        <v>395</v>
      </c>
      <c r="F588" s="1" t="s">
        <v>89</v>
      </c>
      <c r="G588" s="10">
        <v>28</v>
      </c>
      <c r="H588" s="1" t="s">
        <v>78</v>
      </c>
    </row>
    <row r="589" spans="1:8" ht="15.75" customHeight="1" x14ac:dyDescent="0.3">
      <c r="A589" s="10">
        <v>10588</v>
      </c>
      <c r="B589" s="10">
        <v>507</v>
      </c>
      <c r="C589" s="10">
        <v>2100</v>
      </c>
      <c r="D589" s="10">
        <v>307</v>
      </c>
      <c r="E589" s="1" t="s">
        <v>396</v>
      </c>
      <c r="F589" s="1" t="s">
        <v>321</v>
      </c>
      <c r="G589" s="10">
        <v>19</v>
      </c>
      <c r="H589" s="1" t="s">
        <v>39</v>
      </c>
    </row>
    <row r="590" spans="1:8" ht="15.75" customHeight="1" x14ac:dyDescent="0.3">
      <c r="A590" s="10">
        <v>10589</v>
      </c>
      <c r="B590" s="10">
        <v>746</v>
      </c>
      <c r="C590" s="10">
        <v>2082</v>
      </c>
      <c r="D590" s="10">
        <v>304</v>
      </c>
      <c r="E590" s="1" t="s">
        <v>143</v>
      </c>
      <c r="F590" s="1" t="s">
        <v>364</v>
      </c>
      <c r="G590" s="10">
        <v>60</v>
      </c>
      <c r="H590" s="1" t="s">
        <v>36</v>
      </c>
    </row>
    <row r="591" spans="1:8" ht="15.75" customHeight="1" x14ac:dyDescent="0.3">
      <c r="A591" s="10">
        <v>10590</v>
      </c>
      <c r="B591" s="10">
        <v>751</v>
      </c>
      <c r="C591" s="10">
        <v>2054</v>
      </c>
      <c r="D591" s="10">
        <v>304</v>
      </c>
      <c r="E591" s="1" t="s">
        <v>355</v>
      </c>
      <c r="F591" s="1" t="s">
        <v>259</v>
      </c>
      <c r="G591" s="10">
        <v>42</v>
      </c>
      <c r="H591" s="1" t="s">
        <v>78</v>
      </c>
    </row>
    <row r="592" spans="1:8" ht="15.75" customHeight="1" x14ac:dyDescent="0.3">
      <c r="A592" s="10">
        <v>10591</v>
      </c>
      <c r="B592" s="10">
        <v>671</v>
      </c>
      <c r="C592" s="10">
        <v>2013</v>
      </c>
      <c r="D592" s="10">
        <v>304</v>
      </c>
      <c r="E592" s="1" t="s">
        <v>366</v>
      </c>
      <c r="F592" s="1" t="s">
        <v>324</v>
      </c>
      <c r="G592" s="10">
        <v>9</v>
      </c>
      <c r="H592" s="1" t="s">
        <v>39</v>
      </c>
    </row>
    <row r="593" spans="1:8" ht="15.75" customHeight="1" x14ac:dyDescent="0.3">
      <c r="A593" s="10">
        <v>10592</v>
      </c>
      <c r="B593" s="10">
        <v>515</v>
      </c>
      <c r="C593" s="10">
        <v>2088</v>
      </c>
      <c r="D593" s="10">
        <v>302</v>
      </c>
      <c r="E593" s="1" t="s">
        <v>201</v>
      </c>
      <c r="F593" s="1" t="s">
        <v>397</v>
      </c>
      <c r="G593" s="10">
        <v>21</v>
      </c>
      <c r="H593" s="1" t="s">
        <v>39</v>
      </c>
    </row>
    <row r="594" spans="1:8" ht="15.75" customHeight="1" x14ac:dyDescent="0.3">
      <c r="A594" s="10">
        <v>10593</v>
      </c>
      <c r="B594" s="10">
        <v>894</v>
      </c>
      <c r="C594" s="10">
        <v>2089</v>
      </c>
      <c r="D594" s="10">
        <v>316</v>
      </c>
      <c r="E594" s="1" t="s">
        <v>103</v>
      </c>
      <c r="F594" s="1" t="s">
        <v>76</v>
      </c>
      <c r="G594" s="10">
        <v>19</v>
      </c>
      <c r="H594" s="1" t="s">
        <v>39</v>
      </c>
    </row>
    <row r="595" spans="1:8" ht="15.75" customHeight="1" x14ac:dyDescent="0.3">
      <c r="A595" s="10">
        <v>10594</v>
      </c>
      <c r="B595" s="10">
        <v>858</v>
      </c>
      <c r="C595" s="10">
        <v>2035</v>
      </c>
      <c r="D595" s="10">
        <v>305</v>
      </c>
      <c r="E595" s="1" t="s">
        <v>81</v>
      </c>
      <c r="F595" s="1" t="s">
        <v>200</v>
      </c>
      <c r="G595" s="10">
        <v>21</v>
      </c>
      <c r="H595" s="1" t="s">
        <v>42</v>
      </c>
    </row>
    <row r="596" spans="1:8" ht="15.75" customHeight="1" x14ac:dyDescent="0.3">
      <c r="A596" s="10">
        <v>10595</v>
      </c>
      <c r="B596" s="10">
        <v>708</v>
      </c>
      <c r="C596" s="10">
        <v>2021</v>
      </c>
      <c r="D596" s="10">
        <v>306</v>
      </c>
      <c r="E596" s="1" t="s">
        <v>248</v>
      </c>
      <c r="F596" s="1" t="s">
        <v>390</v>
      </c>
      <c r="G596" s="10">
        <v>71</v>
      </c>
      <c r="H596" s="1" t="s">
        <v>36</v>
      </c>
    </row>
    <row r="597" spans="1:8" ht="15.75" customHeight="1" x14ac:dyDescent="0.3">
      <c r="A597" s="10">
        <v>10596</v>
      </c>
      <c r="B597" s="10">
        <v>863</v>
      </c>
      <c r="C597" s="10">
        <v>2030</v>
      </c>
      <c r="D597" s="10">
        <v>302</v>
      </c>
      <c r="E597" s="1" t="s">
        <v>270</v>
      </c>
      <c r="F597" s="1" t="s">
        <v>257</v>
      </c>
      <c r="G597" s="10">
        <v>94</v>
      </c>
      <c r="H597" s="1" t="s">
        <v>42</v>
      </c>
    </row>
    <row r="598" spans="1:8" ht="15.75" customHeight="1" x14ac:dyDescent="0.3">
      <c r="A598" s="10">
        <v>10597</v>
      </c>
      <c r="B598" s="10">
        <v>859</v>
      </c>
      <c r="C598" s="10">
        <v>2086</v>
      </c>
      <c r="D598" s="10">
        <v>311</v>
      </c>
      <c r="E598" s="1" t="s">
        <v>210</v>
      </c>
      <c r="F598" s="1" t="s">
        <v>67</v>
      </c>
      <c r="G598" s="10">
        <v>51</v>
      </c>
      <c r="H598" s="1" t="s">
        <v>39</v>
      </c>
    </row>
    <row r="599" spans="1:8" ht="15.75" customHeight="1" x14ac:dyDescent="0.3">
      <c r="A599" s="10">
        <v>10598</v>
      </c>
      <c r="B599" s="10">
        <v>705</v>
      </c>
      <c r="C599" s="10">
        <v>2051</v>
      </c>
      <c r="D599" s="10">
        <v>310</v>
      </c>
      <c r="E599" s="1" t="s">
        <v>398</v>
      </c>
      <c r="F599" s="1" t="s">
        <v>259</v>
      </c>
      <c r="G599" s="10">
        <v>80</v>
      </c>
      <c r="H599" s="1" t="s">
        <v>36</v>
      </c>
    </row>
    <row r="600" spans="1:8" ht="15.75" customHeight="1" x14ac:dyDescent="0.3">
      <c r="A600" s="10">
        <v>10599</v>
      </c>
      <c r="B600" s="10">
        <v>836</v>
      </c>
      <c r="C600" s="10">
        <v>2012</v>
      </c>
      <c r="D600" s="10">
        <v>309</v>
      </c>
      <c r="E600" s="1" t="s">
        <v>134</v>
      </c>
      <c r="F600" s="1" t="s">
        <v>83</v>
      </c>
      <c r="G600" s="10">
        <v>26</v>
      </c>
      <c r="H600" s="1" t="s">
        <v>39</v>
      </c>
    </row>
    <row r="601" spans="1:8" ht="15.75" customHeight="1" x14ac:dyDescent="0.3">
      <c r="A601" s="10">
        <v>10600</v>
      </c>
      <c r="B601" s="10">
        <v>639</v>
      </c>
      <c r="C601" s="10">
        <v>2083</v>
      </c>
      <c r="D601" s="10">
        <v>314</v>
      </c>
      <c r="E601" s="1" t="s">
        <v>98</v>
      </c>
      <c r="F601" s="1" t="s">
        <v>366</v>
      </c>
      <c r="G601" s="10">
        <v>80</v>
      </c>
      <c r="H601" s="1" t="s">
        <v>36</v>
      </c>
    </row>
    <row r="602" spans="1:8" ht="15.75" customHeight="1" x14ac:dyDescent="0.3">
      <c r="A602" s="10">
        <v>10601</v>
      </c>
      <c r="B602" s="10">
        <v>530</v>
      </c>
      <c r="C602" s="10">
        <v>2094</v>
      </c>
      <c r="D602" s="10">
        <v>308</v>
      </c>
      <c r="E602" s="1" t="s">
        <v>124</v>
      </c>
      <c r="F602" s="1" t="s">
        <v>63</v>
      </c>
      <c r="G602" s="10">
        <v>21</v>
      </c>
      <c r="H602" s="1" t="s">
        <v>36</v>
      </c>
    </row>
    <row r="603" spans="1:8" ht="15.75" customHeight="1" x14ac:dyDescent="0.3">
      <c r="A603" s="10">
        <v>10602</v>
      </c>
      <c r="B603" s="10">
        <v>640</v>
      </c>
      <c r="C603" s="10">
        <v>2011</v>
      </c>
      <c r="D603" s="10">
        <v>311</v>
      </c>
      <c r="E603" s="1" t="s">
        <v>120</v>
      </c>
      <c r="F603" s="1" t="s">
        <v>121</v>
      </c>
      <c r="G603" s="10">
        <v>38</v>
      </c>
      <c r="H603" s="1" t="s">
        <v>78</v>
      </c>
    </row>
    <row r="604" spans="1:8" ht="15.75" customHeight="1" x14ac:dyDescent="0.3">
      <c r="A604" s="10">
        <v>10603</v>
      </c>
      <c r="B604" s="10">
        <v>527</v>
      </c>
      <c r="C604" s="10">
        <v>2052</v>
      </c>
      <c r="D604" s="10">
        <v>319</v>
      </c>
      <c r="E604" s="1" t="s">
        <v>356</v>
      </c>
      <c r="F604" s="1" t="s">
        <v>238</v>
      </c>
      <c r="G604" s="10">
        <v>71</v>
      </c>
      <c r="H604" s="1" t="s">
        <v>42</v>
      </c>
    </row>
    <row r="605" spans="1:8" ht="15.75" customHeight="1" x14ac:dyDescent="0.3">
      <c r="A605" s="10">
        <v>10604</v>
      </c>
      <c r="B605" s="10">
        <v>703</v>
      </c>
      <c r="C605" s="10">
        <v>2099</v>
      </c>
      <c r="D605" s="10">
        <v>319</v>
      </c>
      <c r="E605" s="1" t="s">
        <v>182</v>
      </c>
      <c r="F605" s="1" t="s">
        <v>248</v>
      </c>
      <c r="G605" s="10">
        <v>60</v>
      </c>
      <c r="H605" s="1" t="s">
        <v>39</v>
      </c>
    </row>
    <row r="606" spans="1:8" ht="15.75" customHeight="1" x14ac:dyDescent="0.3">
      <c r="A606" s="10">
        <v>10605</v>
      </c>
      <c r="B606" s="10">
        <v>733</v>
      </c>
      <c r="C606" s="10">
        <v>2084</v>
      </c>
      <c r="D606" s="10">
        <v>318</v>
      </c>
      <c r="E606" s="1" t="s">
        <v>370</v>
      </c>
      <c r="F606" s="1" t="s">
        <v>96</v>
      </c>
      <c r="G606" s="10">
        <v>67</v>
      </c>
      <c r="H606" s="1" t="s">
        <v>36</v>
      </c>
    </row>
    <row r="607" spans="1:8" ht="15.75" customHeight="1" x14ac:dyDescent="0.3">
      <c r="A607" s="10">
        <v>10606</v>
      </c>
      <c r="B607" s="10">
        <v>508</v>
      </c>
      <c r="C607" s="10">
        <v>2024</v>
      </c>
      <c r="D607" s="10">
        <v>319</v>
      </c>
      <c r="E607" s="1" t="s">
        <v>220</v>
      </c>
      <c r="F607" s="1" t="s">
        <v>168</v>
      </c>
      <c r="G607" s="10">
        <v>40</v>
      </c>
      <c r="H607" s="1" t="s">
        <v>42</v>
      </c>
    </row>
    <row r="608" spans="1:8" ht="15.75" customHeight="1" x14ac:dyDescent="0.3">
      <c r="A608" s="10">
        <v>10607</v>
      </c>
      <c r="B608" s="10">
        <v>847</v>
      </c>
      <c r="C608" s="10">
        <v>2063</v>
      </c>
      <c r="D608" s="10">
        <v>320</v>
      </c>
      <c r="E608" s="1" t="s">
        <v>257</v>
      </c>
      <c r="F608" s="1" t="s">
        <v>365</v>
      </c>
      <c r="G608" s="10">
        <v>2</v>
      </c>
      <c r="H608" s="1" t="s">
        <v>78</v>
      </c>
    </row>
    <row r="609" spans="1:8" ht="15.75" customHeight="1" x14ac:dyDescent="0.3">
      <c r="A609" s="10">
        <v>10608</v>
      </c>
      <c r="B609" s="10">
        <v>635</v>
      </c>
      <c r="C609" s="10">
        <v>2010</v>
      </c>
      <c r="D609" s="10">
        <v>308</v>
      </c>
      <c r="E609" s="1" t="s">
        <v>303</v>
      </c>
      <c r="F609" s="1" t="s">
        <v>59</v>
      </c>
      <c r="G609" s="10">
        <v>95</v>
      </c>
      <c r="H609" s="1" t="s">
        <v>78</v>
      </c>
    </row>
    <row r="610" spans="1:8" ht="15.75" customHeight="1" x14ac:dyDescent="0.3">
      <c r="A610" s="10">
        <v>10609</v>
      </c>
      <c r="B610" s="10">
        <v>796</v>
      </c>
      <c r="C610" s="10">
        <v>2036</v>
      </c>
      <c r="D610" s="10">
        <v>305</v>
      </c>
      <c r="E610" s="1" t="s">
        <v>162</v>
      </c>
      <c r="F610" s="1" t="s">
        <v>49</v>
      </c>
      <c r="G610" s="10">
        <v>3</v>
      </c>
      <c r="H610" s="1" t="s">
        <v>42</v>
      </c>
    </row>
    <row r="611" spans="1:8" ht="15.75" customHeight="1" x14ac:dyDescent="0.3">
      <c r="A611" s="10">
        <v>10610</v>
      </c>
      <c r="B611" s="10">
        <v>687</v>
      </c>
      <c r="C611" s="10">
        <v>2045</v>
      </c>
      <c r="D611" s="10">
        <v>320</v>
      </c>
      <c r="E611" s="1" t="s">
        <v>174</v>
      </c>
      <c r="F611" s="1" t="s">
        <v>175</v>
      </c>
      <c r="G611" s="10">
        <v>37</v>
      </c>
      <c r="H611" s="1" t="s">
        <v>36</v>
      </c>
    </row>
    <row r="612" spans="1:8" ht="15.75" customHeight="1" x14ac:dyDescent="0.3">
      <c r="A612" s="10">
        <v>10611</v>
      </c>
      <c r="B612" s="10">
        <v>726</v>
      </c>
      <c r="C612" s="10">
        <v>2078</v>
      </c>
      <c r="D612" s="10">
        <v>320</v>
      </c>
      <c r="E612" s="1" t="s">
        <v>305</v>
      </c>
      <c r="F612" s="1" t="s">
        <v>58</v>
      </c>
      <c r="G612" s="10">
        <v>31</v>
      </c>
      <c r="H612" s="1" t="s">
        <v>78</v>
      </c>
    </row>
    <row r="613" spans="1:8" ht="15.75" customHeight="1" x14ac:dyDescent="0.3">
      <c r="A613" s="10">
        <v>10612</v>
      </c>
      <c r="B613" s="10">
        <v>839</v>
      </c>
      <c r="C613" s="10">
        <v>2054</v>
      </c>
      <c r="D613" s="10">
        <v>320</v>
      </c>
      <c r="E613" s="1" t="s">
        <v>80</v>
      </c>
      <c r="F613" s="1" t="s">
        <v>144</v>
      </c>
      <c r="G613" s="10">
        <v>23</v>
      </c>
      <c r="H613" s="1" t="s">
        <v>39</v>
      </c>
    </row>
    <row r="614" spans="1:8" ht="15.75" customHeight="1" x14ac:dyDescent="0.3">
      <c r="A614" s="10">
        <v>10613</v>
      </c>
      <c r="B614" s="10">
        <v>519</v>
      </c>
      <c r="C614" s="10">
        <v>2095</v>
      </c>
      <c r="D614" s="10">
        <v>302</v>
      </c>
      <c r="E614" s="1" t="s">
        <v>177</v>
      </c>
      <c r="F614" s="1" t="s">
        <v>110</v>
      </c>
      <c r="G614" s="10">
        <v>75</v>
      </c>
      <c r="H614" s="1" t="s">
        <v>39</v>
      </c>
    </row>
    <row r="615" spans="1:8" ht="15.75" customHeight="1" x14ac:dyDescent="0.3">
      <c r="A615" s="10">
        <v>10614</v>
      </c>
      <c r="B615" s="10">
        <v>756</v>
      </c>
      <c r="C615" s="10">
        <v>2078</v>
      </c>
      <c r="D615" s="10">
        <v>318</v>
      </c>
      <c r="E615" s="1" t="s">
        <v>228</v>
      </c>
      <c r="F615" s="1" t="s">
        <v>387</v>
      </c>
      <c r="G615" s="10">
        <v>33</v>
      </c>
      <c r="H615" s="1" t="s">
        <v>42</v>
      </c>
    </row>
    <row r="616" spans="1:8" ht="15.75" customHeight="1" x14ac:dyDescent="0.3">
      <c r="A616" s="10">
        <v>10615</v>
      </c>
      <c r="B616" s="10">
        <v>523</v>
      </c>
      <c r="C616" s="10">
        <v>2073</v>
      </c>
      <c r="D616" s="10">
        <v>311</v>
      </c>
      <c r="E616" s="1" t="s">
        <v>112</v>
      </c>
      <c r="F616" s="1" t="s">
        <v>35</v>
      </c>
      <c r="G616" s="10">
        <v>91</v>
      </c>
      <c r="H616" s="1" t="s">
        <v>39</v>
      </c>
    </row>
    <row r="617" spans="1:8" ht="15.75" customHeight="1" x14ac:dyDescent="0.3">
      <c r="A617" s="10">
        <v>10616</v>
      </c>
      <c r="B617" s="10">
        <v>623</v>
      </c>
      <c r="C617" s="10">
        <v>2054</v>
      </c>
      <c r="D617" s="10">
        <v>315</v>
      </c>
      <c r="E617" s="1" t="s">
        <v>54</v>
      </c>
      <c r="F617" s="1" t="s">
        <v>138</v>
      </c>
      <c r="G617" s="10">
        <v>56</v>
      </c>
      <c r="H617" s="1" t="s">
        <v>36</v>
      </c>
    </row>
    <row r="618" spans="1:8" ht="15.75" customHeight="1" x14ac:dyDescent="0.3">
      <c r="A618" s="10">
        <v>10617</v>
      </c>
      <c r="B618" s="10">
        <v>841</v>
      </c>
      <c r="C618" s="10">
        <v>2018</v>
      </c>
      <c r="D618" s="10">
        <v>319</v>
      </c>
      <c r="E618" s="1" t="s">
        <v>35</v>
      </c>
      <c r="F618" s="1" t="s">
        <v>46</v>
      </c>
      <c r="G618" s="10">
        <v>9</v>
      </c>
      <c r="H618" s="1" t="s">
        <v>42</v>
      </c>
    </row>
    <row r="619" spans="1:8" ht="15.75" customHeight="1" x14ac:dyDescent="0.3">
      <c r="A619" s="10">
        <v>10618</v>
      </c>
      <c r="B619" s="10">
        <v>660</v>
      </c>
      <c r="C619" s="10">
        <v>2076</v>
      </c>
      <c r="D619" s="10">
        <v>311</v>
      </c>
      <c r="E619" s="1" t="s">
        <v>164</v>
      </c>
      <c r="F619" s="1" t="s">
        <v>283</v>
      </c>
      <c r="G619" s="10">
        <v>71</v>
      </c>
      <c r="H619" s="1" t="s">
        <v>42</v>
      </c>
    </row>
    <row r="620" spans="1:8" ht="15.75" customHeight="1" x14ac:dyDescent="0.3">
      <c r="A620" s="10">
        <v>10619</v>
      </c>
      <c r="B620" s="10">
        <v>846</v>
      </c>
      <c r="C620" s="10">
        <v>2001</v>
      </c>
      <c r="D620" s="10">
        <v>303</v>
      </c>
      <c r="E620" s="1" t="s">
        <v>363</v>
      </c>
      <c r="F620" s="1" t="s">
        <v>369</v>
      </c>
      <c r="G620" s="10">
        <v>77</v>
      </c>
      <c r="H620" s="1" t="s">
        <v>36</v>
      </c>
    </row>
    <row r="621" spans="1:8" ht="15.75" customHeight="1" x14ac:dyDescent="0.3">
      <c r="A621" s="10">
        <v>10620</v>
      </c>
      <c r="B621" s="10">
        <v>646</v>
      </c>
      <c r="C621" s="10">
        <v>2099</v>
      </c>
      <c r="D621" s="10">
        <v>318</v>
      </c>
      <c r="E621" s="1" t="s">
        <v>343</v>
      </c>
      <c r="F621" s="1" t="s">
        <v>399</v>
      </c>
      <c r="G621" s="10">
        <v>88</v>
      </c>
      <c r="H621" s="1" t="s">
        <v>39</v>
      </c>
    </row>
    <row r="622" spans="1:8" ht="15.75" customHeight="1" x14ac:dyDescent="0.3">
      <c r="A622" s="10">
        <v>10621</v>
      </c>
      <c r="B622" s="10">
        <v>815</v>
      </c>
      <c r="C622" s="10">
        <v>2017</v>
      </c>
      <c r="D622" s="10">
        <v>317</v>
      </c>
      <c r="E622" s="1" t="s">
        <v>284</v>
      </c>
      <c r="F622" s="1" t="s">
        <v>83</v>
      </c>
      <c r="G622" s="10">
        <v>51</v>
      </c>
      <c r="H622" s="1" t="s">
        <v>78</v>
      </c>
    </row>
    <row r="623" spans="1:8" ht="15.75" customHeight="1" x14ac:dyDescent="0.3">
      <c r="A623" s="10">
        <v>10622</v>
      </c>
      <c r="B623" s="10">
        <v>591</v>
      </c>
      <c r="C623" s="10">
        <v>2048</v>
      </c>
      <c r="D623" s="10">
        <v>317</v>
      </c>
      <c r="E623" s="1" t="s">
        <v>70</v>
      </c>
      <c r="F623" s="1" t="s">
        <v>214</v>
      </c>
      <c r="G623" s="10">
        <v>57</v>
      </c>
      <c r="H623" s="1" t="s">
        <v>39</v>
      </c>
    </row>
    <row r="624" spans="1:8" ht="15.75" customHeight="1" x14ac:dyDescent="0.3">
      <c r="A624" s="10">
        <v>10623</v>
      </c>
      <c r="B624" s="10">
        <v>789</v>
      </c>
      <c r="C624" s="10">
        <v>2008</v>
      </c>
      <c r="D624" s="10">
        <v>319</v>
      </c>
      <c r="E624" s="1" t="s">
        <v>263</v>
      </c>
      <c r="F624" s="1" t="s">
        <v>95</v>
      </c>
      <c r="G624" s="10">
        <v>9</v>
      </c>
      <c r="H624" s="1" t="s">
        <v>36</v>
      </c>
    </row>
    <row r="625" spans="1:8" ht="15.75" customHeight="1" x14ac:dyDescent="0.3">
      <c r="A625" s="10">
        <v>10624</v>
      </c>
      <c r="B625" s="10">
        <v>636</v>
      </c>
      <c r="C625" s="10">
        <v>2001</v>
      </c>
      <c r="D625" s="10">
        <v>307</v>
      </c>
      <c r="E625" s="1" t="s">
        <v>209</v>
      </c>
      <c r="F625" s="1" t="s">
        <v>256</v>
      </c>
      <c r="G625" s="10">
        <v>61</v>
      </c>
      <c r="H625" s="1" t="s">
        <v>36</v>
      </c>
    </row>
    <row r="626" spans="1:8" ht="15.75" customHeight="1" x14ac:dyDescent="0.3">
      <c r="A626" s="10">
        <v>10625</v>
      </c>
      <c r="B626" s="10">
        <v>621</v>
      </c>
      <c r="C626" s="10">
        <v>2030</v>
      </c>
      <c r="D626" s="10">
        <v>305</v>
      </c>
      <c r="E626" s="1" t="s">
        <v>386</v>
      </c>
      <c r="F626" s="1" t="s">
        <v>223</v>
      </c>
      <c r="G626" s="10">
        <v>88</v>
      </c>
      <c r="H626" s="1" t="s">
        <v>36</v>
      </c>
    </row>
    <row r="627" spans="1:8" ht="15.75" customHeight="1" x14ac:dyDescent="0.3">
      <c r="A627" s="10">
        <v>10626</v>
      </c>
      <c r="B627" s="10">
        <v>587</v>
      </c>
      <c r="C627" s="10">
        <v>2056</v>
      </c>
      <c r="D627" s="10">
        <v>308</v>
      </c>
      <c r="E627" s="1" t="s">
        <v>371</v>
      </c>
      <c r="F627" s="1" t="s">
        <v>143</v>
      </c>
      <c r="G627" s="10">
        <v>42</v>
      </c>
      <c r="H627" s="1" t="s">
        <v>39</v>
      </c>
    </row>
    <row r="628" spans="1:8" ht="15.75" customHeight="1" x14ac:dyDescent="0.3">
      <c r="A628" s="10">
        <v>10627</v>
      </c>
      <c r="B628" s="10">
        <v>617</v>
      </c>
      <c r="C628" s="10">
        <v>2046</v>
      </c>
      <c r="D628" s="10">
        <v>311</v>
      </c>
      <c r="E628" s="1" t="s">
        <v>323</v>
      </c>
      <c r="F628" s="1" t="s">
        <v>308</v>
      </c>
      <c r="G628" s="10">
        <v>93</v>
      </c>
      <c r="H628" s="1" t="s">
        <v>78</v>
      </c>
    </row>
    <row r="629" spans="1:8" ht="15.75" customHeight="1" x14ac:dyDescent="0.3">
      <c r="A629" s="10">
        <v>10628</v>
      </c>
      <c r="B629" s="10">
        <v>694</v>
      </c>
      <c r="C629" s="10">
        <v>2049</v>
      </c>
      <c r="D629" s="10">
        <v>318</v>
      </c>
      <c r="E629" s="1" t="s">
        <v>37</v>
      </c>
      <c r="F629" s="1" t="s">
        <v>122</v>
      </c>
      <c r="G629" s="10">
        <v>52</v>
      </c>
      <c r="H629" s="1" t="s">
        <v>42</v>
      </c>
    </row>
    <row r="630" spans="1:8" ht="15.75" customHeight="1" x14ac:dyDescent="0.3">
      <c r="A630" s="10">
        <v>10629</v>
      </c>
      <c r="B630" s="10">
        <v>673</v>
      </c>
      <c r="C630" s="10">
        <v>2100</v>
      </c>
      <c r="D630" s="10">
        <v>311</v>
      </c>
      <c r="E630" s="1" t="s">
        <v>296</v>
      </c>
      <c r="F630" s="1" t="s">
        <v>168</v>
      </c>
      <c r="G630" s="10">
        <v>45</v>
      </c>
      <c r="H630" s="1" t="s">
        <v>36</v>
      </c>
    </row>
    <row r="631" spans="1:8" ht="15.75" customHeight="1" x14ac:dyDescent="0.3">
      <c r="A631" s="10">
        <v>10630</v>
      </c>
      <c r="B631" s="10">
        <v>757</v>
      </c>
      <c r="C631" s="10">
        <v>2030</v>
      </c>
      <c r="D631" s="10">
        <v>302</v>
      </c>
      <c r="E631" s="1" t="s">
        <v>341</v>
      </c>
      <c r="F631" s="1" t="s">
        <v>301</v>
      </c>
      <c r="G631" s="10">
        <v>18</v>
      </c>
      <c r="H631" s="1" t="s">
        <v>42</v>
      </c>
    </row>
    <row r="632" spans="1:8" ht="15.75" customHeight="1" x14ac:dyDescent="0.3">
      <c r="A632" s="10">
        <v>10631</v>
      </c>
      <c r="B632" s="10">
        <v>660</v>
      </c>
      <c r="C632" s="10">
        <v>2087</v>
      </c>
      <c r="D632" s="10">
        <v>316</v>
      </c>
      <c r="E632" s="1" t="s">
        <v>149</v>
      </c>
      <c r="F632" s="1" t="s">
        <v>150</v>
      </c>
      <c r="G632" s="10">
        <v>32</v>
      </c>
      <c r="H632" s="1" t="s">
        <v>36</v>
      </c>
    </row>
    <row r="633" spans="1:8" ht="15.75" customHeight="1" x14ac:dyDescent="0.3">
      <c r="A633" s="10">
        <v>10632</v>
      </c>
      <c r="B633" s="10">
        <v>567</v>
      </c>
      <c r="C633" s="10">
        <v>2012</v>
      </c>
      <c r="D633" s="10">
        <v>316</v>
      </c>
      <c r="E633" s="1" t="s">
        <v>274</v>
      </c>
      <c r="F633" s="1" t="s">
        <v>320</v>
      </c>
      <c r="G633" s="10">
        <v>42</v>
      </c>
      <c r="H633" s="1" t="s">
        <v>39</v>
      </c>
    </row>
    <row r="634" spans="1:8" ht="15.75" customHeight="1" x14ac:dyDescent="0.3">
      <c r="A634" s="10">
        <v>10633</v>
      </c>
      <c r="B634" s="10">
        <v>775</v>
      </c>
      <c r="C634" s="10">
        <v>2036</v>
      </c>
      <c r="D634" s="10">
        <v>302</v>
      </c>
      <c r="E634" s="1" t="s">
        <v>261</v>
      </c>
      <c r="F634" s="1" t="s">
        <v>311</v>
      </c>
      <c r="G634" s="10">
        <v>58</v>
      </c>
      <c r="H634" s="1" t="s">
        <v>78</v>
      </c>
    </row>
    <row r="635" spans="1:8" ht="15.75" customHeight="1" x14ac:dyDescent="0.3">
      <c r="A635" s="10">
        <v>10634</v>
      </c>
      <c r="B635" s="10">
        <v>766</v>
      </c>
      <c r="C635" s="10">
        <v>2029</v>
      </c>
      <c r="D635" s="10">
        <v>306</v>
      </c>
      <c r="E635" s="1" t="s">
        <v>49</v>
      </c>
      <c r="F635" s="1" t="s">
        <v>141</v>
      </c>
      <c r="G635" s="10">
        <v>12</v>
      </c>
      <c r="H635" s="1" t="s">
        <v>36</v>
      </c>
    </row>
    <row r="636" spans="1:8" ht="15.75" customHeight="1" x14ac:dyDescent="0.3">
      <c r="A636" s="10">
        <v>10635</v>
      </c>
      <c r="B636" s="10">
        <v>602</v>
      </c>
      <c r="C636" s="10">
        <v>2079</v>
      </c>
      <c r="D636" s="10">
        <v>309</v>
      </c>
      <c r="E636" s="1" t="s">
        <v>400</v>
      </c>
      <c r="F636" s="1" t="s">
        <v>122</v>
      </c>
      <c r="G636" s="10">
        <v>35</v>
      </c>
      <c r="H636" s="1" t="s">
        <v>78</v>
      </c>
    </row>
    <row r="637" spans="1:8" ht="15.75" customHeight="1" x14ac:dyDescent="0.3">
      <c r="A637" s="10">
        <v>10636</v>
      </c>
      <c r="B637" s="10">
        <v>672</v>
      </c>
      <c r="C637" s="10">
        <v>2034</v>
      </c>
      <c r="D637" s="10">
        <v>312</v>
      </c>
      <c r="E637" s="1" t="s">
        <v>216</v>
      </c>
      <c r="F637" s="1" t="s">
        <v>295</v>
      </c>
      <c r="G637" s="10">
        <v>33</v>
      </c>
      <c r="H637" s="1" t="s">
        <v>42</v>
      </c>
    </row>
    <row r="638" spans="1:8" ht="15.75" customHeight="1" x14ac:dyDescent="0.3">
      <c r="A638" s="10">
        <v>10637</v>
      </c>
      <c r="B638" s="10">
        <v>690</v>
      </c>
      <c r="C638" s="10">
        <v>2009</v>
      </c>
      <c r="D638" s="10">
        <v>304</v>
      </c>
      <c r="E638" s="1" t="s">
        <v>231</v>
      </c>
      <c r="F638" s="1" t="s">
        <v>54</v>
      </c>
      <c r="G638" s="10">
        <v>87</v>
      </c>
      <c r="H638" s="1" t="s">
        <v>42</v>
      </c>
    </row>
    <row r="639" spans="1:8" ht="15.75" customHeight="1" x14ac:dyDescent="0.3">
      <c r="A639" s="10">
        <v>10638</v>
      </c>
      <c r="B639" s="10">
        <v>548</v>
      </c>
      <c r="C639" s="10">
        <v>2058</v>
      </c>
      <c r="D639" s="10">
        <v>306</v>
      </c>
      <c r="E639" s="1" t="s">
        <v>212</v>
      </c>
      <c r="F639" s="1" t="s">
        <v>313</v>
      </c>
      <c r="G639" s="10">
        <v>58</v>
      </c>
      <c r="H639" s="1" t="s">
        <v>36</v>
      </c>
    </row>
    <row r="640" spans="1:8" ht="15.75" customHeight="1" x14ac:dyDescent="0.3">
      <c r="A640" s="10">
        <v>10639</v>
      </c>
      <c r="B640" s="10">
        <v>864</v>
      </c>
      <c r="C640" s="10">
        <v>2010</v>
      </c>
      <c r="D640" s="10">
        <v>310</v>
      </c>
      <c r="E640" s="1" t="s">
        <v>225</v>
      </c>
      <c r="F640" s="1" t="s">
        <v>196</v>
      </c>
      <c r="G640" s="10">
        <v>78</v>
      </c>
      <c r="H640" s="1" t="s">
        <v>42</v>
      </c>
    </row>
    <row r="641" spans="1:8" ht="15.75" customHeight="1" x14ac:dyDescent="0.3">
      <c r="A641" s="10">
        <v>10640</v>
      </c>
      <c r="B641" s="10">
        <v>740</v>
      </c>
      <c r="C641" s="10">
        <v>2019</v>
      </c>
      <c r="D641" s="10">
        <v>303</v>
      </c>
      <c r="E641" s="1" t="s">
        <v>290</v>
      </c>
      <c r="F641" s="1" t="s">
        <v>156</v>
      </c>
      <c r="G641" s="10">
        <v>95</v>
      </c>
      <c r="H641" s="1" t="s">
        <v>42</v>
      </c>
    </row>
    <row r="642" spans="1:8" ht="15.75" customHeight="1" x14ac:dyDescent="0.3">
      <c r="A642" s="10">
        <v>10641</v>
      </c>
      <c r="B642" s="10">
        <v>635</v>
      </c>
      <c r="C642" s="10">
        <v>2070</v>
      </c>
      <c r="D642" s="10">
        <v>301</v>
      </c>
      <c r="E642" s="1" t="s">
        <v>243</v>
      </c>
      <c r="F642" s="1" t="s">
        <v>208</v>
      </c>
      <c r="G642" s="10">
        <v>100</v>
      </c>
      <c r="H642" s="1" t="s">
        <v>78</v>
      </c>
    </row>
    <row r="643" spans="1:8" ht="15.75" customHeight="1" x14ac:dyDescent="0.3">
      <c r="A643" s="10">
        <v>10642</v>
      </c>
      <c r="B643" s="10">
        <v>818</v>
      </c>
      <c r="C643" s="10">
        <v>2090</v>
      </c>
      <c r="D643" s="10">
        <v>302</v>
      </c>
      <c r="E643" s="1" t="s">
        <v>191</v>
      </c>
      <c r="F643" s="1" t="s">
        <v>347</v>
      </c>
      <c r="G643" s="10">
        <v>92</v>
      </c>
      <c r="H643" s="1" t="s">
        <v>39</v>
      </c>
    </row>
    <row r="644" spans="1:8" ht="15.75" customHeight="1" x14ac:dyDescent="0.3">
      <c r="A644" s="10">
        <v>10643</v>
      </c>
      <c r="B644" s="10">
        <v>639</v>
      </c>
      <c r="C644" s="10">
        <v>2028</v>
      </c>
      <c r="D644" s="10">
        <v>303</v>
      </c>
      <c r="E644" s="1" t="s">
        <v>258</v>
      </c>
      <c r="F644" s="1" t="s">
        <v>201</v>
      </c>
      <c r="G644" s="10">
        <v>24</v>
      </c>
      <c r="H644" s="1" t="s">
        <v>39</v>
      </c>
    </row>
    <row r="645" spans="1:8" ht="15.75" customHeight="1" x14ac:dyDescent="0.3">
      <c r="A645" s="10">
        <v>10644</v>
      </c>
      <c r="B645" s="10">
        <v>774</v>
      </c>
      <c r="C645" s="10">
        <v>2012</v>
      </c>
      <c r="D645" s="10">
        <v>320</v>
      </c>
      <c r="E645" s="1" t="s">
        <v>377</v>
      </c>
      <c r="F645" s="1" t="s">
        <v>309</v>
      </c>
      <c r="G645" s="10">
        <v>3</v>
      </c>
      <c r="H645" s="1" t="s">
        <v>42</v>
      </c>
    </row>
    <row r="646" spans="1:8" ht="15.75" customHeight="1" x14ac:dyDescent="0.3">
      <c r="A646" s="10">
        <v>10645</v>
      </c>
      <c r="B646" s="10">
        <v>809</v>
      </c>
      <c r="C646" s="10">
        <v>2088</v>
      </c>
      <c r="D646" s="10">
        <v>303</v>
      </c>
      <c r="E646" s="1" t="s">
        <v>383</v>
      </c>
      <c r="F646" s="1" t="s">
        <v>79</v>
      </c>
      <c r="G646" s="10">
        <v>70</v>
      </c>
      <c r="H646" s="1" t="s">
        <v>78</v>
      </c>
    </row>
    <row r="647" spans="1:8" ht="15.75" customHeight="1" x14ac:dyDescent="0.3">
      <c r="A647" s="10">
        <v>10646</v>
      </c>
      <c r="B647" s="10">
        <v>514</v>
      </c>
      <c r="C647" s="10">
        <v>2092</v>
      </c>
      <c r="D647" s="10">
        <v>313</v>
      </c>
      <c r="E647" s="1" t="s">
        <v>336</v>
      </c>
      <c r="F647" s="1" t="s">
        <v>222</v>
      </c>
      <c r="G647" s="10">
        <v>74</v>
      </c>
      <c r="H647" s="1" t="s">
        <v>36</v>
      </c>
    </row>
    <row r="648" spans="1:8" ht="15.75" customHeight="1" x14ac:dyDescent="0.3">
      <c r="A648" s="10">
        <v>10647</v>
      </c>
      <c r="B648" s="10">
        <v>757</v>
      </c>
      <c r="C648" s="10">
        <v>2052</v>
      </c>
      <c r="D648" s="10">
        <v>310</v>
      </c>
      <c r="E648" s="1" t="s">
        <v>379</v>
      </c>
      <c r="F648" s="1" t="s">
        <v>283</v>
      </c>
      <c r="G648" s="10">
        <v>38</v>
      </c>
      <c r="H648" s="1" t="s">
        <v>39</v>
      </c>
    </row>
    <row r="649" spans="1:8" ht="15.75" customHeight="1" x14ac:dyDescent="0.3">
      <c r="A649" s="10">
        <v>10648</v>
      </c>
      <c r="B649" s="10">
        <v>856</v>
      </c>
      <c r="C649" s="10">
        <v>2072</v>
      </c>
      <c r="D649" s="10">
        <v>301</v>
      </c>
      <c r="E649" s="1" t="s">
        <v>253</v>
      </c>
      <c r="F649" s="1" t="s">
        <v>339</v>
      </c>
      <c r="G649" s="10">
        <v>89</v>
      </c>
      <c r="H649" s="1" t="s">
        <v>36</v>
      </c>
    </row>
    <row r="650" spans="1:8" ht="15.75" customHeight="1" x14ac:dyDescent="0.3">
      <c r="A650" s="10">
        <v>10649</v>
      </c>
      <c r="B650" s="10">
        <v>853</v>
      </c>
      <c r="C650" s="10">
        <v>2035</v>
      </c>
      <c r="D650" s="10">
        <v>310</v>
      </c>
      <c r="E650" s="1" t="s">
        <v>346</v>
      </c>
      <c r="F650" s="1" t="s">
        <v>71</v>
      </c>
      <c r="G650" s="10">
        <v>71</v>
      </c>
      <c r="H650" s="1" t="s">
        <v>39</v>
      </c>
    </row>
    <row r="651" spans="1:8" ht="15.75" customHeight="1" x14ac:dyDescent="0.3">
      <c r="A651" s="10">
        <v>10650</v>
      </c>
      <c r="B651" s="10">
        <v>731</v>
      </c>
      <c r="C651" s="10">
        <v>2089</v>
      </c>
      <c r="D651" s="10">
        <v>318</v>
      </c>
      <c r="E651" s="1" t="s">
        <v>280</v>
      </c>
      <c r="F651" s="1" t="s">
        <v>154</v>
      </c>
      <c r="G651" s="10">
        <v>48</v>
      </c>
      <c r="H651" s="1" t="s">
        <v>78</v>
      </c>
    </row>
    <row r="652" spans="1:8" ht="15.75" customHeight="1" x14ac:dyDescent="0.3">
      <c r="A652" s="10">
        <v>10651</v>
      </c>
      <c r="B652" s="10">
        <v>666</v>
      </c>
      <c r="C652" s="10">
        <v>2089</v>
      </c>
      <c r="D652" s="10">
        <v>308</v>
      </c>
      <c r="E652" s="1" t="s">
        <v>269</v>
      </c>
      <c r="F652" s="1" t="s">
        <v>306</v>
      </c>
      <c r="G652" s="10">
        <v>26</v>
      </c>
      <c r="H652" s="1" t="s">
        <v>39</v>
      </c>
    </row>
    <row r="653" spans="1:8" ht="15.75" customHeight="1" x14ac:dyDescent="0.3">
      <c r="A653" s="10">
        <v>10652</v>
      </c>
      <c r="B653" s="10">
        <v>752</v>
      </c>
      <c r="C653" s="10">
        <v>2035</v>
      </c>
      <c r="D653" s="10">
        <v>306</v>
      </c>
      <c r="E653" s="1" t="s">
        <v>141</v>
      </c>
      <c r="F653" s="1" t="s">
        <v>50</v>
      </c>
      <c r="G653" s="10">
        <v>72</v>
      </c>
      <c r="H653" s="1" t="s">
        <v>42</v>
      </c>
    </row>
    <row r="654" spans="1:8" ht="15.75" customHeight="1" x14ac:dyDescent="0.3">
      <c r="A654" s="10">
        <v>10653</v>
      </c>
      <c r="B654" s="10">
        <v>589</v>
      </c>
      <c r="C654" s="10">
        <v>2043</v>
      </c>
      <c r="D654" s="10">
        <v>303</v>
      </c>
      <c r="E654" s="1" t="s">
        <v>52</v>
      </c>
      <c r="F654" s="1" t="s">
        <v>287</v>
      </c>
      <c r="G654" s="10">
        <v>98</v>
      </c>
      <c r="H654" s="1" t="s">
        <v>39</v>
      </c>
    </row>
    <row r="655" spans="1:8" ht="15.75" customHeight="1" x14ac:dyDescent="0.3">
      <c r="A655" s="10">
        <v>10654</v>
      </c>
      <c r="B655" s="10">
        <v>824</v>
      </c>
      <c r="C655" s="10">
        <v>2031</v>
      </c>
      <c r="D655" s="10">
        <v>306</v>
      </c>
      <c r="E655" s="1" t="s">
        <v>298</v>
      </c>
      <c r="F655" s="1" t="s">
        <v>376</v>
      </c>
      <c r="G655" s="10">
        <v>29</v>
      </c>
      <c r="H655" s="1" t="s">
        <v>78</v>
      </c>
    </row>
    <row r="656" spans="1:8" ht="15.75" customHeight="1" x14ac:dyDescent="0.3">
      <c r="A656" s="10">
        <v>10655</v>
      </c>
      <c r="B656" s="10">
        <v>708</v>
      </c>
      <c r="C656" s="10">
        <v>2034</v>
      </c>
      <c r="D656" s="10">
        <v>314</v>
      </c>
      <c r="E656" s="1" t="s">
        <v>154</v>
      </c>
      <c r="F656" s="1" t="s">
        <v>254</v>
      </c>
      <c r="G656" s="10">
        <v>99</v>
      </c>
      <c r="H656" s="1" t="s">
        <v>36</v>
      </c>
    </row>
    <row r="657" spans="1:8" ht="15.75" customHeight="1" x14ac:dyDescent="0.3">
      <c r="A657" s="10">
        <v>10656</v>
      </c>
      <c r="B657" s="10">
        <v>538</v>
      </c>
      <c r="C657" s="10">
        <v>2093</v>
      </c>
      <c r="D657" s="10">
        <v>316</v>
      </c>
      <c r="E657" s="1" t="s">
        <v>123</v>
      </c>
      <c r="F657" s="1" t="s">
        <v>107</v>
      </c>
      <c r="G657" s="10">
        <v>46</v>
      </c>
      <c r="H657" s="1" t="s">
        <v>36</v>
      </c>
    </row>
    <row r="658" spans="1:8" ht="15.75" customHeight="1" x14ac:dyDescent="0.3">
      <c r="A658" s="10">
        <v>10657</v>
      </c>
      <c r="B658" s="10">
        <v>611</v>
      </c>
      <c r="C658" s="10">
        <v>2056</v>
      </c>
      <c r="D658" s="10">
        <v>303</v>
      </c>
      <c r="E658" s="1" t="s">
        <v>331</v>
      </c>
      <c r="F658" s="1" t="s">
        <v>63</v>
      </c>
      <c r="G658" s="10">
        <v>48</v>
      </c>
      <c r="H658" s="1" t="s">
        <v>42</v>
      </c>
    </row>
    <row r="659" spans="1:8" ht="15.75" customHeight="1" x14ac:dyDescent="0.3">
      <c r="A659" s="10">
        <v>10658</v>
      </c>
      <c r="B659" s="10">
        <v>565</v>
      </c>
      <c r="C659" s="10">
        <v>2008</v>
      </c>
      <c r="D659" s="10">
        <v>316</v>
      </c>
      <c r="E659" s="1" t="s">
        <v>352</v>
      </c>
      <c r="F659" s="1" t="s">
        <v>96</v>
      </c>
      <c r="G659" s="10">
        <v>19</v>
      </c>
      <c r="H659" s="1" t="s">
        <v>78</v>
      </c>
    </row>
    <row r="660" spans="1:8" ht="15.75" customHeight="1" x14ac:dyDescent="0.3">
      <c r="A660" s="10">
        <v>10659</v>
      </c>
      <c r="B660" s="10">
        <v>578</v>
      </c>
      <c r="C660" s="10">
        <v>2008</v>
      </c>
      <c r="D660" s="10">
        <v>315</v>
      </c>
      <c r="E660" s="1" t="s">
        <v>385</v>
      </c>
      <c r="F660" s="1" t="s">
        <v>186</v>
      </c>
      <c r="G660" s="10">
        <v>51</v>
      </c>
      <c r="H660" s="1" t="s">
        <v>42</v>
      </c>
    </row>
    <row r="661" spans="1:8" ht="15.75" customHeight="1" x14ac:dyDescent="0.3">
      <c r="A661" s="10">
        <v>10660</v>
      </c>
      <c r="B661" s="10">
        <v>893</v>
      </c>
      <c r="C661" s="10">
        <v>2048</v>
      </c>
      <c r="D661" s="10">
        <v>314</v>
      </c>
      <c r="E661" s="1" t="s">
        <v>302</v>
      </c>
      <c r="F661" s="1" t="s">
        <v>129</v>
      </c>
      <c r="G661" s="10">
        <v>76</v>
      </c>
      <c r="H661" s="1" t="s">
        <v>36</v>
      </c>
    </row>
    <row r="662" spans="1:8" ht="15.75" customHeight="1" x14ac:dyDescent="0.3">
      <c r="A662" s="10">
        <v>10661</v>
      </c>
      <c r="B662" s="10">
        <v>593</v>
      </c>
      <c r="C662" s="10">
        <v>2059</v>
      </c>
      <c r="D662" s="10">
        <v>312</v>
      </c>
      <c r="E662" s="1" t="s">
        <v>356</v>
      </c>
      <c r="F662" s="1" t="s">
        <v>133</v>
      </c>
      <c r="G662" s="10">
        <v>76</v>
      </c>
      <c r="H662" s="1" t="s">
        <v>42</v>
      </c>
    </row>
    <row r="663" spans="1:8" ht="15.75" customHeight="1" x14ac:dyDescent="0.3">
      <c r="A663" s="10">
        <v>10662</v>
      </c>
      <c r="B663" s="10">
        <v>846</v>
      </c>
      <c r="C663" s="10">
        <v>2049</v>
      </c>
      <c r="D663" s="10">
        <v>320</v>
      </c>
      <c r="E663" s="1" t="s">
        <v>358</v>
      </c>
      <c r="F663" s="1" t="s">
        <v>150</v>
      </c>
      <c r="G663" s="10">
        <v>32</v>
      </c>
      <c r="H663" s="1" t="s">
        <v>78</v>
      </c>
    </row>
    <row r="664" spans="1:8" ht="15.75" customHeight="1" x14ac:dyDescent="0.3">
      <c r="A664" s="10">
        <v>10663</v>
      </c>
      <c r="B664" s="10">
        <v>589</v>
      </c>
      <c r="C664" s="10">
        <v>2006</v>
      </c>
      <c r="D664" s="10">
        <v>314</v>
      </c>
      <c r="E664" s="1" t="s">
        <v>102</v>
      </c>
      <c r="F664" s="1" t="s">
        <v>106</v>
      </c>
      <c r="G664" s="10">
        <v>77</v>
      </c>
      <c r="H664" s="1" t="s">
        <v>39</v>
      </c>
    </row>
    <row r="665" spans="1:8" ht="15.75" customHeight="1" x14ac:dyDescent="0.3">
      <c r="A665" s="10">
        <v>10664</v>
      </c>
      <c r="B665" s="10">
        <v>714</v>
      </c>
      <c r="C665" s="10">
        <v>2027</v>
      </c>
      <c r="D665" s="10">
        <v>315</v>
      </c>
      <c r="E665" s="1" t="s">
        <v>370</v>
      </c>
      <c r="F665" s="1" t="s">
        <v>240</v>
      </c>
      <c r="G665" s="10">
        <v>59</v>
      </c>
      <c r="H665" s="1" t="s">
        <v>39</v>
      </c>
    </row>
    <row r="666" spans="1:8" ht="15.75" customHeight="1" x14ac:dyDescent="0.3">
      <c r="A666" s="10">
        <v>10665</v>
      </c>
      <c r="B666" s="10">
        <v>764</v>
      </c>
      <c r="C666" s="10">
        <v>2013</v>
      </c>
      <c r="D666" s="10">
        <v>306</v>
      </c>
      <c r="E666" s="1" t="s">
        <v>176</v>
      </c>
      <c r="F666" s="1" t="s">
        <v>371</v>
      </c>
      <c r="G666" s="10">
        <v>93</v>
      </c>
      <c r="H666" s="1" t="s">
        <v>42</v>
      </c>
    </row>
    <row r="667" spans="1:8" ht="15.75" customHeight="1" x14ac:dyDescent="0.3">
      <c r="A667" s="10">
        <v>10666</v>
      </c>
      <c r="B667" s="10">
        <v>519</v>
      </c>
      <c r="C667" s="10">
        <v>2098</v>
      </c>
      <c r="D667" s="10">
        <v>308</v>
      </c>
      <c r="E667" s="1" t="s">
        <v>334</v>
      </c>
      <c r="F667" s="1" t="s">
        <v>65</v>
      </c>
      <c r="G667" s="10">
        <v>66</v>
      </c>
      <c r="H667" s="1" t="s">
        <v>39</v>
      </c>
    </row>
    <row r="668" spans="1:8" ht="15.75" customHeight="1" x14ac:dyDescent="0.3">
      <c r="A668" s="10">
        <v>10667</v>
      </c>
      <c r="B668" s="10">
        <v>551</v>
      </c>
      <c r="C668" s="10">
        <v>2090</v>
      </c>
      <c r="D668" s="10">
        <v>303</v>
      </c>
      <c r="E668" s="1" t="s">
        <v>221</v>
      </c>
      <c r="F668" s="1" t="s">
        <v>252</v>
      </c>
      <c r="G668" s="10">
        <v>76</v>
      </c>
      <c r="H668" s="1" t="s">
        <v>78</v>
      </c>
    </row>
    <row r="669" spans="1:8" ht="15.75" customHeight="1" x14ac:dyDescent="0.3">
      <c r="A669" s="10">
        <v>10668</v>
      </c>
      <c r="B669" s="10">
        <v>691</v>
      </c>
      <c r="C669" s="10">
        <v>2009</v>
      </c>
      <c r="D669" s="10">
        <v>307</v>
      </c>
      <c r="E669" s="1" t="s">
        <v>387</v>
      </c>
      <c r="F669" s="1" t="s">
        <v>361</v>
      </c>
      <c r="G669" s="10">
        <v>53</v>
      </c>
      <c r="H669" s="1" t="s">
        <v>36</v>
      </c>
    </row>
    <row r="670" spans="1:8" ht="15.75" customHeight="1" x14ac:dyDescent="0.3">
      <c r="A670" s="10">
        <v>10669</v>
      </c>
      <c r="B670" s="10">
        <v>784</v>
      </c>
      <c r="C670" s="10">
        <v>2053</v>
      </c>
      <c r="D670" s="10">
        <v>316</v>
      </c>
      <c r="E670" s="1" t="s">
        <v>271</v>
      </c>
      <c r="F670" s="1" t="s">
        <v>287</v>
      </c>
      <c r="G670" s="10">
        <v>82</v>
      </c>
      <c r="H670" s="1" t="s">
        <v>36</v>
      </c>
    </row>
    <row r="671" spans="1:8" ht="15.75" customHeight="1" x14ac:dyDescent="0.3">
      <c r="A671" s="10">
        <v>10670</v>
      </c>
      <c r="B671" s="10">
        <v>809</v>
      </c>
      <c r="C671" s="10">
        <v>2055</v>
      </c>
      <c r="D671" s="10">
        <v>304</v>
      </c>
      <c r="E671" s="1" t="s">
        <v>77</v>
      </c>
      <c r="F671" s="1" t="s">
        <v>395</v>
      </c>
      <c r="G671" s="10">
        <v>81</v>
      </c>
      <c r="H671" s="1" t="s">
        <v>78</v>
      </c>
    </row>
    <row r="672" spans="1:8" ht="15.75" customHeight="1" x14ac:dyDescent="0.3">
      <c r="A672" s="10">
        <v>10671</v>
      </c>
      <c r="B672" s="10">
        <v>821</v>
      </c>
      <c r="C672" s="10">
        <v>2046</v>
      </c>
      <c r="D672" s="10">
        <v>314</v>
      </c>
      <c r="E672" s="1" t="s">
        <v>103</v>
      </c>
      <c r="F672" s="1" t="s">
        <v>217</v>
      </c>
      <c r="G672" s="10">
        <v>17</v>
      </c>
      <c r="H672" s="1" t="s">
        <v>36</v>
      </c>
    </row>
    <row r="673" spans="1:8" ht="15.75" customHeight="1" x14ac:dyDescent="0.3">
      <c r="A673" s="10">
        <v>10672</v>
      </c>
      <c r="B673" s="10">
        <v>822</v>
      </c>
      <c r="C673" s="10">
        <v>2011</v>
      </c>
      <c r="D673" s="10">
        <v>305</v>
      </c>
      <c r="E673" s="1" t="s">
        <v>299</v>
      </c>
      <c r="F673" s="1" t="s">
        <v>37</v>
      </c>
      <c r="G673" s="10">
        <v>54</v>
      </c>
      <c r="H673" s="1" t="s">
        <v>42</v>
      </c>
    </row>
    <row r="674" spans="1:8" ht="15.75" customHeight="1" x14ac:dyDescent="0.3">
      <c r="A674" s="10">
        <v>10673</v>
      </c>
      <c r="B674" s="10">
        <v>518</v>
      </c>
      <c r="C674" s="10">
        <v>2015</v>
      </c>
      <c r="D674" s="10">
        <v>306</v>
      </c>
      <c r="E674" s="1" t="s">
        <v>122</v>
      </c>
      <c r="F674" s="1" t="s">
        <v>381</v>
      </c>
      <c r="G674" s="10">
        <v>87</v>
      </c>
      <c r="H674" s="1" t="s">
        <v>36</v>
      </c>
    </row>
    <row r="675" spans="1:8" ht="15.75" customHeight="1" x14ac:dyDescent="0.3">
      <c r="A675" s="10">
        <v>10674</v>
      </c>
      <c r="B675" s="10">
        <v>797</v>
      </c>
      <c r="C675" s="10">
        <v>2004</v>
      </c>
      <c r="D675" s="10">
        <v>310</v>
      </c>
      <c r="E675" s="1" t="s">
        <v>196</v>
      </c>
      <c r="F675" s="1" t="s">
        <v>262</v>
      </c>
      <c r="G675" s="10">
        <v>36</v>
      </c>
      <c r="H675" s="1" t="s">
        <v>39</v>
      </c>
    </row>
    <row r="676" spans="1:8" ht="15.75" customHeight="1" x14ac:dyDescent="0.3">
      <c r="A676" s="10">
        <v>10675</v>
      </c>
      <c r="B676" s="10">
        <v>669</v>
      </c>
      <c r="C676" s="10">
        <v>2011</v>
      </c>
      <c r="D676" s="10">
        <v>311</v>
      </c>
      <c r="E676" s="1" t="s">
        <v>57</v>
      </c>
      <c r="F676" s="1" t="s">
        <v>215</v>
      </c>
      <c r="G676" s="10">
        <v>57</v>
      </c>
      <c r="H676" s="1" t="s">
        <v>36</v>
      </c>
    </row>
    <row r="677" spans="1:8" ht="15.75" customHeight="1" x14ac:dyDescent="0.3">
      <c r="A677" s="10">
        <v>10676</v>
      </c>
      <c r="B677" s="10">
        <v>592</v>
      </c>
      <c r="C677" s="10">
        <v>2055</v>
      </c>
      <c r="D677" s="10">
        <v>314</v>
      </c>
      <c r="E677" s="1" t="s">
        <v>118</v>
      </c>
      <c r="F677" s="1" t="s">
        <v>105</v>
      </c>
      <c r="G677" s="10">
        <v>70</v>
      </c>
      <c r="H677" s="1" t="s">
        <v>39</v>
      </c>
    </row>
    <row r="678" spans="1:8" ht="15.75" customHeight="1" x14ac:dyDescent="0.3">
      <c r="A678" s="10">
        <v>10677</v>
      </c>
      <c r="B678" s="10">
        <v>742</v>
      </c>
      <c r="C678" s="10">
        <v>2072</v>
      </c>
      <c r="D678" s="10">
        <v>305</v>
      </c>
      <c r="E678" s="1" t="s">
        <v>65</v>
      </c>
      <c r="F678" s="1" t="s">
        <v>163</v>
      </c>
      <c r="G678" s="10">
        <v>2</v>
      </c>
      <c r="H678" s="1" t="s">
        <v>42</v>
      </c>
    </row>
    <row r="679" spans="1:8" ht="15.75" customHeight="1" x14ac:dyDescent="0.3">
      <c r="A679" s="10">
        <v>10678</v>
      </c>
      <c r="B679" s="10">
        <v>577</v>
      </c>
      <c r="C679" s="10">
        <v>2064</v>
      </c>
      <c r="D679" s="10">
        <v>315</v>
      </c>
      <c r="E679" s="1" t="s">
        <v>321</v>
      </c>
      <c r="F679" s="1" t="s">
        <v>231</v>
      </c>
      <c r="G679" s="10">
        <v>34</v>
      </c>
      <c r="H679" s="1" t="s">
        <v>36</v>
      </c>
    </row>
    <row r="680" spans="1:8" ht="15.75" customHeight="1" x14ac:dyDescent="0.3">
      <c r="A680" s="10">
        <v>10679</v>
      </c>
      <c r="B680" s="10">
        <v>502</v>
      </c>
      <c r="C680" s="10">
        <v>2010</v>
      </c>
      <c r="D680" s="10">
        <v>307</v>
      </c>
      <c r="E680" s="1" t="s">
        <v>350</v>
      </c>
      <c r="F680" s="1" t="s">
        <v>335</v>
      </c>
      <c r="G680" s="10">
        <v>23</v>
      </c>
      <c r="H680" s="1" t="s">
        <v>78</v>
      </c>
    </row>
    <row r="681" spans="1:8" ht="15.75" customHeight="1" x14ac:dyDescent="0.3">
      <c r="A681" s="10">
        <v>10680</v>
      </c>
      <c r="B681" s="10">
        <v>880</v>
      </c>
      <c r="C681" s="10">
        <v>2060</v>
      </c>
      <c r="D681" s="10">
        <v>314</v>
      </c>
      <c r="E681" s="1" t="s">
        <v>154</v>
      </c>
      <c r="F681" s="1" t="s">
        <v>197</v>
      </c>
      <c r="G681" s="10">
        <v>47</v>
      </c>
      <c r="H681" s="1" t="s">
        <v>42</v>
      </c>
    </row>
    <row r="682" spans="1:8" ht="15.75" customHeight="1" x14ac:dyDescent="0.3">
      <c r="A682" s="10">
        <v>10681</v>
      </c>
      <c r="B682" s="10">
        <v>603</v>
      </c>
      <c r="C682" s="10">
        <v>2077</v>
      </c>
      <c r="D682" s="10">
        <v>304</v>
      </c>
      <c r="E682" s="1" t="s">
        <v>264</v>
      </c>
      <c r="F682" s="1" t="s">
        <v>342</v>
      </c>
      <c r="G682" s="10">
        <v>78</v>
      </c>
      <c r="H682" s="1" t="s">
        <v>39</v>
      </c>
    </row>
    <row r="683" spans="1:8" ht="15.75" customHeight="1" x14ac:dyDescent="0.3">
      <c r="A683" s="10">
        <v>10682</v>
      </c>
      <c r="B683" s="10">
        <v>739</v>
      </c>
      <c r="C683" s="10">
        <v>2092</v>
      </c>
      <c r="D683" s="10">
        <v>302</v>
      </c>
      <c r="E683" s="1" t="s">
        <v>261</v>
      </c>
      <c r="F683" s="1" t="s">
        <v>373</v>
      </c>
      <c r="G683" s="10">
        <v>99</v>
      </c>
      <c r="H683" s="1" t="s">
        <v>78</v>
      </c>
    </row>
    <row r="684" spans="1:8" ht="15.75" customHeight="1" x14ac:dyDescent="0.3">
      <c r="A684" s="10">
        <v>10683</v>
      </c>
      <c r="B684" s="10">
        <v>805</v>
      </c>
      <c r="C684" s="10">
        <v>2057</v>
      </c>
      <c r="D684" s="10">
        <v>308</v>
      </c>
      <c r="E684" s="1" t="s">
        <v>95</v>
      </c>
      <c r="F684" s="1" t="s">
        <v>149</v>
      </c>
      <c r="G684" s="10">
        <v>100</v>
      </c>
      <c r="H684" s="1" t="s">
        <v>78</v>
      </c>
    </row>
    <row r="685" spans="1:8" ht="15.75" customHeight="1" x14ac:dyDescent="0.3">
      <c r="A685" s="10">
        <v>10684</v>
      </c>
      <c r="B685" s="10">
        <v>603</v>
      </c>
      <c r="C685" s="10">
        <v>2077</v>
      </c>
      <c r="D685" s="10">
        <v>316</v>
      </c>
      <c r="E685" s="1" t="s">
        <v>43</v>
      </c>
      <c r="F685" s="1" t="s">
        <v>69</v>
      </c>
      <c r="G685" s="10">
        <v>38</v>
      </c>
      <c r="H685" s="1" t="s">
        <v>42</v>
      </c>
    </row>
    <row r="686" spans="1:8" ht="15.75" customHeight="1" x14ac:dyDescent="0.3">
      <c r="A686" s="10">
        <v>10685</v>
      </c>
      <c r="B686" s="10">
        <v>551</v>
      </c>
      <c r="C686" s="10">
        <v>2094</v>
      </c>
      <c r="D686" s="10">
        <v>306</v>
      </c>
      <c r="E686" s="1" t="s">
        <v>392</v>
      </c>
      <c r="F686" s="1" t="s">
        <v>329</v>
      </c>
      <c r="G686" s="10">
        <v>44</v>
      </c>
      <c r="H686" s="1" t="s">
        <v>78</v>
      </c>
    </row>
    <row r="687" spans="1:8" ht="15.75" customHeight="1" x14ac:dyDescent="0.3">
      <c r="A687" s="10">
        <v>10686</v>
      </c>
      <c r="B687" s="10">
        <v>643</v>
      </c>
      <c r="C687" s="10">
        <v>2051</v>
      </c>
      <c r="D687" s="10">
        <v>311</v>
      </c>
      <c r="E687" s="1" t="s">
        <v>107</v>
      </c>
      <c r="F687" s="1" t="s">
        <v>43</v>
      </c>
      <c r="G687" s="10">
        <v>54</v>
      </c>
      <c r="H687" s="1" t="s">
        <v>78</v>
      </c>
    </row>
    <row r="688" spans="1:8" ht="15.75" customHeight="1" x14ac:dyDescent="0.3">
      <c r="A688" s="10">
        <v>10687</v>
      </c>
      <c r="B688" s="10">
        <v>678</v>
      </c>
      <c r="C688" s="10">
        <v>2057</v>
      </c>
      <c r="D688" s="10">
        <v>318</v>
      </c>
      <c r="E688" s="1" t="s">
        <v>53</v>
      </c>
      <c r="F688" s="1" t="s">
        <v>372</v>
      </c>
      <c r="G688" s="10">
        <v>15</v>
      </c>
      <c r="H688" s="1" t="s">
        <v>39</v>
      </c>
    </row>
    <row r="689" spans="1:8" ht="15.75" customHeight="1" x14ac:dyDescent="0.3">
      <c r="A689" s="10">
        <v>10688</v>
      </c>
      <c r="B689" s="10">
        <v>678</v>
      </c>
      <c r="C689" s="10">
        <v>2041</v>
      </c>
      <c r="D689" s="10">
        <v>309</v>
      </c>
      <c r="E689" s="1" t="s">
        <v>273</v>
      </c>
      <c r="F689" s="1" t="s">
        <v>73</v>
      </c>
      <c r="G689" s="10">
        <v>88</v>
      </c>
      <c r="H689" s="1" t="s">
        <v>42</v>
      </c>
    </row>
    <row r="690" spans="1:8" ht="15.75" customHeight="1" x14ac:dyDescent="0.3">
      <c r="A690" s="10">
        <v>10689</v>
      </c>
      <c r="B690" s="10">
        <v>561</v>
      </c>
      <c r="C690" s="10">
        <v>2049</v>
      </c>
      <c r="D690" s="10">
        <v>317</v>
      </c>
      <c r="E690" s="1" t="s">
        <v>197</v>
      </c>
      <c r="F690" s="1" t="s">
        <v>219</v>
      </c>
      <c r="G690" s="10">
        <v>12</v>
      </c>
      <c r="H690" s="1" t="s">
        <v>36</v>
      </c>
    </row>
    <row r="691" spans="1:8" ht="15.75" customHeight="1" x14ac:dyDescent="0.3">
      <c r="A691" s="10">
        <v>10690</v>
      </c>
      <c r="B691" s="10">
        <v>614</v>
      </c>
      <c r="C691" s="10">
        <v>2086</v>
      </c>
      <c r="D691" s="10">
        <v>311</v>
      </c>
      <c r="E691" s="1" t="s">
        <v>51</v>
      </c>
      <c r="F691" s="1" t="s">
        <v>52</v>
      </c>
      <c r="G691" s="10">
        <v>7</v>
      </c>
      <c r="H691" s="1" t="s">
        <v>78</v>
      </c>
    </row>
    <row r="692" spans="1:8" ht="15.75" customHeight="1" x14ac:dyDescent="0.3">
      <c r="A692" s="10">
        <v>10691</v>
      </c>
      <c r="B692" s="10">
        <v>754</v>
      </c>
      <c r="C692" s="10">
        <v>2074</v>
      </c>
      <c r="D692" s="10">
        <v>302</v>
      </c>
      <c r="E692" s="1" t="s">
        <v>209</v>
      </c>
      <c r="F692" s="1" t="s">
        <v>87</v>
      </c>
      <c r="G692" s="10">
        <v>42</v>
      </c>
      <c r="H692" s="1" t="s">
        <v>42</v>
      </c>
    </row>
    <row r="693" spans="1:8" ht="15.75" customHeight="1" x14ac:dyDescent="0.3">
      <c r="A693" s="10">
        <v>10692</v>
      </c>
      <c r="B693" s="10">
        <v>634</v>
      </c>
      <c r="C693" s="10">
        <v>2039</v>
      </c>
      <c r="D693" s="10">
        <v>315</v>
      </c>
      <c r="E693" s="1" t="s">
        <v>358</v>
      </c>
      <c r="F693" s="1" t="s">
        <v>204</v>
      </c>
      <c r="G693" s="10">
        <v>93</v>
      </c>
      <c r="H693" s="1" t="s">
        <v>36</v>
      </c>
    </row>
    <row r="694" spans="1:8" ht="15.75" customHeight="1" x14ac:dyDescent="0.3">
      <c r="A694" s="10">
        <v>10693</v>
      </c>
      <c r="B694" s="10">
        <v>540</v>
      </c>
      <c r="C694" s="10">
        <v>2098</v>
      </c>
      <c r="D694" s="10">
        <v>310</v>
      </c>
      <c r="E694" s="1" t="s">
        <v>230</v>
      </c>
      <c r="F694" s="1" t="s">
        <v>37</v>
      </c>
      <c r="G694" s="10">
        <v>77</v>
      </c>
      <c r="H694" s="1" t="s">
        <v>78</v>
      </c>
    </row>
    <row r="695" spans="1:8" ht="15.75" customHeight="1" x14ac:dyDescent="0.3">
      <c r="A695" s="10">
        <v>10694</v>
      </c>
      <c r="B695" s="10">
        <v>671</v>
      </c>
      <c r="C695" s="10">
        <v>2067</v>
      </c>
      <c r="D695" s="10">
        <v>312</v>
      </c>
      <c r="E695" s="1" t="s">
        <v>396</v>
      </c>
      <c r="F695" s="1" t="s">
        <v>344</v>
      </c>
      <c r="G695" s="10">
        <v>66</v>
      </c>
      <c r="H695" s="1" t="s">
        <v>78</v>
      </c>
    </row>
    <row r="696" spans="1:8" ht="15.75" customHeight="1" x14ac:dyDescent="0.3">
      <c r="A696" s="10">
        <v>10695</v>
      </c>
      <c r="B696" s="10">
        <v>763</v>
      </c>
      <c r="C696" s="10">
        <v>2065</v>
      </c>
      <c r="D696" s="10">
        <v>302</v>
      </c>
      <c r="E696" s="1" t="s">
        <v>346</v>
      </c>
      <c r="F696" s="1" t="s">
        <v>375</v>
      </c>
      <c r="G696" s="10">
        <v>71</v>
      </c>
      <c r="H696" s="1" t="s">
        <v>39</v>
      </c>
    </row>
    <row r="697" spans="1:8" ht="15.75" customHeight="1" x14ac:dyDescent="0.3">
      <c r="A697" s="10">
        <v>10696</v>
      </c>
      <c r="B697" s="10">
        <v>806</v>
      </c>
      <c r="C697" s="10">
        <v>2073</v>
      </c>
      <c r="D697" s="10">
        <v>309</v>
      </c>
      <c r="E697" s="1" t="s">
        <v>61</v>
      </c>
      <c r="F697" s="1" t="s">
        <v>198</v>
      </c>
      <c r="G697" s="10">
        <v>98</v>
      </c>
      <c r="H697" s="1" t="s">
        <v>36</v>
      </c>
    </row>
    <row r="698" spans="1:8" ht="15.75" customHeight="1" x14ac:dyDescent="0.3">
      <c r="A698" s="10">
        <v>10697</v>
      </c>
      <c r="B698" s="10">
        <v>668</v>
      </c>
      <c r="C698" s="10">
        <v>2084</v>
      </c>
      <c r="D698" s="10">
        <v>312</v>
      </c>
      <c r="E698" s="1" t="s">
        <v>197</v>
      </c>
      <c r="F698" s="1" t="s">
        <v>187</v>
      </c>
      <c r="G698" s="10">
        <v>84</v>
      </c>
      <c r="H698" s="1" t="s">
        <v>42</v>
      </c>
    </row>
    <row r="699" spans="1:8" ht="15.75" customHeight="1" x14ac:dyDescent="0.3">
      <c r="A699" s="10">
        <v>10698</v>
      </c>
      <c r="B699" s="10">
        <v>642</v>
      </c>
      <c r="C699" s="10">
        <v>2077</v>
      </c>
      <c r="D699" s="10">
        <v>318</v>
      </c>
      <c r="E699" s="1" t="s">
        <v>111</v>
      </c>
      <c r="F699" s="1" t="s">
        <v>370</v>
      </c>
      <c r="G699" s="10">
        <v>78</v>
      </c>
      <c r="H699" s="1" t="s">
        <v>39</v>
      </c>
    </row>
    <row r="700" spans="1:8" ht="15.75" customHeight="1" x14ac:dyDescent="0.3">
      <c r="A700" s="10">
        <v>10699</v>
      </c>
      <c r="B700" s="10">
        <v>768</v>
      </c>
      <c r="C700" s="10">
        <v>2011</v>
      </c>
      <c r="D700" s="10">
        <v>319</v>
      </c>
      <c r="E700" s="1" t="s">
        <v>52</v>
      </c>
      <c r="F700" s="1" t="s">
        <v>336</v>
      </c>
      <c r="G700" s="10">
        <v>36</v>
      </c>
      <c r="H700" s="1" t="s">
        <v>39</v>
      </c>
    </row>
    <row r="701" spans="1:8" ht="15.75" customHeight="1" x14ac:dyDescent="0.3">
      <c r="A701" s="10">
        <v>10700</v>
      </c>
      <c r="B701" s="10">
        <v>576</v>
      </c>
      <c r="C701" s="10">
        <v>2001</v>
      </c>
      <c r="D701" s="10">
        <v>311</v>
      </c>
      <c r="E701" s="1" t="s">
        <v>138</v>
      </c>
      <c r="F701" s="1" t="s">
        <v>82</v>
      </c>
      <c r="G701" s="10">
        <v>30</v>
      </c>
      <c r="H701" s="1" t="s">
        <v>39</v>
      </c>
    </row>
    <row r="702" spans="1:8" ht="15.75" customHeight="1" x14ac:dyDescent="0.3">
      <c r="A702" s="10">
        <v>10701</v>
      </c>
      <c r="B702" s="10">
        <v>560</v>
      </c>
      <c r="C702" s="10">
        <v>2011</v>
      </c>
      <c r="D702" s="10">
        <v>310</v>
      </c>
      <c r="E702" s="1" t="s">
        <v>275</v>
      </c>
      <c r="F702" s="1" t="s">
        <v>344</v>
      </c>
      <c r="G702" s="10">
        <v>41</v>
      </c>
      <c r="H702" s="1" t="s">
        <v>42</v>
      </c>
    </row>
    <row r="703" spans="1:8" ht="15.75" customHeight="1" x14ac:dyDescent="0.3">
      <c r="A703" s="10">
        <v>10702</v>
      </c>
      <c r="B703" s="10">
        <v>881</v>
      </c>
      <c r="C703" s="10">
        <v>2093</v>
      </c>
      <c r="D703" s="10">
        <v>310</v>
      </c>
      <c r="E703" s="1" t="s">
        <v>310</v>
      </c>
      <c r="F703" s="1" t="s">
        <v>124</v>
      </c>
      <c r="G703" s="10">
        <v>18</v>
      </c>
      <c r="H703" s="1" t="s">
        <v>78</v>
      </c>
    </row>
    <row r="704" spans="1:8" ht="15.75" customHeight="1" x14ac:dyDescent="0.3">
      <c r="A704" s="10">
        <v>10703</v>
      </c>
      <c r="B704" s="10">
        <v>726</v>
      </c>
      <c r="C704" s="10">
        <v>2018</v>
      </c>
      <c r="D704" s="10">
        <v>302</v>
      </c>
      <c r="E704" s="1" t="s">
        <v>57</v>
      </c>
      <c r="F704" s="1" t="s">
        <v>115</v>
      </c>
      <c r="G704" s="10">
        <v>16</v>
      </c>
      <c r="H704" s="1" t="s">
        <v>78</v>
      </c>
    </row>
    <row r="705" spans="1:8" ht="15.75" customHeight="1" x14ac:dyDescent="0.3">
      <c r="A705" s="10">
        <v>10704</v>
      </c>
      <c r="B705" s="10">
        <v>834</v>
      </c>
      <c r="C705" s="10">
        <v>2097</v>
      </c>
      <c r="D705" s="10">
        <v>307</v>
      </c>
      <c r="E705" s="1" t="s">
        <v>401</v>
      </c>
      <c r="F705" s="1" t="s">
        <v>166</v>
      </c>
      <c r="G705" s="10">
        <v>2</v>
      </c>
      <c r="H705" s="1" t="s">
        <v>42</v>
      </c>
    </row>
    <row r="706" spans="1:8" ht="15.75" customHeight="1" x14ac:dyDescent="0.3">
      <c r="A706" s="10">
        <v>10705</v>
      </c>
      <c r="B706" s="10">
        <v>629</v>
      </c>
      <c r="C706" s="10">
        <v>2070</v>
      </c>
      <c r="D706" s="10">
        <v>320</v>
      </c>
      <c r="E706" s="1" t="s">
        <v>59</v>
      </c>
      <c r="F706" s="1" t="s">
        <v>156</v>
      </c>
      <c r="G706" s="10">
        <v>55</v>
      </c>
      <c r="H706" s="1" t="s">
        <v>42</v>
      </c>
    </row>
    <row r="707" spans="1:8" ht="15.75" customHeight="1" x14ac:dyDescent="0.3">
      <c r="A707" s="10">
        <v>10706</v>
      </c>
      <c r="B707" s="10">
        <v>804</v>
      </c>
      <c r="C707" s="10">
        <v>2025</v>
      </c>
      <c r="D707" s="10">
        <v>301</v>
      </c>
      <c r="E707" s="1" t="s">
        <v>81</v>
      </c>
      <c r="F707" s="1" t="s">
        <v>170</v>
      </c>
      <c r="G707" s="10">
        <v>11</v>
      </c>
      <c r="H707" s="1" t="s">
        <v>39</v>
      </c>
    </row>
    <row r="708" spans="1:8" ht="15.75" customHeight="1" x14ac:dyDescent="0.3">
      <c r="A708" s="10">
        <v>10707</v>
      </c>
      <c r="B708" s="10">
        <v>727</v>
      </c>
      <c r="C708" s="10">
        <v>2082</v>
      </c>
      <c r="D708" s="10">
        <v>317</v>
      </c>
      <c r="E708" s="1" t="s">
        <v>360</v>
      </c>
      <c r="F708" s="1" t="s">
        <v>313</v>
      </c>
      <c r="G708" s="10">
        <v>43</v>
      </c>
      <c r="H708" s="1" t="s">
        <v>39</v>
      </c>
    </row>
    <row r="709" spans="1:8" ht="15.75" customHeight="1" x14ac:dyDescent="0.3">
      <c r="A709" s="10">
        <v>10708</v>
      </c>
      <c r="B709" s="10">
        <v>733</v>
      </c>
      <c r="C709" s="10">
        <v>2062</v>
      </c>
      <c r="D709" s="10">
        <v>305</v>
      </c>
      <c r="E709" s="1" t="s">
        <v>347</v>
      </c>
      <c r="F709" s="1" t="s">
        <v>307</v>
      </c>
      <c r="G709" s="10">
        <v>26</v>
      </c>
      <c r="H709" s="1" t="s">
        <v>39</v>
      </c>
    </row>
    <row r="710" spans="1:8" ht="15.75" customHeight="1" x14ac:dyDescent="0.3">
      <c r="A710" s="10">
        <v>10709</v>
      </c>
      <c r="B710" s="10">
        <v>853</v>
      </c>
      <c r="C710" s="10">
        <v>2006</v>
      </c>
      <c r="D710" s="10">
        <v>304</v>
      </c>
      <c r="E710" s="1" t="s">
        <v>177</v>
      </c>
      <c r="F710" s="1" t="s">
        <v>371</v>
      </c>
      <c r="G710" s="10">
        <v>5</v>
      </c>
      <c r="H710" s="1" t="s">
        <v>42</v>
      </c>
    </row>
    <row r="711" spans="1:8" ht="15.75" customHeight="1" x14ac:dyDescent="0.3">
      <c r="A711" s="10">
        <v>10710</v>
      </c>
      <c r="B711" s="10">
        <v>713</v>
      </c>
      <c r="C711" s="10">
        <v>2035</v>
      </c>
      <c r="D711" s="10">
        <v>302</v>
      </c>
      <c r="E711" s="1" t="s">
        <v>280</v>
      </c>
      <c r="F711" s="1" t="s">
        <v>186</v>
      </c>
      <c r="G711" s="10">
        <v>47</v>
      </c>
      <c r="H711" s="1" t="s">
        <v>36</v>
      </c>
    </row>
    <row r="712" spans="1:8" ht="15.75" customHeight="1" x14ac:dyDescent="0.3">
      <c r="A712" s="10">
        <v>10711</v>
      </c>
      <c r="B712" s="10">
        <v>655</v>
      </c>
      <c r="C712" s="10">
        <v>2048</v>
      </c>
      <c r="D712" s="10">
        <v>315</v>
      </c>
      <c r="E712" s="1" t="s">
        <v>401</v>
      </c>
      <c r="F712" s="1" t="s">
        <v>166</v>
      </c>
      <c r="G712" s="10">
        <v>18</v>
      </c>
      <c r="H712" s="1" t="s">
        <v>36</v>
      </c>
    </row>
    <row r="713" spans="1:8" ht="15.75" customHeight="1" x14ac:dyDescent="0.3">
      <c r="A713" s="10">
        <v>10712</v>
      </c>
      <c r="B713" s="10">
        <v>516</v>
      </c>
      <c r="C713" s="10">
        <v>2059</v>
      </c>
      <c r="D713" s="10">
        <v>306</v>
      </c>
      <c r="E713" s="1" t="s">
        <v>375</v>
      </c>
      <c r="F713" s="1" t="s">
        <v>354</v>
      </c>
      <c r="G713" s="10">
        <v>81</v>
      </c>
      <c r="H713" s="1" t="s">
        <v>42</v>
      </c>
    </row>
    <row r="714" spans="1:8" ht="15.75" customHeight="1" x14ac:dyDescent="0.3">
      <c r="A714" s="10">
        <v>10713</v>
      </c>
      <c r="B714" s="10">
        <v>546</v>
      </c>
      <c r="C714" s="10">
        <v>2059</v>
      </c>
      <c r="D714" s="10">
        <v>302</v>
      </c>
      <c r="E714" s="1" t="s">
        <v>205</v>
      </c>
      <c r="F714" s="1" t="s">
        <v>280</v>
      </c>
      <c r="G714" s="10">
        <v>61</v>
      </c>
      <c r="H714" s="1" t="s">
        <v>39</v>
      </c>
    </row>
    <row r="715" spans="1:8" ht="15.75" customHeight="1" x14ac:dyDescent="0.3">
      <c r="A715" s="10">
        <v>10714</v>
      </c>
      <c r="B715" s="10">
        <v>766</v>
      </c>
      <c r="C715" s="10">
        <v>2051</v>
      </c>
      <c r="D715" s="10">
        <v>304</v>
      </c>
      <c r="E715" s="1" t="s">
        <v>154</v>
      </c>
      <c r="F715" s="1" t="s">
        <v>254</v>
      </c>
      <c r="G715" s="10">
        <v>49</v>
      </c>
      <c r="H715" s="1" t="s">
        <v>78</v>
      </c>
    </row>
    <row r="716" spans="1:8" ht="15.75" customHeight="1" x14ac:dyDescent="0.3">
      <c r="A716" s="10">
        <v>10715</v>
      </c>
      <c r="B716" s="10">
        <v>858</v>
      </c>
      <c r="C716" s="10">
        <v>2084</v>
      </c>
      <c r="D716" s="10">
        <v>313</v>
      </c>
      <c r="E716" s="1" t="s">
        <v>64</v>
      </c>
      <c r="F716" s="1" t="s">
        <v>112</v>
      </c>
      <c r="G716" s="10">
        <v>70</v>
      </c>
      <c r="H716" s="1" t="s">
        <v>36</v>
      </c>
    </row>
    <row r="717" spans="1:8" ht="15.75" customHeight="1" x14ac:dyDescent="0.3">
      <c r="A717" s="10">
        <v>10716</v>
      </c>
      <c r="B717" s="10">
        <v>778</v>
      </c>
      <c r="C717" s="10">
        <v>2093</v>
      </c>
      <c r="D717" s="10">
        <v>306</v>
      </c>
      <c r="E717" s="1" t="s">
        <v>131</v>
      </c>
      <c r="F717" s="1" t="s">
        <v>384</v>
      </c>
      <c r="G717" s="10">
        <v>46</v>
      </c>
      <c r="H717" s="1" t="s">
        <v>78</v>
      </c>
    </row>
    <row r="718" spans="1:8" ht="15.75" customHeight="1" x14ac:dyDescent="0.3">
      <c r="A718" s="10">
        <v>10717</v>
      </c>
      <c r="B718" s="10">
        <v>667</v>
      </c>
      <c r="C718" s="10">
        <v>2052</v>
      </c>
      <c r="D718" s="10">
        <v>304</v>
      </c>
      <c r="E718" s="1" t="s">
        <v>394</v>
      </c>
      <c r="F718" s="1" t="s">
        <v>67</v>
      </c>
      <c r="G718" s="10">
        <v>22</v>
      </c>
      <c r="H718" s="1" t="s">
        <v>42</v>
      </c>
    </row>
    <row r="719" spans="1:8" ht="15.75" customHeight="1" x14ac:dyDescent="0.3">
      <c r="A719" s="10">
        <v>10718</v>
      </c>
      <c r="B719" s="10">
        <v>683</v>
      </c>
      <c r="C719" s="10">
        <v>2010</v>
      </c>
      <c r="D719" s="10">
        <v>318</v>
      </c>
      <c r="E719" s="1" t="s">
        <v>274</v>
      </c>
      <c r="F719" s="1" t="s">
        <v>323</v>
      </c>
      <c r="G719" s="10">
        <v>20</v>
      </c>
      <c r="H719" s="1" t="s">
        <v>39</v>
      </c>
    </row>
    <row r="720" spans="1:8" ht="15.75" customHeight="1" x14ac:dyDescent="0.3">
      <c r="A720" s="10">
        <v>10719</v>
      </c>
      <c r="B720" s="10">
        <v>662</v>
      </c>
      <c r="C720" s="10">
        <v>2077</v>
      </c>
      <c r="D720" s="10">
        <v>310</v>
      </c>
      <c r="E720" s="1" t="s">
        <v>229</v>
      </c>
      <c r="F720" s="1" t="s">
        <v>373</v>
      </c>
      <c r="G720" s="10">
        <v>89</v>
      </c>
      <c r="H720" s="1" t="s">
        <v>39</v>
      </c>
    </row>
    <row r="721" spans="1:8" ht="15.75" customHeight="1" x14ac:dyDescent="0.3">
      <c r="A721" s="10">
        <v>10720</v>
      </c>
      <c r="B721" s="10">
        <v>658</v>
      </c>
      <c r="C721" s="10">
        <v>2090</v>
      </c>
      <c r="D721" s="10">
        <v>301</v>
      </c>
      <c r="E721" s="1" t="s">
        <v>92</v>
      </c>
      <c r="F721" s="1" t="s">
        <v>134</v>
      </c>
      <c r="G721" s="10">
        <v>68</v>
      </c>
      <c r="H721" s="1" t="s">
        <v>36</v>
      </c>
    </row>
    <row r="722" spans="1:8" ht="15.75" customHeight="1" x14ac:dyDescent="0.3">
      <c r="A722" s="10">
        <v>10721</v>
      </c>
      <c r="B722" s="10">
        <v>573</v>
      </c>
      <c r="C722" s="10">
        <v>2070</v>
      </c>
      <c r="D722" s="10">
        <v>309</v>
      </c>
      <c r="E722" s="1" t="s">
        <v>38</v>
      </c>
      <c r="F722" s="1" t="s">
        <v>271</v>
      </c>
      <c r="G722" s="10">
        <v>94</v>
      </c>
      <c r="H722" s="1" t="s">
        <v>39</v>
      </c>
    </row>
    <row r="723" spans="1:8" ht="15.75" customHeight="1" x14ac:dyDescent="0.3">
      <c r="A723" s="10">
        <v>10722</v>
      </c>
      <c r="B723" s="10">
        <v>595</v>
      </c>
      <c r="C723" s="10">
        <v>2078</v>
      </c>
      <c r="D723" s="10">
        <v>301</v>
      </c>
      <c r="E723" s="1" t="s">
        <v>142</v>
      </c>
      <c r="F723" s="1" t="s">
        <v>143</v>
      </c>
      <c r="G723" s="10">
        <v>90</v>
      </c>
      <c r="H723" s="1" t="s">
        <v>36</v>
      </c>
    </row>
    <row r="724" spans="1:8" ht="15.75" customHeight="1" x14ac:dyDescent="0.3">
      <c r="A724" s="10">
        <v>10723</v>
      </c>
      <c r="B724" s="10">
        <v>755</v>
      </c>
      <c r="C724" s="10">
        <v>2057</v>
      </c>
      <c r="D724" s="10">
        <v>302</v>
      </c>
      <c r="E724" s="1" t="s">
        <v>307</v>
      </c>
      <c r="F724" s="1" t="s">
        <v>87</v>
      </c>
      <c r="G724" s="10">
        <v>5</v>
      </c>
      <c r="H724" s="1" t="s">
        <v>42</v>
      </c>
    </row>
    <row r="725" spans="1:8" ht="15.75" customHeight="1" x14ac:dyDescent="0.3">
      <c r="A725" s="10">
        <v>10724</v>
      </c>
      <c r="B725" s="10">
        <v>577</v>
      </c>
      <c r="C725" s="10">
        <v>2039</v>
      </c>
      <c r="D725" s="10">
        <v>303</v>
      </c>
      <c r="E725" s="1" t="s">
        <v>129</v>
      </c>
      <c r="F725" s="1" t="s">
        <v>66</v>
      </c>
      <c r="G725" s="10">
        <v>89</v>
      </c>
      <c r="H725" s="1" t="s">
        <v>36</v>
      </c>
    </row>
    <row r="726" spans="1:8" ht="15.75" customHeight="1" x14ac:dyDescent="0.3">
      <c r="A726" s="10">
        <v>10725</v>
      </c>
      <c r="B726" s="10">
        <v>738</v>
      </c>
      <c r="C726" s="10">
        <v>2046</v>
      </c>
      <c r="D726" s="10">
        <v>307</v>
      </c>
      <c r="E726" s="1" t="s">
        <v>190</v>
      </c>
      <c r="F726" s="1" t="s">
        <v>169</v>
      </c>
      <c r="G726" s="10">
        <v>96</v>
      </c>
      <c r="H726" s="1" t="s">
        <v>78</v>
      </c>
    </row>
    <row r="727" spans="1:8" ht="15.75" customHeight="1" x14ac:dyDescent="0.3">
      <c r="A727" s="10">
        <v>10726</v>
      </c>
      <c r="B727" s="10">
        <v>585</v>
      </c>
      <c r="C727" s="10">
        <v>2037</v>
      </c>
      <c r="D727" s="10">
        <v>319</v>
      </c>
      <c r="E727" s="1" t="s">
        <v>402</v>
      </c>
      <c r="F727" s="1" t="s">
        <v>360</v>
      </c>
      <c r="G727" s="10">
        <v>3</v>
      </c>
      <c r="H727" s="1" t="s">
        <v>36</v>
      </c>
    </row>
    <row r="728" spans="1:8" ht="15.75" customHeight="1" x14ac:dyDescent="0.3">
      <c r="A728" s="10">
        <v>10727</v>
      </c>
      <c r="B728" s="10">
        <v>732</v>
      </c>
      <c r="C728" s="10">
        <v>2100</v>
      </c>
      <c r="D728" s="10">
        <v>320</v>
      </c>
      <c r="E728" s="1" t="s">
        <v>181</v>
      </c>
      <c r="F728" s="1" t="s">
        <v>338</v>
      </c>
      <c r="G728" s="10">
        <v>30</v>
      </c>
      <c r="H728" s="1" t="s">
        <v>78</v>
      </c>
    </row>
    <row r="729" spans="1:8" ht="15.75" customHeight="1" x14ac:dyDescent="0.3">
      <c r="A729" s="10">
        <v>10728</v>
      </c>
      <c r="B729" s="10">
        <v>757</v>
      </c>
      <c r="C729" s="10">
        <v>2016</v>
      </c>
      <c r="D729" s="10">
        <v>309</v>
      </c>
      <c r="E729" s="1" t="s">
        <v>260</v>
      </c>
      <c r="F729" s="1" t="s">
        <v>361</v>
      </c>
      <c r="G729" s="10">
        <v>98</v>
      </c>
      <c r="H729" s="1" t="s">
        <v>78</v>
      </c>
    </row>
    <row r="730" spans="1:8" ht="15.75" customHeight="1" x14ac:dyDescent="0.3">
      <c r="A730" s="10">
        <v>10729</v>
      </c>
      <c r="B730" s="10">
        <v>679</v>
      </c>
      <c r="C730" s="10">
        <v>2007</v>
      </c>
      <c r="D730" s="10">
        <v>307</v>
      </c>
      <c r="E730" s="1" t="s">
        <v>374</v>
      </c>
      <c r="F730" s="1" t="s">
        <v>329</v>
      </c>
      <c r="G730" s="10">
        <v>13</v>
      </c>
      <c r="H730" s="1" t="s">
        <v>39</v>
      </c>
    </row>
    <row r="731" spans="1:8" ht="15.75" customHeight="1" x14ac:dyDescent="0.3">
      <c r="A731" s="10">
        <v>10730</v>
      </c>
      <c r="B731" s="10">
        <v>507</v>
      </c>
      <c r="C731" s="10">
        <v>2044</v>
      </c>
      <c r="D731" s="10">
        <v>320</v>
      </c>
      <c r="E731" s="1" t="s">
        <v>124</v>
      </c>
      <c r="F731" s="1" t="s">
        <v>174</v>
      </c>
      <c r="G731" s="10">
        <v>85</v>
      </c>
      <c r="H731" s="1" t="s">
        <v>78</v>
      </c>
    </row>
    <row r="732" spans="1:8" ht="15.75" customHeight="1" x14ac:dyDescent="0.3">
      <c r="A732" s="10">
        <v>10731</v>
      </c>
      <c r="B732" s="10">
        <v>619</v>
      </c>
      <c r="C732" s="10">
        <v>2056</v>
      </c>
      <c r="D732" s="10">
        <v>304</v>
      </c>
      <c r="E732" s="1" t="s">
        <v>181</v>
      </c>
      <c r="F732" s="1" t="s">
        <v>71</v>
      </c>
      <c r="G732" s="10">
        <v>94</v>
      </c>
      <c r="H732" s="1" t="s">
        <v>39</v>
      </c>
    </row>
    <row r="733" spans="1:8" ht="15.75" customHeight="1" x14ac:dyDescent="0.3">
      <c r="A733" s="10">
        <v>10732</v>
      </c>
      <c r="B733" s="10">
        <v>569</v>
      </c>
      <c r="C733" s="10">
        <v>2021</v>
      </c>
      <c r="D733" s="10">
        <v>318</v>
      </c>
      <c r="E733" s="1" t="s">
        <v>328</v>
      </c>
      <c r="F733" s="1" t="s">
        <v>278</v>
      </c>
      <c r="G733" s="10">
        <v>57</v>
      </c>
      <c r="H733" s="1" t="s">
        <v>36</v>
      </c>
    </row>
    <row r="734" spans="1:8" ht="15.75" customHeight="1" x14ac:dyDescent="0.3">
      <c r="A734" s="10">
        <v>10733</v>
      </c>
      <c r="B734" s="10">
        <v>624</v>
      </c>
      <c r="C734" s="10">
        <v>2063</v>
      </c>
      <c r="D734" s="10">
        <v>315</v>
      </c>
      <c r="E734" s="1" t="s">
        <v>322</v>
      </c>
      <c r="F734" s="1" t="s">
        <v>254</v>
      </c>
      <c r="G734" s="10">
        <v>70</v>
      </c>
      <c r="H734" s="1" t="s">
        <v>36</v>
      </c>
    </row>
    <row r="735" spans="1:8" ht="15.75" customHeight="1" x14ac:dyDescent="0.3">
      <c r="A735" s="10">
        <v>10734</v>
      </c>
      <c r="B735" s="10">
        <v>843</v>
      </c>
      <c r="C735" s="10">
        <v>2030</v>
      </c>
      <c r="D735" s="10">
        <v>317</v>
      </c>
      <c r="E735" s="1" t="s">
        <v>71</v>
      </c>
      <c r="F735" s="1" t="s">
        <v>135</v>
      </c>
      <c r="G735" s="10">
        <v>62</v>
      </c>
      <c r="H735" s="1" t="s">
        <v>39</v>
      </c>
    </row>
    <row r="736" spans="1:8" ht="15.75" customHeight="1" x14ac:dyDescent="0.3">
      <c r="A736" s="10">
        <v>10735</v>
      </c>
      <c r="B736" s="10">
        <v>690</v>
      </c>
      <c r="C736" s="10">
        <v>2078</v>
      </c>
      <c r="D736" s="10">
        <v>317</v>
      </c>
      <c r="E736" s="1" t="s">
        <v>238</v>
      </c>
      <c r="F736" s="1" t="s">
        <v>139</v>
      </c>
      <c r="G736" s="10">
        <v>28</v>
      </c>
      <c r="H736" s="1" t="s">
        <v>78</v>
      </c>
    </row>
    <row r="737" spans="1:8" ht="15.75" customHeight="1" x14ac:dyDescent="0.3">
      <c r="A737" s="10">
        <v>10736</v>
      </c>
      <c r="B737" s="10">
        <v>620</v>
      </c>
      <c r="C737" s="10">
        <v>2094</v>
      </c>
      <c r="D737" s="10">
        <v>317</v>
      </c>
      <c r="E737" s="1" t="s">
        <v>215</v>
      </c>
      <c r="F737" s="1" t="s">
        <v>153</v>
      </c>
      <c r="G737" s="10">
        <v>67</v>
      </c>
      <c r="H737" s="1" t="s">
        <v>78</v>
      </c>
    </row>
    <row r="738" spans="1:8" ht="15.75" customHeight="1" x14ac:dyDescent="0.3">
      <c r="A738" s="10">
        <v>10737</v>
      </c>
      <c r="B738" s="10">
        <v>605</v>
      </c>
      <c r="C738" s="10">
        <v>2060</v>
      </c>
      <c r="D738" s="10">
        <v>319</v>
      </c>
      <c r="E738" s="1" t="s">
        <v>203</v>
      </c>
      <c r="F738" s="1" t="s">
        <v>256</v>
      </c>
      <c r="G738" s="10">
        <v>97</v>
      </c>
      <c r="H738" s="1" t="s">
        <v>78</v>
      </c>
    </row>
    <row r="739" spans="1:8" ht="15.75" customHeight="1" x14ac:dyDescent="0.3">
      <c r="A739" s="10">
        <v>10738</v>
      </c>
      <c r="B739" s="10">
        <v>503</v>
      </c>
      <c r="C739" s="10">
        <v>2026</v>
      </c>
      <c r="D739" s="10">
        <v>306</v>
      </c>
      <c r="E739" s="1" t="s">
        <v>141</v>
      </c>
      <c r="F739" s="1" t="s">
        <v>173</v>
      </c>
      <c r="G739" s="10">
        <v>93</v>
      </c>
      <c r="H739" s="1" t="s">
        <v>78</v>
      </c>
    </row>
    <row r="740" spans="1:8" ht="15.75" customHeight="1" x14ac:dyDescent="0.3">
      <c r="A740" s="10">
        <v>10739</v>
      </c>
      <c r="B740" s="10">
        <v>724</v>
      </c>
      <c r="C740" s="10">
        <v>2091</v>
      </c>
      <c r="D740" s="10">
        <v>302</v>
      </c>
      <c r="E740" s="1" t="s">
        <v>233</v>
      </c>
      <c r="F740" s="1" t="s">
        <v>241</v>
      </c>
      <c r="G740" s="10">
        <v>31</v>
      </c>
      <c r="H740" s="1" t="s">
        <v>39</v>
      </c>
    </row>
    <row r="741" spans="1:8" ht="15.75" customHeight="1" x14ac:dyDescent="0.3">
      <c r="A741" s="10">
        <v>10740</v>
      </c>
      <c r="B741" s="10">
        <v>500</v>
      </c>
      <c r="C741" s="10">
        <v>2055</v>
      </c>
      <c r="D741" s="10">
        <v>320</v>
      </c>
      <c r="E741" s="1" t="s">
        <v>86</v>
      </c>
      <c r="F741" s="1" t="s">
        <v>325</v>
      </c>
      <c r="G741" s="10">
        <v>87</v>
      </c>
      <c r="H741" s="1" t="s">
        <v>36</v>
      </c>
    </row>
    <row r="742" spans="1:8" ht="15.75" customHeight="1" x14ac:dyDescent="0.3">
      <c r="A742" s="10">
        <v>10741</v>
      </c>
      <c r="B742" s="10">
        <v>531</v>
      </c>
      <c r="C742" s="10">
        <v>2077</v>
      </c>
      <c r="D742" s="10">
        <v>307</v>
      </c>
      <c r="E742" s="1" t="s">
        <v>112</v>
      </c>
      <c r="F742" s="1" t="s">
        <v>104</v>
      </c>
      <c r="G742" s="10">
        <v>94</v>
      </c>
      <c r="H742" s="1" t="s">
        <v>42</v>
      </c>
    </row>
    <row r="743" spans="1:8" ht="15.75" customHeight="1" x14ac:dyDescent="0.3">
      <c r="A743" s="10">
        <v>10742</v>
      </c>
      <c r="B743" s="10">
        <v>615</v>
      </c>
      <c r="C743" s="10">
        <v>2079</v>
      </c>
      <c r="D743" s="10">
        <v>301</v>
      </c>
      <c r="E743" s="1" t="s">
        <v>318</v>
      </c>
      <c r="F743" s="1" t="s">
        <v>50</v>
      </c>
      <c r="G743" s="10">
        <v>15</v>
      </c>
      <c r="H743" s="1" t="s">
        <v>36</v>
      </c>
    </row>
    <row r="744" spans="1:8" ht="15.75" customHeight="1" x14ac:dyDescent="0.3">
      <c r="A744" s="10">
        <v>10743</v>
      </c>
      <c r="B744" s="10">
        <v>721</v>
      </c>
      <c r="C744" s="10">
        <v>2012</v>
      </c>
      <c r="D744" s="10">
        <v>306</v>
      </c>
      <c r="E744" s="1" t="s">
        <v>374</v>
      </c>
      <c r="F744" s="1" t="s">
        <v>176</v>
      </c>
      <c r="G744" s="10">
        <v>68</v>
      </c>
      <c r="H744" s="1" t="s">
        <v>78</v>
      </c>
    </row>
    <row r="745" spans="1:8" ht="15.75" customHeight="1" x14ac:dyDescent="0.3">
      <c r="A745" s="10">
        <v>10744</v>
      </c>
      <c r="B745" s="10">
        <v>652</v>
      </c>
      <c r="C745" s="10">
        <v>2092</v>
      </c>
      <c r="D745" s="10">
        <v>314</v>
      </c>
      <c r="E745" s="1" t="s">
        <v>240</v>
      </c>
      <c r="F745" s="1" t="s">
        <v>164</v>
      </c>
      <c r="G745" s="10">
        <v>2</v>
      </c>
      <c r="H745" s="1" t="s">
        <v>36</v>
      </c>
    </row>
    <row r="746" spans="1:8" ht="15.75" customHeight="1" x14ac:dyDescent="0.3">
      <c r="A746" s="10">
        <v>10745</v>
      </c>
      <c r="B746" s="10">
        <v>537</v>
      </c>
      <c r="C746" s="10">
        <v>2099</v>
      </c>
      <c r="D746" s="10">
        <v>302</v>
      </c>
      <c r="E746" s="1" t="s">
        <v>80</v>
      </c>
      <c r="F746" s="1" t="s">
        <v>282</v>
      </c>
      <c r="G746" s="10">
        <v>88</v>
      </c>
      <c r="H746" s="1" t="s">
        <v>39</v>
      </c>
    </row>
    <row r="747" spans="1:8" ht="15.75" customHeight="1" x14ac:dyDescent="0.3">
      <c r="A747" s="10">
        <v>10746</v>
      </c>
      <c r="B747" s="10">
        <v>651</v>
      </c>
      <c r="C747" s="10">
        <v>2012</v>
      </c>
      <c r="D747" s="10">
        <v>311</v>
      </c>
      <c r="E747" s="1" t="s">
        <v>213</v>
      </c>
      <c r="F747" s="1" t="s">
        <v>93</v>
      </c>
      <c r="G747" s="10">
        <v>27</v>
      </c>
      <c r="H747" s="1" t="s">
        <v>39</v>
      </c>
    </row>
    <row r="748" spans="1:8" ht="15.75" customHeight="1" x14ac:dyDescent="0.3">
      <c r="A748" s="10">
        <v>10747</v>
      </c>
      <c r="B748" s="10">
        <v>778</v>
      </c>
      <c r="C748" s="10">
        <v>2070</v>
      </c>
      <c r="D748" s="10">
        <v>319</v>
      </c>
      <c r="E748" s="1" t="s">
        <v>248</v>
      </c>
      <c r="F748" s="1" t="s">
        <v>135</v>
      </c>
      <c r="G748" s="10">
        <v>98</v>
      </c>
      <c r="H748" s="1" t="s">
        <v>78</v>
      </c>
    </row>
    <row r="749" spans="1:8" ht="15.75" customHeight="1" x14ac:dyDescent="0.3">
      <c r="A749" s="10">
        <v>10748</v>
      </c>
      <c r="B749" s="10">
        <v>792</v>
      </c>
      <c r="C749" s="10">
        <v>2035</v>
      </c>
      <c r="D749" s="10">
        <v>319</v>
      </c>
      <c r="E749" s="1" t="s">
        <v>339</v>
      </c>
      <c r="F749" s="1" t="s">
        <v>94</v>
      </c>
      <c r="G749" s="10">
        <v>70</v>
      </c>
      <c r="H749" s="1" t="s">
        <v>36</v>
      </c>
    </row>
    <row r="750" spans="1:8" ht="15.75" customHeight="1" x14ac:dyDescent="0.3">
      <c r="A750" s="10">
        <v>10749</v>
      </c>
      <c r="B750" s="10">
        <v>509</v>
      </c>
      <c r="C750" s="10">
        <v>2080</v>
      </c>
      <c r="D750" s="10">
        <v>319</v>
      </c>
      <c r="E750" s="1" t="s">
        <v>346</v>
      </c>
      <c r="F750" s="1" t="s">
        <v>339</v>
      </c>
      <c r="G750" s="10">
        <v>96</v>
      </c>
      <c r="H750" s="1" t="s">
        <v>78</v>
      </c>
    </row>
    <row r="751" spans="1:8" ht="15.75" customHeight="1" x14ac:dyDescent="0.3">
      <c r="A751" s="10">
        <v>10750</v>
      </c>
      <c r="B751" s="10">
        <v>900</v>
      </c>
      <c r="C751" s="10">
        <v>2087</v>
      </c>
      <c r="D751" s="10">
        <v>315</v>
      </c>
      <c r="E751" s="1" t="s">
        <v>353</v>
      </c>
      <c r="F751" s="1" t="s">
        <v>81</v>
      </c>
      <c r="G751" s="10">
        <v>84</v>
      </c>
      <c r="H751" s="1" t="s">
        <v>39</v>
      </c>
    </row>
    <row r="752" spans="1:8" ht="15.75" customHeight="1" x14ac:dyDescent="0.3">
      <c r="A752" s="10">
        <v>10751</v>
      </c>
      <c r="B752" s="10">
        <v>713</v>
      </c>
      <c r="C752" s="10">
        <v>2082</v>
      </c>
      <c r="D752" s="10">
        <v>318</v>
      </c>
      <c r="E752" s="1" t="s">
        <v>105</v>
      </c>
      <c r="F752" s="1" t="s">
        <v>138</v>
      </c>
      <c r="G752" s="10">
        <v>10</v>
      </c>
      <c r="H752" s="1" t="s">
        <v>78</v>
      </c>
    </row>
    <row r="753" spans="1:8" ht="15.75" customHeight="1" x14ac:dyDescent="0.3">
      <c r="A753" s="10">
        <v>10752</v>
      </c>
      <c r="B753" s="10">
        <v>805</v>
      </c>
      <c r="C753" s="10">
        <v>2027</v>
      </c>
      <c r="D753" s="10">
        <v>313</v>
      </c>
      <c r="E753" s="1" t="s">
        <v>222</v>
      </c>
      <c r="F753" s="1" t="s">
        <v>223</v>
      </c>
      <c r="G753" s="10">
        <v>99</v>
      </c>
      <c r="H753" s="1" t="s">
        <v>42</v>
      </c>
    </row>
    <row r="754" spans="1:8" ht="15.75" customHeight="1" x14ac:dyDescent="0.3">
      <c r="A754" s="10">
        <v>10753</v>
      </c>
      <c r="B754" s="10">
        <v>899</v>
      </c>
      <c r="C754" s="10">
        <v>2052</v>
      </c>
      <c r="D754" s="10">
        <v>303</v>
      </c>
      <c r="E754" s="1" t="s">
        <v>396</v>
      </c>
      <c r="F754" s="1" t="s">
        <v>118</v>
      </c>
      <c r="G754" s="10">
        <v>71</v>
      </c>
      <c r="H754" s="1" t="s">
        <v>36</v>
      </c>
    </row>
    <row r="755" spans="1:8" ht="15.75" customHeight="1" x14ac:dyDescent="0.3">
      <c r="A755" s="10">
        <v>10754</v>
      </c>
      <c r="B755" s="10">
        <v>544</v>
      </c>
      <c r="C755" s="10">
        <v>2031</v>
      </c>
      <c r="D755" s="10">
        <v>318</v>
      </c>
      <c r="E755" s="1" t="s">
        <v>63</v>
      </c>
      <c r="F755" s="1" t="s">
        <v>34</v>
      </c>
      <c r="G755" s="10">
        <v>18</v>
      </c>
      <c r="H755" s="1" t="s">
        <v>39</v>
      </c>
    </row>
    <row r="756" spans="1:8" ht="15.75" customHeight="1" x14ac:dyDescent="0.3">
      <c r="A756" s="10">
        <v>10755</v>
      </c>
      <c r="B756" s="10">
        <v>687</v>
      </c>
      <c r="C756" s="10">
        <v>2083</v>
      </c>
      <c r="D756" s="10">
        <v>314</v>
      </c>
      <c r="E756" s="1" t="s">
        <v>373</v>
      </c>
      <c r="F756" s="1" t="s">
        <v>319</v>
      </c>
      <c r="G756" s="10">
        <v>79</v>
      </c>
      <c r="H756" s="1" t="s">
        <v>42</v>
      </c>
    </row>
    <row r="757" spans="1:8" ht="15.75" customHeight="1" x14ac:dyDescent="0.3">
      <c r="A757" s="10">
        <v>10756</v>
      </c>
      <c r="B757" s="10">
        <v>512</v>
      </c>
      <c r="C757" s="10">
        <v>2071</v>
      </c>
      <c r="D757" s="10">
        <v>312</v>
      </c>
      <c r="E757" s="1" t="s">
        <v>114</v>
      </c>
      <c r="F757" s="1" t="s">
        <v>118</v>
      </c>
      <c r="G757" s="10">
        <v>83</v>
      </c>
      <c r="H757" s="1" t="s">
        <v>39</v>
      </c>
    </row>
    <row r="758" spans="1:8" ht="15.75" customHeight="1" x14ac:dyDescent="0.3">
      <c r="A758" s="10">
        <v>10757</v>
      </c>
      <c r="B758" s="10">
        <v>757</v>
      </c>
      <c r="C758" s="10">
        <v>2017</v>
      </c>
      <c r="D758" s="10">
        <v>308</v>
      </c>
      <c r="E758" s="1" t="s">
        <v>152</v>
      </c>
      <c r="F758" s="1" t="s">
        <v>343</v>
      </c>
      <c r="G758" s="10">
        <v>21</v>
      </c>
      <c r="H758" s="1" t="s">
        <v>39</v>
      </c>
    </row>
    <row r="759" spans="1:8" ht="15.75" customHeight="1" x14ac:dyDescent="0.3">
      <c r="A759" s="10">
        <v>10758</v>
      </c>
      <c r="B759" s="10">
        <v>737</v>
      </c>
      <c r="C759" s="10">
        <v>2084</v>
      </c>
      <c r="D759" s="10">
        <v>317</v>
      </c>
      <c r="E759" s="1" t="s">
        <v>63</v>
      </c>
      <c r="F759" s="1" t="s">
        <v>117</v>
      </c>
      <c r="G759" s="10">
        <v>74</v>
      </c>
      <c r="H759" s="1" t="s">
        <v>42</v>
      </c>
    </row>
    <row r="760" spans="1:8" ht="15.75" customHeight="1" x14ac:dyDescent="0.3">
      <c r="A760" s="10">
        <v>10759</v>
      </c>
      <c r="B760" s="10">
        <v>518</v>
      </c>
      <c r="C760" s="10">
        <v>2022</v>
      </c>
      <c r="D760" s="10">
        <v>316</v>
      </c>
      <c r="E760" s="1" t="s">
        <v>355</v>
      </c>
      <c r="F760" s="1" t="s">
        <v>62</v>
      </c>
      <c r="G760" s="10">
        <v>14</v>
      </c>
      <c r="H760" s="1" t="s">
        <v>42</v>
      </c>
    </row>
    <row r="761" spans="1:8" ht="15.75" customHeight="1" x14ac:dyDescent="0.3">
      <c r="A761" s="10">
        <v>10760</v>
      </c>
      <c r="B761" s="10">
        <v>789</v>
      </c>
      <c r="C761" s="10">
        <v>2043</v>
      </c>
      <c r="D761" s="10">
        <v>304</v>
      </c>
      <c r="E761" s="1" t="s">
        <v>199</v>
      </c>
      <c r="F761" s="1" t="s">
        <v>142</v>
      </c>
      <c r="G761" s="10">
        <v>36</v>
      </c>
      <c r="H761" s="1" t="s">
        <v>42</v>
      </c>
    </row>
    <row r="762" spans="1:8" ht="15.75" customHeight="1" x14ac:dyDescent="0.3">
      <c r="A762" s="10">
        <v>10761</v>
      </c>
      <c r="B762" s="10">
        <v>622</v>
      </c>
      <c r="C762" s="10">
        <v>2064</v>
      </c>
      <c r="D762" s="10">
        <v>308</v>
      </c>
      <c r="E762" s="1" t="s">
        <v>54</v>
      </c>
      <c r="F762" s="1" t="s">
        <v>138</v>
      </c>
      <c r="G762" s="10">
        <v>62</v>
      </c>
      <c r="H762" s="1" t="s">
        <v>78</v>
      </c>
    </row>
    <row r="763" spans="1:8" ht="15.75" customHeight="1" x14ac:dyDescent="0.3">
      <c r="A763" s="10">
        <v>10762</v>
      </c>
      <c r="B763" s="10">
        <v>887</v>
      </c>
      <c r="C763" s="10">
        <v>2012</v>
      </c>
      <c r="D763" s="10">
        <v>301</v>
      </c>
      <c r="E763" s="1" t="s">
        <v>194</v>
      </c>
      <c r="F763" s="1" t="s">
        <v>378</v>
      </c>
      <c r="G763" s="10">
        <v>38</v>
      </c>
      <c r="H763" s="1" t="s">
        <v>36</v>
      </c>
    </row>
    <row r="764" spans="1:8" ht="15.75" customHeight="1" x14ac:dyDescent="0.3">
      <c r="A764" s="10">
        <v>10763</v>
      </c>
      <c r="B764" s="10">
        <v>748</v>
      </c>
      <c r="C764" s="10">
        <v>2045</v>
      </c>
      <c r="D764" s="10">
        <v>307</v>
      </c>
      <c r="E764" s="1" t="s">
        <v>122</v>
      </c>
      <c r="F764" s="1" t="s">
        <v>257</v>
      </c>
      <c r="G764" s="10">
        <v>73</v>
      </c>
      <c r="H764" s="1" t="s">
        <v>36</v>
      </c>
    </row>
    <row r="765" spans="1:8" ht="15.75" customHeight="1" x14ac:dyDescent="0.3">
      <c r="A765" s="10">
        <v>10764</v>
      </c>
      <c r="B765" s="10">
        <v>883</v>
      </c>
      <c r="C765" s="10">
        <v>2060</v>
      </c>
      <c r="D765" s="10">
        <v>315</v>
      </c>
      <c r="E765" s="1" t="s">
        <v>120</v>
      </c>
      <c r="F765" s="1" t="s">
        <v>383</v>
      </c>
      <c r="G765" s="10">
        <v>82</v>
      </c>
      <c r="H765" s="1" t="s">
        <v>39</v>
      </c>
    </row>
    <row r="766" spans="1:8" ht="15.75" customHeight="1" x14ac:dyDescent="0.3">
      <c r="A766" s="10">
        <v>10765</v>
      </c>
      <c r="B766" s="10">
        <v>619</v>
      </c>
      <c r="C766" s="10">
        <v>2036</v>
      </c>
      <c r="D766" s="10">
        <v>311</v>
      </c>
      <c r="E766" s="1" t="s">
        <v>261</v>
      </c>
      <c r="F766" s="1" t="s">
        <v>62</v>
      </c>
      <c r="G766" s="10">
        <v>68</v>
      </c>
      <c r="H766" s="1" t="s">
        <v>78</v>
      </c>
    </row>
    <row r="767" spans="1:8" ht="15.75" customHeight="1" x14ac:dyDescent="0.3">
      <c r="A767" s="10">
        <v>10766</v>
      </c>
      <c r="B767" s="10">
        <v>874</v>
      </c>
      <c r="C767" s="10">
        <v>2086</v>
      </c>
      <c r="D767" s="10">
        <v>304</v>
      </c>
      <c r="E767" s="1" t="s">
        <v>303</v>
      </c>
      <c r="F767" s="1" t="s">
        <v>156</v>
      </c>
      <c r="G767" s="10">
        <v>24</v>
      </c>
      <c r="H767" s="1" t="s">
        <v>39</v>
      </c>
    </row>
    <row r="768" spans="1:8" ht="15.75" customHeight="1" x14ac:dyDescent="0.3">
      <c r="A768" s="10">
        <v>10767</v>
      </c>
      <c r="B768" s="10">
        <v>816</v>
      </c>
      <c r="C768" s="10">
        <v>2003</v>
      </c>
      <c r="D768" s="10">
        <v>303</v>
      </c>
      <c r="E768" s="1" t="s">
        <v>266</v>
      </c>
      <c r="F768" s="1" t="s">
        <v>399</v>
      </c>
      <c r="G768" s="10">
        <v>89</v>
      </c>
      <c r="H768" s="1" t="s">
        <v>36</v>
      </c>
    </row>
    <row r="769" spans="1:8" ht="15.75" customHeight="1" x14ac:dyDescent="0.3">
      <c r="A769" s="10">
        <v>10768</v>
      </c>
      <c r="B769" s="10">
        <v>599</v>
      </c>
      <c r="C769" s="10">
        <v>2051</v>
      </c>
      <c r="D769" s="10">
        <v>320</v>
      </c>
      <c r="E769" s="1" t="s">
        <v>252</v>
      </c>
      <c r="F769" s="1" t="s">
        <v>394</v>
      </c>
      <c r="G769" s="10">
        <v>48</v>
      </c>
      <c r="H769" s="1" t="s">
        <v>42</v>
      </c>
    </row>
    <row r="770" spans="1:8" ht="15.75" customHeight="1" x14ac:dyDescent="0.3">
      <c r="A770" s="10">
        <v>10769</v>
      </c>
      <c r="B770" s="10">
        <v>737</v>
      </c>
      <c r="C770" s="10">
        <v>2022</v>
      </c>
      <c r="D770" s="10">
        <v>314</v>
      </c>
      <c r="E770" s="1" t="s">
        <v>99</v>
      </c>
      <c r="F770" s="1" t="s">
        <v>324</v>
      </c>
      <c r="G770" s="10">
        <v>81</v>
      </c>
      <c r="H770" s="1" t="s">
        <v>78</v>
      </c>
    </row>
    <row r="771" spans="1:8" ht="15.75" customHeight="1" x14ac:dyDescent="0.3">
      <c r="A771" s="10">
        <v>10770</v>
      </c>
      <c r="B771" s="10">
        <v>893</v>
      </c>
      <c r="C771" s="10">
        <v>2096</v>
      </c>
      <c r="D771" s="10">
        <v>319</v>
      </c>
      <c r="E771" s="1" t="s">
        <v>198</v>
      </c>
      <c r="F771" s="1" t="s">
        <v>392</v>
      </c>
      <c r="G771" s="10">
        <v>58</v>
      </c>
      <c r="H771" s="1" t="s">
        <v>78</v>
      </c>
    </row>
    <row r="772" spans="1:8" ht="15.75" customHeight="1" x14ac:dyDescent="0.3">
      <c r="A772" s="10">
        <v>10771</v>
      </c>
      <c r="B772" s="10">
        <v>846</v>
      </c>
      <c r="C772" s="10">
        <v>2023</v>
      </c>
      <c r="D772" s="10">
        <v>310</v>
      </c>
      <c r="E772" s="1" t="s">
        <v>231</v>
      </c>
      <c r="F772" s="1" t="s">
        <v>118</v>
      </c>
      <c r="G772" s="10">
        <v>94</v>
      </c>
      <c r="H772" s="1" t="s">
        <v>36</v>
      </c>
    </row>
    <row r="773" spans="1:8" ht="15.75" customHeight="1" x14ac:dyDescent="0.3">
      <c r="A773" s="10">
        <v>10772</v>
      </c>
      <c r="B773" s="10">
        <v>708</v>
      </c>
      <c r="C773" s="10">
        <v>2056</v>
      </c>
      <c r="D773" s="10">
        <v>309</v>
      </c>
      <c r="E773" s="1" t="s">
        <v>73</v>
      </c>
      <c r="F773" s="1" t="s">
        <v>361</v>
      </c>
      <c r="G773" s="10">
        <v>50</v>
      </c>
      <c r="H773" s="1" t="s">
        <v>39</v>
      </c>
    </row>
    <row r="774" spans="1:8" ht="15.75" customHeight="1" x14ac:dyDescent="0.3">
      <c r="A774" s="10">
        <v>10773</v>
      </c>
      <c r="B774" s="10">
        <v>864</v>
      </c>
      <c r="C774" s="10">
        <v>2025</v>
      </c>
      <c r="D774" s="10">
        <v>313</v>
      </c>
      <c r="E774" s="1" t="s">
        <v>189</v>
      </c>
      <c r="F774" s="1" t="s">
        <v>205</v>
      </c>
      <c r="G774" s="10">
        <v>60</v>
      </c>
      <c r="H774" s="1" t="s">
        <v>39</v>
      </c>
    </row>
    <row r="775" spans="1:8" ht="15.75" customHeight="1" x14ac:dyDescent="0.3">
      <c r="A775" s="10">
        <v>10774</v>
      </c>
      <c r="B775" s="10">
        <v>568</v>
      </c>
      <c r="C775" s="10">
        <v>2083</v>
      </c>
      <c r="D775" s="10">
        <v>313</v>
      </c>
      <c r="E775" s="1" t="s">
        <v>154</v>
      </c>
      <c r="F775" s="1" t="s">
        <v>254</v>
      </c>
      <c r="G775" s="10">
        <v>75</v>
      </c>
      <c r="H775" s="1" t="s">
        <v>39</v>
      </c>
    </row>
    <row r="776" spans="1:8" ht="15.75" customHeight="1" x14ac:dyDescent="0.3">
      <c r="A776" s="10">
        <v>10775</v>
      </c>
      <c r="B776" s="10">
        <v>626</v>
      </c>
      <c r="C776" s="10">
        <v>2031</v>
      </c>
      <c r="D776" s="10">
        <v>314</v>
      </c>
      <c r="E776" s="1" t="s">
        <v>128</v>
      </c>
      <c r="F776" s="1" t="s">
        <v>334</v>
      </c>
      <c r="G776" s="10">
        <v>42</v>
      </c>
      <c r="H776" s="1" t="s">
        <v>39</v>
      </c>
    </row>
    <row r="777" spans="1:8" ht="15.75" customHeight="1" x14ac:dyDescent="0.3">
      <c r="A777" s="10">
        <v>10776</v>
      </c>
      <c r="B777" s="10">
        <v>602</v>
      </c>
      <c r="C777" s="10">
        <v>2089</v>
      </c>
      <c r="D777" s="10">
        <v>316</v>
      </c>
      <c r="E777" s="1" t="s">
        <v>403</v>
      </c>
      <c r="F777" s="1" t="s">
        <v>328</v>
      </c>
      <c r="G777" s="10">
        <v>11</v>
      </c>
      <c r="H777" s="1" t="s">
        <v>42</v>
      </c>
    </row>
    <row r="778" spans="1:8" ht="15.75" customHeight="1" x14ac:dyDescent="0.3">
      <c r="A778" s="10">
        <v>10777</v>
      </c>
      <c r="B778" s="10">
        <v>847</v>
      </c>
      <c r="C778" s="10">
        <v>2099</v>
      </c>
      <c r="D778" s="10">
        <v>311</v>
      </c>
      <c r="E778" s="1" t="s">
        <v>264</v>
      </c>
      <c r="F778" s="1" t="s">
        <v>270</v>
      </c>
      <c r="G778" s="10">
        <v>8</v>
      </c>
      <c r="H778" s="1" t="s">
        <v>78</v>
      </c>
    </row>
    <row r="779" spans="1:8" ht="15.75" customHeight="1" x14ac:dyDescent="0.3">
      <c r="A779" s="10">
        <v>10778</v>
      </c>
      <c r="B779" s="10">
        <v>512</v>
      </c>
      <c r="C779" s="10">
        <v>2086</v>
      </c>
      <c r="D779" s="10">
        <v>305</v>
      </c>
      <c r="E779" s="1" t="s">
        <v>328</v>
      </c>
      <c r="F779" s="1" t="s">
        <v>285</v>
      </c>
      <c r="G779" s="10">
        <v>59</v>
      </c>
      <c r="H779" s="1" t="s">
        <v>42</v>
      </c>
    </row>
    <row r="780" spans="1:8" ht="15.75" customHeight="1" x14ac:dyDescent="0.3">
      <c r="A780" s="10">
        <v>10779</v>
      </c>
      <c r="B780" s="10">
        <v>775</v>
      </c>
      <c r="C780" s="10">
        <v>2096</v>
      </c>
      <c r="D780" s="10">
        <v>306</v>
      </c>
      <c r="E780" s="1" t="s">
        <v>160</v>
      </c>
      <c r="F780" s="1" t="s">
        <v>383</v>
      </c>
      <c r="G780" s="10">
        <v>26</v>
      </c>
      <c r="H780" s="1" t="s">
        <v>36</v>
      </c>
    </row>
    <row r="781" spans="1:8" ht="15.75" customHeight="1" x14ac:dyDescent="0.3">
      <c r="A781" s="10">
        <v>10780</v>
      </c>
      <c r="B781" s="10">
        <v>831</v>
      </c>
      <c r="C781" s="10">
        <v>2051</v>
      </c>
      <c r="D781" s="10">
        <v>312</v>
      </c>
      <c r="E781" s="1" t="s">
        <v>172</v>
      </c>
      <c r="F781" s="1" t="s">
        <v>393</v>
      </c>
      <c r="G781" s="10">
        <v>25</v>
      </c>
      <c r="H781" s="1" t="s">
        <v>39</v>
      </c>
    </row>
    <row r="782" spans="1:8" ht="15.75" customHeight="1" x14ac:dyDescent="0.3">
      <c r="A782" s="10">
        <v>10781</v>
      </c>
      <c r="B782" s="10">
        <v>700</v>
      </c>
      <c r="C782" s="10">
        <v>2046</v>
      </c>
      <c r="D782" s="10">
        <v>313</v>
      </c>
      <c r="E782" s="1" t="s">
        <v>127</v>
      </c>
      <c r="F782" s="1" t="s">
        <v>152</v>
      </c>
      <c r="G782" s="10">
        <v>6</v>
      </c>
      <c r="H782" s="1" t="s">
        <v>42</v>
      </c>
    </row>
    <row r="783" spans="1:8" ht="15.75" customHeight="1" x14ac:dyDescent="0.3">
      <c r="A783" s="10">
        <v>10782</v>
      </c>
      <c r="B783" s="10">
        <v>571</v>
      </c>
      <c r="C783" s="10">
        <v>2003</v>
      </c>
      <c r="D783" s="10">
        <v>306</v>
      </c>
      <c r="E783" s="1" t="s">
        <v>260</v>
      </c>
      <c r="F783" s="1" t="s">
        <v>387</v>
      </c>
      <c r="G783" s="10">
        <v>85</v>
      </c>
      <c r="H783" s="1" t="s">
        <v>42</v>
      </c>
    </row>
    <row r="784" spans="1:8" ht="15.75" customHeight="1" x14ac:dyDescent="0.3">
      <c r="A784" s="10">
        <v>10783</v>
      </c>
      <c r="B784" s="10">
        <v>720</v>
      </c>
      <c r="C784" s="10">
        <v>2009</v>
      </c>
      <c r="D784" s="10">
        <v>317</v>
      </c>
      <c r="E784" s="1" t="s">
        <v>296</v>
      </c>
      <c r="F784" s="1" t="s">
        <v>323</v>
      </c>
      <c r="G784" s="10">
        <v>43</v>
      </c>
      <c r="H784" s="1" t="s">
        <v>36</v>
      </c>
    </row>
    <row r="785" spans="1:8" ht="15.75" customHeight="1" x14ac:dyDescent="0.3">
      <c r="A785" s="10">
        <v>10784</v>
      </c>
      <c r="B785" s="10">
        <v>859</v>
      </c>
      <c r="C785" s="10">
        <v>2054</v>
      </c>
      <c r="D785" s="10">
        <v>316</v>
      </c>
      <c r="E785" s="1" t="s">
        <v>382</v>
      </c>
      <c r="F785" s="1" t="s">
        <v>142</v>
      </c>
      <c r="G785" s="10">
        <v>35</v>
      </c>
      <c r="H785" s="1" t="s">
        <v>36</v>
      </c>
    </row>
    <row r="786" spans="1:8" ht="15.75" customHeight="1" x14ac:dyDescent="0.3">
      <c r="A786" s="10">
        <v>10785</v>
      </c>
      <c r="B786" s="10">
        <v>830</v>
      </c>
      <c r="C786" s="10">
        <v>2066</v>
      </c>
      <c r="D786" s="10">
        <v>306</v>
      </c>
      <c r="E786" s="1" t="s">
        <v>270</v>
      </c>
      <c r="F786" s="1" t="s">
        <v>271</v>
      </c>
      <c r="G786" s="10">
        <v>92</v>
      </c>
      <c r="H786" s="1" t="s">
        <v>39</v>
      </c>
    </row>
    <row r="787" spans="1:8" ht="15.75" customHeight="1" x14ac:dyDescent="0.3">
      <c r="A787" s="10">
        <v>10786</v>
      </c>
      <c r="B787" s="10">
        <v>580</v>
      </c>
      <c r="C787" s="10">
        <v>2018</v>
      </c>
      <c r="D787" s="10">
        <v>316</v>
      </c>
      <c r="E787" s="1" t="s">
        <v>140</v>
      </c>
      <c r="F787" s="1" t="s">
        <v>201</v>
      </c>
      <c r="G787" s="10">
        <v>67</v>
      </c>
      <c r="H787" s="1" t="s">
        <v>42</v>
      </c>
    </row>
    <row r="788" spans="1:8" ht="15.75" customHeight="1" x14ac:dyDescent="0.3">
      <c r="A788" s="10">
        <v>10787</v>
      </c>
      <c r="B788" s="10">
        <v>576</v>
      </c>
      <c r="C788" s="10">
        <v>2048</v>
      </c>
      <c r="D788" s="10">
        <v>310</v>
      </c>
      <c r="E788" s="1" t="s">
        <v>193</v>
      </c>
      <c r="F788" s="1" t="s">
        <v>188</v>
      </c>
      <c r="G788" s="10">
        <v>86</v>
      </c>
      <c r="H788" s="1" t="s">
        <v>42</v>
      </c>
    </row>
    <row r="789" spans="1:8" ht="15.75" customHeight="1" x14ac:dyDescent="0.3">
      <c r="A789" s="10">
        <v>10788</v>
      </c>
      <c r="B789" s="10">
        <v>784</v>
      </c>
      <c r="C789" s="10">
        <v>2090</v>
      </c>
      <c r="D789" s="10">
        <v>316</v>
      </c>
      <c r="E789" s="1" t="s">
        <v>260</v>
      </c>
      <c r="F789" s="1" t="s">
        <v>73</v>
      </c>
      <c r="G789" s="10">
        <v>9</v>
      </c>
      <c r="H789" s="1" t="s">
        <v>39</v>
      </c>
    </row>
    <row r="790" spans="1:8" ht="15.75" customHeight="1" x14ac:dyDescent="0.3">
      <c r="A790" s="10">
        <v>10789</v>
      </c>
      <c r="B790" s="10">
        <v>683</v>
      </c>
      <c r="C790" s="10">
        <v>2006</v>
      </c>
      <c r="D790" s="10">
        <v>311</v>
      </c>
      <c r="E790" s="1" t="s">
        <v>379</v>
      </c>
      <c r="F790" s="1" t="s">
        <v>303</v>
      </c>
      <c r="G790" s="10">
        <v>38</v>
      </c>
      <c r="H790" s="1" t="s">
        <v>36</v>
      </c>
    </row>
    <row r="791" spans="1:8" ht="15.75" customHeight="1" x14ac:dyDescent="0.3">
      <c r="A791" s="10">
        <v>10790</v>
      </c>
      <c r="B791" s="10">
        <v>677</v>
      </c>
      <c r="C791" s="10">
        <v>2006</v>
      </c>
      <c r="D791" s="10">
        <v>302</v>
      </c>
      <c r="E791" s="1" t="s">
        <v>35</v>
      </c>
      <c r="F791" s="1" t="s">
        <v>190</v>
      </c>
      <c r="G791" s="10">
        <v>51</v>
      </c>
      <c r="H791" s="1" t="s">
        <v>39</v>
      </c>
    </row>
    <row r="792" spans="1:8" ht="15.75" customHeight="1" x14ac:dyDescent="0.3">
      <c r="A792" s="10">
        <v>10791</v>
      </c>
      <c r="B792" s="10">
        <v>770</v>
      </c>
      <c r="C792" s="10">
        <v>2042</v>
      </c>
      <c r="D792" s="10">
        <v>305</v>
      </c>
      <c r="E792" s="1" t="s">
        <v>368</v>
      </c>
      <c r="F792" s="1" t="s">
        <v>67</v>
      </c>
      <c r="G792" s="10">
        <v>52</v>
      </c>
      <c r="H792" s="1" t="s">
        <v>42</v>
      </c>
    </row>
    <row r="793" spans="1:8" ht="15.75" customHeight="1" x14ac:dyDescent="0.3">
      <c r="A793" s="10">
        <v>10792</v>
      </c>
      <c r="B793" s="10">
        <v>584</v>
      </c>
      <c r="C793" s="10">
        <v>2007</v>
      </c>
      <c r="D793" s="10">
        <v>302</v>
      </c>
      <c r="E793" s="1" t="s">
        <v>89</v>
      </c>
      <c r="F793" s="1" t="s">
        <v>145</v>
      </c>
      <c r="G793" s="10">
        <v>77</v>
      </c>
      <c r="H793" s="1" t="s">
        <v>78</v>
      </c>
    </row>
    <row r="794" spans="1:8" ht="15.75" customHeight="1" x14ac:dyDescent="0.3">
      <c r="A794" s="10">
        <v>10793</v>
      </c>
      <c r="B794" s="10">
        <v>589</v>
      </c>
      <c r="C794" s="10">
        <v>2035</v>
      </c>
      <c r="D794" s="10">
        <v>310</v>
      </c>
      <c r="E794" s="1" t="s">
        <v>186</v>
      </c>
      <c r="F794" s="1" t="s">
        <v>154</v>
      </c>
      <c r="G794" s="10">
        <v>90</v>
      </c>
      <c r="H794" s="1" t="s">
        <v>42</v>
      </c>
    </row>
    <row r="795" spans="1:8" ht="15.75" customHeight="1" x14ac:dyDescent="0.3">
      <c r="A795" s="10">
        <v>10794</v>
      </c>
      <c r="B795" s="10">
        <v>645</v>
      </c>
      <c r="C795" s="10">
        <v>2099</v>
      </c>
      <c r="D795" s="10">
        <v>304</v>
      </c>
      <c r="E795" s="1" t="s">
        <v>62</v>
      </c>
      <c r="F795" s="1" t="s">
        <v>367</v>
      </c>
      <c r="G795" s="10">
        <v>20</v>
      </c>
      <c r="H795" s="1" t="s">
        <v>39</v>
      </c>
    </row>
    <row r="796" spans="1:8" ht="15.75" customHeight="1" x14ac:dyDescent="0.3">
      <c r="A796" s="10">
        <v>10795</v>
      </c>
      <c r="B796" s="10">
        <v>898</v>
      </c>
      <c r="C796" s="10">
        <v>2055</v>
      </c>
      <c r="D796" s="10">
        <v>317</v>
      </c>
      <c r="E796" s="1" t="s">
        <v>217</v>
      </c>
      <c r="F796" s="1" t="s">
        <v>69</v>
      </c>
      <c r="G796" s="10">
        <v>58</v>
      </c>
      <c r="H796" s="1" t="s">
        <v>78</v>
      </c>
    </row>
    <row r="797" spans="1:8" ht="15.75" customHeight="1" x14ac:dyDescent="0.3">
      <c r="A797" s="10">
        <v>10796</v>
      </c>
      <c r="B797" s="10">
        <v>900</v>
      </c>
      <c r="C797" s="10">
        <v>2090</v>
      </c>
      <c r="D797" s="10">
        <v>304</v>
      </c>
      <c r="E797" s="1" t="s">
        <v>273</v>
      </c>
      <c r="F797" s="1" t="s">
        <v>207</v>
      </c>
      <c r="G797" s="10">
        <v>47</v>
      </c>
      <c r="H797" s="1" t="s">
        <v>36</v>
      </c>
    </row>
    <row r="798" spans="1:8" ht="15.75" customHeight="1" x14ac:dyDescent="0.3">
      <c r="A798" s="10">
        <v>10797</v>
      </c>
      <c r="B798" s="10">
        <v>723</v>
      </c>
      <c r="C798" s="10">
        <v>2026</v>
      </c>
      <c r="D798" s="10">
        <v>301</v>
      </c>
      <c r="E798" s="1" t="s">
        <v>57</v>
      </c>
      <c r="F798" s="1" t="s">
        <v>205</v>
      </c>
      <c r="G798" s="10">
        <v>70</v>
      </c>
      <c r="H798" s="1" t="s">
        <v>78</v>
      </c>
    </row>
    <row r="799" spans="1:8" ht="15.75" customHeight="1" x14ac:dyDescent="0.3">
      <c r="A799" s="10">
        <v>10798</v>
      </c>
      <c r="B799" s="10">
        <v>723</v>
      </c>
      <c r="C799" s="10">
        <v>2002</v>
      </c>
      <c r="D799" s="10">
        <v>312</v>
      </c>
      <c r="E799" s="1" t="s">
        <v>199</v>
      </c>
      <c r="F799" s="1" t="s">
        <v>177</v>
      </c>
      <c r="G799" s="10">
        <v>1</v>
      </c>
      <c r="H799" s="1" t="s">
        <v>36</v>
      </c>
    </row>
    <row r="800" spans="1:8" ht="15.75" customHeight="1" x14ac:dyDescent="0.3">
      <c r="A800" s="10">
        <v>10799</v>
      </c>
      <c r="B800" s="10">
        <v>753</v>
      </c>
      <c r="C800" s="10">
        <v>2068</v>
      </c>
      <c r="D800" s="10">
        <v>306</v>
      </c>
      <c r="E800" s="1" t="s">
        <v>43</v>
      </c>
      <c r="F800" s="1" t="s">
        <v>395</v>
      </c>
      <c r="G800" s="10">
        <v>89</v>
      </c>
      <c r="H800" s="1" t="s">
        <v>78</v>
      </c>
    </row>
    <row r="801" spans="1:8" ht="15.75" customHeight="1" x14ac:dyDescent="0.3">
      <c r="A801" s="10">
        <v>10800</v>
      </c>
      <c r="B801" s="10">
        <v>553</v>
      </c>
      <c r="C801" s="10">
        <v>2089</v>
      </c>
      <c r="D801" s="10">
        <v>306</v>
      </c>
      <c r="E801" s="1" t="s">
        <v>382</v>
      </c>
      <c r="F801" s="1" t="s">
        <v>142</v>
      </c>
      <c r="G801" s="10">
        <v>13</v>
      </c>
      <c r="H801" s="1" t="s">
        <v>39</v>
      </c>
    </row>
    <row r="802" spans="1:8" ht="15.75" customHeight="1" x14ac:dyDescent="0.3">
      <c r="A802" s="10">
        <v>10801</v>
      </c>
      <c r="B802" s="10">
        <v>862</v>
      </c>
      <c r="C802" s="10">
        <v>2063</v>
      </c>
      <c r="D802" s="10">
        <v>307</v>
      </c>
      <c r="E802" s="1" t="s">
        <v>114</v>
      </c>
      <c r="F802" s="1" t="s">
        <v>231</v>
      </c>
      <c r="G802" s="10">
        <v>6</v>
      </c>
      <c r="H802" s="1" t="s">
        <v>36</v>
      </c>
    </row>
    <row r="803" spans="1:8" ht="15.75" customHeight="1" x14ac:dyDescent="0.3">
      <c r="A803" s="10">
        <v>10802</v>
      </c>
      <c r="B803" s="10">
        <v>656</v>
      </c>
      <c r="C803" s="10">
        <v>2040</v>
      </c>
      <c r="D803" s="10">
        <v>309</v>
      </c>
      <c r="E803" s="1" t="s">
        <v>318</v>
      </c>
      <c r="F803" s="1" t="s">
        <v>173</v>
      </c>
      <c r="G803" s="10">
        <v>72</v>
      </c>
      <c r="H803" s="1" t="s">
        <v>39</v>
      </c>
    </row>
    <row r="804" spans="1:8" ht="15.75" customHeight="1" x14ac:dyDescent="0.3">
      <c r="A804" s="10">
        <v>10803</v>
      </c>
      <c r="B804" s="10">
        <v>632</v>
      </c>
      <c r="C804" s="10">
        <v>2030</v>
      </c>
      <c r="D804" s="10">
        <v>314</v>
      </c>
      <c r="E804" s="1" t="s">
        <v>202</v>
      </c>
      <c r="F804" s="1" t="s">
        <v>172</v>
      </c>
      <c r="G804" s="10">
        <v>53</v>
      </c>
      <c r="H804" s="1" t="s">
        <v>39</v>
      </c>
    </row>
    <row r="805" spans="1:8" ht="15.75" customHeight="1" x14ac:dyDescent="0.3">
      <c r="A805" s="10">
        <v>10804</v>
      </c>
      <c r="B805" s="10">
        <v>546</v>
      </c>
      <c r="C805" s="10">
        <v>2016</v>
      </c>
      <c r="D805" s="10">
        <v>313</v>
      </c>
      <c r="E805" s="1" t="s">
        <v>215</v>
      </c>
      <c r="F805" s="1" t="s">
        <v>221</v>
      </c>
      <c r="G805" s="10">
        <v>19</v>
      </c>
      <c r="H805" s="1" t="s">
        <v>36</v>
      </c>
    </row>
    <row r="806" spans="1:8" ht="15.75" customHeight="1" x14ac:dyDescent="0.3">
      <c r="A806" s="10">
        <v>10805</v>
      </c>
      <c r="B806" s="10">
        <v>622</v>
      </c>
      <c r="C806" s="10">
        <v>2021</v>
      </c>
      <c r="D806" s="10">
        <v>317</v>
      </c>
      <c r="E806" s="1" t="s">
        <v>310</v>
      </c>
      <c r="F806" s="1" t="s">
        <v>101</v>
      </c>
      <c r="G806" s="10">
        <v>26</v>
      </c>
      <c r="H806" s="1" t="s">
        <v>36</v>
      </c>
    </row>
    <row r="807" spans="1:8" ht="15.75" customHeight="1" x14ac:dyDescent="0.3">
      <c r="A807" s="10">
        <v>10806</v>
      </c>
      <c r="B807" s="10">
        <v>801</v>
      </c>
      <c r="C807" s="10">
        <v>2048</v>
      </c>
      <c r="D807" s="10">
        <v>316</v>
      </c>
      <c r="E807" s="1" t="s">
        <v>374</v>
      </c>
      <c r="F807" s="1" t="s">
        <v>199</v>
      </c>
      <c r="G807" s="10">
        <v>42</v>
      </c>
      <c r="H807" s="1" t="s">
        <v>36</v>
      </c>
    </row>
    <row r="808" spans="1:8" ht="15.75" customHeight="1" x14ac:dyDescent="0.3">
      <c r="A808" s="10">
        <v>10807</v>
      </c>
      <c r="B808" s="10">
        <v>684</v>
      </c>
      <c r="C808" s="10">
        <v>2049</v>
      </c>
      <c r="D808" s="10">
        <v>320</v>
      </c>
      <c r="E808" s="1" t="s">
        <v>307</v>
      </c>
      <c r="F808" s="1" t="s">
        <v>256</v>
      </c>
      <c r="G808" s="10">
        <v>9</v>
      </c>
      <c r="H808" s="1" t="s">
        <v>42</v>
      </c>
    </row>
    <row r="809" spans="1:8" ht="15.75" customHeight="1" x14ac:dyDescent="0.3">
      <c r="A809" s="10">
        <v>10808</v>
      </c>
      <c r="B809" s="10">
        <v>552</v>
      </c>
      <c r="C809" s="10">
        <v>2099</v>
      </c>
      <c r="D809" s="10">
        <v>302</v>
      </c>
      <c r="E809" s="1" t="s">
        <v>96</v>
      </c>
      <c r="F809" s="1" t="s">
        <v>163</v>
      </c>
      <c r="G809" s="10">
        <v>87</v>
      </c>
      <c r="H809" s="1" t="s">
        <v>78</v>
      </c>
    </row>
    <row r="810" spans="1:8" ht="15.75" customHeight="1" x14ac:dyDescent="0.3">
      <c r="A810" s="10">
        <v>10809</v>
      </c>
      <c r="B810" s="10">
        <v>863</v>
      </c>
      <c r="C810" s="10">
        <v>2055</v>
      </c>
      <c r="D810" s="10">
        <v>316</v>
      </c>
      <c r="E810" s="1" t="s">
        <v>318</v>
      </c>
      <c r="F810" s="1" t="s">
        <v>148</v>
      </c>
      <c r="G810" s="10">
        <v>89</v>
      </c>
      <c r="H810" s="1" t="s">
        <v>36</v>
      </c>
    </row>
    <row r="811" spans="1:8" ht="15.75" customHeight="1" x14ac:dyDescent="0.3">
      <c r="A811" s="10">
        <v>10810</v>
      </c>
      <c r="B811" s="10">
        <v>685</v>
      </c>
      <c r="C811" s="10">
        <v>2038</v>
      </c>
      <c r="D811" s="10">
        <v>312</v>
      </c>
      <c r="E811" s="1" t="s">
        <v>400</v>
      </c>
      <c r="F811" s="1" t="s">
        <v>270</v>
      </c>
      <c r="G811" s="10">
        <v>33</v>
      </c>
      <c r="H811" s="1" t="s">
        <v>39</v>
      </c>
    </row>
    <row r="812" spans="1:8" ht="15.75" customHeight="1" x14ac:dyDescent="0.3">
      <c r="A812" s="10">
        <v>10811</v>
      </c>
      <c r="B812" s="10">
        <v>740</v>
      </c>
      <c r="C812" s="10">
        <v>2024</v>
      </c>
      <c r="D812" s="10">
        <v>314</v>
      </c>
      <c r="E812" s="1" t="s">
        <v>41</v>
      </c>
      <c r="F812" s="1" t="s">
        <v>254</v>
      </c>
      <c r="G812" s="10">
        <v>100</v>
      </c>
      <c r="H812" s="1" t="s">
        <v>78</v>
      </c>
    </row>
    <row r="813" spans="1:8" ht="15.75" customHeight="1" x14ac:dyDescent="0.3">
      <c r="A813" s="10">
        <v>10812</v>
      </c>
      <c r="B813" s="10">
        <v>528</v>
      </c>
      <c r="C813" s="10">
        <v>2032</v>
      </c>
      <c r="D813" s="10">
        <v>315</v>
      </c>
      <c r="E813" s="1" t="s">
        <v>255</v>
      </c>
      <c r="F813" s="1" t="s">
        <v>57</v>
      </c>
      <c r="G813" s="10">
        <v>41</v>
      </c>
      <c r="H813" s="1" t="s">
        <v>78</v>
      </c>
    </row>
    <row r="814" spans="1:8" ht="15.75" customHeight="1" x14ac:dyDescent="0.3">
      <c r="A814" s="10">
        <v>10813</v>
      </c>
      <c r="B814" s="10">
        <v>854</v>
      </c>
      <c r="C814" s="10">
        <v>2041</v>
      </c>
      <c r="D814" s="10">
        <v>311</v>
      </c>
      <c r="E814" s="1" t="s">
        <v>222</v>
      </c>
      <c r="F814" s="1" t="s">
        <v>50</v>
      </c>
      <c r="G814" s="10">
        <v>48</v>
      </c>
      <c r="H814" s="1" t="s">
        <v>78</v>
      </c>
    </row>
    <row r="815" spans="1:8" ht="15.75" customHeight="1" x14ac:dyDescent="0.3">
      <c r="A815" s="10">
        <v>10814</v>
      </c>
      <c r="B815" s="10">
        <v>899</v>
      </c>
      <c r="C815" s="10">
        <v>2056</v>
      </c>
      <c r="D815" s="10">
        <v>318</v>
      </c>
      <c r="E815" s="1" t="s">
        <v>74</v>
      </c>
      <c r="F815" s="1" t="s">
        <v>75</v>
      </c>
      <c r="G815" s="10">
        <v>38</v>
      </c>
      <c r="H815" s="1" t="s">
        <v>42</v>
      </c>
    </row>
    <row r="816" spans="1:8" ht="15.75" customHeight="1" x14ac:dyDescent="0.3">
      <c r="A816" s="10">
        <v>10815</v>
      </c>
      <c r="B816" s="10">
        <v>544</v>
      </c>
      <c r="C816" s="10">
        <v>2024</v>
      </c>
      <c r="D816" s="10">
        <v>304</v>
      </c>
      <c r="E816" s="1" t="s">
        <v>279</v>
      </c>
      <c r="F816" s="1" t="s">
        <v>326</v>
      </c>
      <c r="G816" s="10">
        <v>94</v>
      </c>
      <c r="H816" s="1" t="s">
        <v>39</v>
      </c>
    </row>
    <row r="817" spans="1:8" ht="15.75" customHeight="1" x14ac:dyDescent="0.3">
      <c r="A817" s="10">
        <v>10816</v>
      </c>
      <c r="B817" s="10">
        <v>578</v>
      </c>
      <c r="C817" s="10">
        <v>2046</v>
      </c>
      <c r="D817" s="10">
        <v>306</v>
      </c>
      <c r="E817" s="1" t="s">
        <v>159</v>
      </c>
      <c r="F817" s="1" t="s">
        <v>196</v>
      </c>
      <c r="G817" s="10">
        <v>71</v>
      </c>
      <c r="H817" s="1" t="s">
        <v>39</v>
      </c>
    </row>
    <row r="818" spans="1:8" ht="15.75" customHeight="1" x14ac:dyDescent="0.3">
      <c r="A818" s="10">
        <v>10817</v>
      </c>
      <c r="B818" s="10">
        <v>873</v>
      </c>
      <c r="C818" s="10">
        <v>2054</v>
      </c>
      <c r="D818" s="10">
        <v>304</v>
      </c>
      <c r="E818" s="1" t="s">
        <v>379</v>
      </c>
      <c r="F818" s="1" t="s">
        <v>66</v>
      </c>
      <c r="G818" s="10">
        <v>6</v>
      </c>
      <c r="H818" s="1" t="s">
        <v>39</v>
      </c>
    </row>
    <row r="819" spans="1:8" ht="15.75" customHeight="1" x14ac:dyDescent="0.3">
      <c r="A819" s="10">
        <v>10818</v>
      </c>
      <c r="B819" s="10">
        <v>562</v>
      </c>
      <c r="C819" s="10">
        <v>2028</v>
      </c>
      <c r="D819" s="10">
        <v>319</v>
      </c>
      <c r="E819" s="1" t="s">
        <v>195</v>
      </c>
      <c r="F819" s="1" t="s">
        <v>262</v>
      </c>
      <c r="G819" s="10">
        <v>33</v>
      </c>
      <c r="H819" s="1" t="s">
        <v>36</v>
      </c>
    </row>
    <row r="820" spans="1:8" ht="15.75" customHeight="1" x14ac:dyDescent="0.3">
      <c r="A820" s="10">
        <v>10819</v>
      </c>
      <c r="B820" s="10">
        <v>562</v>
      </c>
      <c r="C820" s="10">
        <v>2084</v>
      </c>
      <c r="D820" s="10">
        <v>313</v>
      </c>
      <c r="E820" s="1" t="s">
        <v>108</v>
      </c>
      <c r="F820" s="1" t="s">
        <v>210</v>
      </c>
      <c r="G820" s="10">
        <v>19</v>
      </c>
      <c r="H820" s="1" t="s">
        <v>78</v>
      </c>
    </row>
    <row r="821" spans="1:8" ht="15.75" customHeight="1" x14ac:dyDescent="0.3">
      <c r="A821" s="10">
        <v>10820</v>
      </c>
      <c r="B821" s="10">
        <v>750</v>
      </c>
      <c r="C821" s="10">
        <v>2078</v>
      </c>
      <c r="D821" s="10">
        <v>301</v>
      </c>
      <c r="E821" s="1" t="s">
        <v>103</v>
      </c>
      <c r="F821" s="1" t="s">
        <v>233</v>
      </c>
      <c r="G821" s="10">
        <v>55</v>
      </c>
      <c r="H821" s="1" t="s">
        <v>36</v>
      </c>
    </row>
    <row r="822" spans="1:8" ht="15.75" customHeight="1" x14ac:dyDescent="0.3">
      <c r="A822" s="10">
        <v>10821</v>
      </c>
      <c r="B822" s="10">
        <v>800</v>
      </c>
      <c r="C822" s="10">
        <v>2015</v>
      </c>
      <c r="D822" s="10">
        <v>319</v>
      </c>
      <c r="E822" s="1" t="s">
        <v>63</v>
      </c>
      <c r="F822" s="1" t="s">
        <v>104</v>
      </c>
      <c r="G822" s="10">
        <v>9</v>
      </c>
      <c r="H822" s="1" t="s">
        <v>36</v>
      </c>
    </row>
    <row r="823" spans="1:8" ht="15.75" customHeight="1" x14ac:dyDescent="0.3">
      <c r="A823" s="10">
        <v>10822</v>
      </c>
      <c r="B823" s="10">
        <v>585</v>
      </c>
      <c r="C823" s="10">
        <v>2047</v>
      </c>
      <c r="D823" s="10">
        <v>306</v>
      </c>
      <c r="E823" s="1" t="s">
        <v>189</v>
      </c>
      <c r="F823" s="1" t="s">
        <v>205</v>
      </c>
      <c r="G823" s="10">
        <v>84</v>
      </c>
      <c r="H823" s="1" t="s">
        <v>36</v>
      </c>
    </row>
    <row r="824" spans="1:8" ht="15.75" customHeight="1" x14ac:dyDescent="0.3">
      <c r="A824" s="10">
        <v>10823</v>
      </c>
      <c r="B824" s="10">
        <v>540</v>
      </c>
      <c r="C824" s="10">
        <v>2049</v>
      </c>
      <c r="D824" s="10">
        <v>302</v>
      </c>
      <c r="E824" s="1" t="s">
        <v>77</v>
      </c>
      <c r="F824" s="1" t="s">
        <v>395</v>
      </c>
      <c r="G824" s="10">
        <v>91</v>
      </c>
      <c r="H824" s="1" t="s">
        <v>39</v>
      </c>
    </row>
    <row r="825" spans="1:8" ht="15.75" customHeight="1" x14ac:dyDescent="0.3">
      <c r="A825" s="10">
        <v>10824</v>
      </c>
      <c r="B825" s="10">
        <v>541</v>
      </c>
      <c r="C825" s="10">
        <v>2016</v>
      </c>
      <c r="D825" s="10">
        <v>309</v>
      </c>
      <c r="E825" s="1" t="s">
        <v>355</v>
      </c>
      <c r="F825" s="1" t="s">
        <v>314</v>
      </c>
      <c r="G825" s="10">
        <v>48</v>
      </c>
      <c r="H825" s="1" t="s">
        <v>78</v>
      </c>
    </row>
    <row r="826" spans="1:8" ht="15.75" customHeight="1" x14ac:dyDescent="0.3">
      <c r="A826" s="10">
        <v>10825</v>
      </c>
      <c r="B826" s="10">
        <v>746</v>
      </c>
      <c r="C826" s="10">
        <v>2056</v>
      </c>
      <c r="D826" s="10">
        <v>306</v>
      </c>
      <c r="E826" s="1" t="s">
        <v>378</v>
      </c>
      <c r="F826" s="1" t="s">
        <v>58</v>
      </c>
      <c r="G826" s="10">
        <v>15</v>
      </c>
      <c r="H826" s="1" t="s">
        <v>36</v>
      </c>
    </row>
    <row r="827" spans="1:8" ht="15.75" customHeight="1" x14ac:dyDescent="0.3">
      <c r="A827" s="10">
        <v>10826</v>
      </c>
      <c r="B827" s="10">
        <v>882</v>
      </c>
      <c r="C827" s="10">
        <v>2004</v>
      </c>
      <c r="D827" s="10">
        <v>308</v>
      </c>
      <c r="E827" s="1" t="s">
        <v>198</v>
      </c>
      <c r="F827" s="1" t="s">
        <v>382</v>
      </c>
      <c r="G827" s="10">
        <v>39</v>
      </c>
      <c r="H827" s="1" t="s">
        <v>42</v>
      </c>
    </row>
    <row r="828" spans="1:8" ht="15.75" customHeight="1" x14ac:dyDescent="0.3">
      <c r="A828" s="10">
        <v>10827</v>
      </c>
      <c r="B828" s="10">
        <v>760</v>
      </c>
      <c r="C828" s="10">
        <v>2019</v>
      </c>
      <c r="D828" s="10">
        <v>304</v>
      </c>
      <c r="E828" s="1" t="s">
        <v>349</v>
      </c>
      <c r="F828" s="1" t="s">
        <v>130</v>
      </c>
      <c r="G828" s="10">
        <v>9</v>
      </c>
      <c r="H828" s="1" t="s">
        <v>42</v>
      </c>
    </row>
    <row r="829" spans="1:8" ht="15.75" customHeight="1" x14ac:dyDescent="0.3">
      <c r="A829" s="10">
        <v>10828</v>
      </c>
      <c r="B829" s="10">
        <v>875</v>
      </c>
      <c r="C829" s="10">
        <v>2088</v>
      </c>
      <c r="D829" s="10">
        <v>314</v>
      </c>
      <c r="E829" s="1" t="s">
        <v>210</v>
      </c>
      <c r="F829" s="1" t="s">
        <v>394</v>
      </c>
      <c r="G829" s="10">
        <v>99</v>
      </c>
      <c r="H829" s="1" t="s">
        <v>36</v>
      </c>
    </row>
    <row r="830" spans="1:8" ht="15.75" customHeight="1" x14ac:dyDescent="0.3">
      <c r="A830" s="10">
        <v>10829</v>
      </c>
      <c r="B830" s="10">
        <v>639</v>
      </c>
      <c r="C830" s="10">
        <v>2060</v>
      </c>
      <c r="D830" s="10">
        <v>302</v>
      </c>
      <c r="E830" s="1" t="s">
        <v>250</v>
      </c>
      <c r="F830" s="1" t="s">
        <v>75</v>
      </c>
      <c r="G830" s="10">
        <v>40</v>
      </c>
      <c r="H830" s="1" t="s">
        <v>36</v>
      </c>
    </row>
    <row r="831" spans="1:8" ht="15.75" customHeight="1" x14ac:dyDescent="0.3">
      <c r="A831" s="10">
        <v>10830</v>
      </c>
      <c r="B831" s="10">
        <v>559</v>
      </c>
      <c r="C831" s="10">
        <v>2016</v>
      </c>
      <c r="D831" s="10">
        <v>301</v>
      </c>
      <c r="E831" s="1" t="s">
        <v>118</v>
      </c>
      <c r="F831" s="1" t="s">
        <v>327</v>
      </c>
      <c r="G831" s="10">
        <v>82</v>
      </c>
      <c r="H831" s="1" t="s">
        <v>42</v>
      </c>
    </row>
    <row r="832" spans="1:8" ht="15.75" customHeight="1" x14ac:dyDescent="0.3">
      <c r="A832" s="10">
        <v>10831</v>
      </c>
      <c r="B832" s="10">
        <v>681</v>
      </c>
      <c r="C832" s="10">
        <v>2007</v>
      </c>
      <c r="D832" s="10">
        <v>309</v>
      </c>
      <c r="E832" s="1" t="s">
        <v>261</v>
      </c>
      <c r="F832" s="1" t="s">
        <v>319</v>
      </c>
      <c r="G832" s="10">
        <v>95</v>
      </c>
      <c r="H832" s="1" t="s">
        <v>39</v>
      </c>
    </row>
    <row r="833" spans="1:8" ht="15.75" customHeight="1" x14ac:dyDescent="0.3">
      <c r="A833" s="10">
        <v>10832</v>
      </c>
      <c r="B833" s="10">
        <v>659</v>
      </c>
      <c r="C833" s="10">
        <v>2031</v>
      </c>
      <c r="D833" s="10">
        <v>309</v>
      </c>
      <c r="E833" s="1" t="s">
        <v>379</v>
      </c>
      <c r="F833" s="1" t="s">
        <v>164</v>
      </c>
      <c r="G833" s="10">
        <v>88</v>
      </c>
      <c r="H833" s="1" t="s">
        <v>42</v>
      </c>
    </row>
    <row r="834" spans="1:8" ht="15.75" customHeight="1" x14ac:dyDescent="0.3">
      <c r="A834" s="10">
        <v>10833</v>
      </c>
      <c r="B834" s="10">
        <v>878</v>
      </c>
      <c r="C834" s="10">
        <v>2081</v>
      </c>
      <c r="D834" s="10">
        <v>308</v>
      </c>
      <c r="E834" s="1" t="s">
        <v>160</v>
      </c>
      <c r="F834" s="1" t="s">
        <v>362</v>
      </c>
      <c r="G834" s="10">
        <v>34</v>
      </c>
      <c r="H834" s="1" t="s">
        <v>36</v>
      </c>
    </row>
    <row r="835" spans="1:8" ht="15.75" customHeight="1" x14ac:dyDescent="0.3">
      <c r="A835" s="10">
        <v>10834</v>
      </c>
      <c r="B835" s="10">
        <v>642</v>
      </c>
      <c r="C835" s="10">
        <v>2087</v>
      </c>
      <c r="D835" s="10">
        <v>309</v>
      </c>
      <c r="E835" s="1" t="s">
        <v>272</v>
      </c>
      <c r="F835" s="1" t="s">
        <v>249</v>
      </c>
      <c r="G835" s="10">
        <v>57</v>
      </c>
      <c r="H835" s="1" t="s">
        <v>39</v>
      </c>
    </row>
    <row r="836" spans="1:8" ht="15.75" customHeight="1" x14ac:dyDescent="0.3">
      <c r="A836" s="10">
        <v>10835</v>
      </c>
      <c r="B836" s="10">
        <v>757</v>
      </c>
      <c r="C836" s="10">
        <v>2035</v>
      </c>
      <c r="D836" s="10">
        <v>316</v>
      </c>
      <c r="E836" s="1" t="s">
        <v>302</v>
      </c>
      <c r="F836" s="1" t="s">
        <v>163</v>
      </c>
      <c r="G836" s="10">
        <v>52</v>
      </c>
      <c r="H836" s="1" t="s">
        <v>42</v>
      </c>
    </row>
    <row r="837" spans="1:8" ht="15.75" customHeight="1" x14ac:dyDescent="0.3">
      <c r="A837" s="10">
        <v>10836</v>
      </c>
      <c r="B837" s="10">
        <v>631</v>
      </c>
      <c r="C837" s="10">
        <v>2052</v>
      </c>
      <c r="D837" s="10">
        <v>306</v>
      </c>
      <c r="E837" s="1" t="s">
        <v>181</v>
      </c>
      <c r="F837" s="1" t="s">
        <v>70</v>
      </c>
      <c r="G837" s="10">
        <v>78</v>
      </c>
      <c r="H837" s="1" t="s">
        <v>42</v>
      </c>
    </row>
    <row r="838" spans="1:8" ht="15.75" customHeight="1" x14ac:dyDescent="0.3">
      <c r="A838" s="10">
        <v>10837</v>
      </c>
      <c r="B838" s="10">
        <v>865</v>
      </c>
      <c r="C838" s="10">
        <v>2035</v>
      </c>
      <c r="D838" s="10">
        <v>309</v>
      </c>
      <c r="E838" s="1" t="s">
        <v>267</v>
      </c>
      <c r="F838" s="1" t="s">
        <v>276</v>
      </c>
      <c r="G838" s="10">
        <v>25</v>
      </c>
      <c r="H838" s="1" t="s">
        <v>36</v>
      </c>
    </row>
    <row r="839" spans="1:8" ht="15.75" customHeight="1" x14ac:dyDescent="0.3">
      <c r="A839" s="10">
        <v>10838</v>
      </c>
      <c r="B839" s="10">
        <v>757</v>
      </c>
      <c r="C839" s="10">
        <v>2093</v>
      </c>
      <c r="D839" s="10">
        <v>310</v>
      </c>
      <c r="E839" s="1" t="s">
        <v>369</v>
      </c>
      <c r="F839" s="1" t="s">
        <v>299</v>
      </c>
      <c r="G839" s="10">
        <v>65</v>
      </c>
      <c r="H839" s="1" t="s">
        <v>39</v>
      </c>
    </row>
    <row r="840" spans="1:8" ht="15.75" customHeight="1" x14ac:dyDescent="0.3">
      <c r="A840" s="10">
        <v>10839</v>
      </c>
      <c r="B840" s="10">
        <v>794</v>
      </c>
      <c r="C840" s="10">
        <v>2078</v>
      </c>
      <c r="D840" s="10">
        <v>302</v>
      </c>
      <c r="E840" s="1" t="s">
        <v>268</v>
      </c>
      <c r="F840" s="1" t="s">
        <v>264</v>
      </c>
      <c r="G840" s="10">
        <v>81</v>
      </c>
      <c r="H840" s="1" t="s">
        <v>42</v>
      </c>
    </row>
    <row r="841" spans="1:8" ht="15.75" customHeight="1" x14ac:dyDescent="0.3">
      <c r="A841" s="10">
        <v>10840</v>
      </c>
      <c r="B841" s="10">
        <v>533</v>
      </c>
      <c r="C841" s="10">
        <v>2089</v>
      </c>
      <c r="D841" s="10">
        <v>315</v>
      </c>
      <c r="E841" s="1" t="s">
        <v>152</v>
      </c>
      <c r="F841" s="1" t="s">
        <v>279</v>
      </c>
      <c r="G841" s="10">
        <v>2</v>
      </c>
      <c r="H841" s="1" t="s">
        <v>36</v>
      </c>
    </row>
    <row r="842" spans="1:8" ht="15.75" customHeight="1" x14ac:dyDescent="0.3">
      <c r="A842" s="10">
        <v>10841</v>
      </c>
      <c r="B842" s="10">
        <v>533</v>
      </c>
      <c r="C842" s="10">
        <v>2082</v>
      </c>
      <c r="D842" s="10">
        <v>306</v>
      </c>
      <c r="E842" s="1" t="s">
        <v>280</v>
      </c>
      <c r="F842" s="1" t="s">
        <v>197</v>
      </c>
      <c r="G842" s="10">
        <v>44</v>
      </c>
      <c r="H842" s="1" t="s">
        <v>36</v>
      </c>
    </row>
    <row r="843" spans="1:8" ht="15.75" customHeight="1" x14ac:dyDescent="0.3">
      <c r="A843" s="10">
        <v>10842</v>
      </c>
      <c r="B843" s="10">
        <v>692</v>
      </c>
      <c r="C843" s="10">
        <v>2068</v>
      </c>
      <c r="D843" s="10">
        <v>306</v>
      </c>
      <c r="E843" s="1" t="s">
        <v>81</v>
      </c>
      <c r="F843" s="1" t="s">
        <v>88</v>
      </c>
      <c r="G843" s="10">
        <v>31</v>
      </c>
      <c r="H843" s="1" t="s">
        <v>78</v>
      </c>
    </row>
    <row r="844" spans="1:8" ht="15.75" customHeight="1" x14ac:dyDescent="0.3">
      <c r="A844" s="10">
        <v>10843</v>
      </c>
      <c r="B844" s="10">
        <v>702</v>
      </c>
      <c r="C844" s="10">
        <v>2014</v>
      </c>
      <c r="D844" s="10">
        <v>308</v>
      </c>
      <c r="E844" s="1" t="s">
        <v>169</v>
      </c>
      <c r="F844" s="1" t="s">
        <v>296</v>
      </c>
      <c r="G844" s="10">
        <v>17</v>
      </c>
      <c r="H844" s="1" t="s">
        <v>36</v>
      </c>
    </row>
    <row r="845" spans="1:8" ht="15.75" customHeight="1" x14ac:dyDescent="0.3">
      <c r="A845" s="10">
        <v>10844</v>
      </c>
      <c r="B845" s="10">
        <v>749</v>
      </c>
      <c r="C845" s="10">
        <v>2064</v>
      </c>
      <c r="D845" s="10">
        <v>302</v>
      </c>
      <c r="E845" s="1" t="s">
        <v>133</v>
      </c>
      <c r="F845" s="1" t="s">
        <v>83</v>
      </c>
      <c r="G845" s="10">
        <v>87</v>
      </c>
      <c r="H845" s="1" t="s">
        <v>39</v>
      </c>
    </row>
    <row r="846" spans="1:8" ht="15.75" customHeight="1" x14ac:dyDescent="0.3">
      <c r="A846" s="10">
        <v>10845</v>
      </c>
      <c r="B846" s="10">
        <v>892</v>
      </c>
      <c r="C846" s="10">
        <v>2064</v>
      </c>
      <c r="D846" s="10">
        <v>314</v>
      </c>
      <c r="E846" s="1" t="s">
        <v>110</v>
      </c>
      <c r="F846" s="1" t="s">
        <v>143</v>
      </c>
      <c r="G846" s="10">
        <v>34</v>
      </c>
      <c r="H846" s="1" t="s">
        <v>39</v>
      </c>
    </row>
    <row r="847" spans="1:8" ht="15.75" customHeight="1" x14ac:dyDescent="0.3">
      <c r="A847" s="10">
        <v>10846</v>
      </c>
      <c r="B847" s="10">
        <v>510</v>
      </c>
      <c r="C847" s="10">
        <v>2011</v>
      </c>
      <c r="D847" s="10">
        <v>319</v>
      </c>
      <c r="E847" s="1" t="s">
        <v>220</v>
      </c>
      <c r="F847" s="1" t="s">
        <v>323</v>
      </c>
      <c r="G847" s="10">
        <v>58</v>
      </c>
      <c r="H847" s="1" t="s">
        <v>39</v>
      </c>
    </row>
    <row r="848" spans="1:8" ht="15.75" customHeight="1" x14ac:dyDescent="0.3">
      <c r="A848" s="10">
        <v>10847</v>
      </c>
      <c r="B848" s="10">
        <v>814</v>
      </c>
      <c r="C848" s="10">
        <v>2010</v>
      </c>
      <c r="D848" s="10">
        <v>317</v>
      </c>
      <c r="E848" s="1" t="s">
        <v>247</v>
      </c>
      <c r="F848" s="1" t="s">
        <v>319</v>
      </c>
      <c r="G848" s="10">
        <v>11</v>
      </c>
      <c r="H848" s="1" t="s">
        <v>42</v>
      </c>
    </row>
    <row r="849" spans="1:8" ht="15.75" customHeight="1" x14ac:dyDescent="0.3">
      <c r="A849" s="10">
        <v>10848</v>
      </c>
      <c r="B849" s="10">
        <v>584</v>
      </c>
      <c r="C849" s="10">
        <v>2027</v>
      </c>
      <c r="D849" s="10">
        <v>307</v>
      </c>
      <c r="E849" s="1" t="s">
        <v>120</v>
      </c>
      <c r="F849" s="1" t="s">
        <v>384</v>
      </c>
      <c r="G849" s="10">
        <v>83</v>
      </c>
      <c r="H849" s="1" t="s">
        <v>39</v>
      </c>
    </row>
    <row r="850" spans="1:8" ht="15.75" customHeight="1" x14ac:dyDescent="0.3">
      <c r="A850" s="10">
        <v>10849</v>
      </c>
      <c r="B850" s="10">
        <v>595</v>
      </c>
      <c r="C850" s="10">
        <v>2040</v>
      </c>
      <c r="D850" s="10">
        <v>316</v>
      </c>
      <c r="E850" s="1" t="s">
        <v>50</v>
      </c>
      <c r="F850" s="1" t="s">
        <v>147</v>
      </c>
      <c r="G850" s="10">
        <v>46</v>
      </c>
      <c r="H850" s="1" t="s">
        <v>78</v>
      </c>
    </row>
    <row r="851" spans="1:8" ht="15.75" customHeight="1" x14ac:dyDescent="0.3">
      <c r="A851" s="10">
        <v>10850</v>
      </c>
      <c r="B851" s="10">
        <v>535</v>
      </c>
      <c r="C851" s="10">
        <v>2064</v>
      </c>
      <c r="D851" s="10">
        <v>311</v>
      </c>
      <c r="E851" s="1" t="s">
        <v>284</v>
      </c>
      <c r="F851" s="1" t="s">
        <v>134</v>
      </c>
      <c r="G851" s="10">
        <v>96</v>
      </c>
      <c r="H851" s="1" t="s">
        <v>39</v>
      </c>
    </row>
    <row r="852" spans="1:8" ht="15.75" customHeight="1" x14ac:dyDescent="0.3">
      <c r="A852" s="10">
        <v>10851</v>
      </c>
      <c r="B852" s="10">
        <v>740</v>
      </c>
      <c r="C852" s="10">
        <v>2008</v>
      </c>
      <c r="D852" s="10">
        <v>315</v>
      </c>
      <c r="E852" s="1" t="s">
        <v>346</v>
      </c>
      <c r="F852" s="1" t="s">
        <v>71</v>
      </c>
      <c r="G852" s="10">
        <v>75</v>
      </c>
      <c r="H852" s="1" t="s">
        <v>36</v>
      </c>
    </row>
    <row r="853" spans="1:8" ht="15.75" customHeight="1" x14ac:dyDescent="0.3">
      <c r="A853" s="10">
        <v>10852</v>
      </c>
      <c r="B853" s="10">
        <v>653</v>
      </c>
      <c r="C853" s="10">
        <v>2074</v>
      </c>
      <c r="D853" s="10">
        <v>303</v>
      </c>
      <c r="E853" s="1" t="s">
        <v>43</v>
      </c>
      <c r="F853" s="1" t="s">
        <v>180</v>
      </c>
      <c r="G853" s="10">
        <v>54</v>
      </c>
      <c r="H853" s="1" t="s">
        <v>36</v>
      </c>
    </row>
    <row r="854" spans="1:8" ht="15.75" customHeight="1" x14ac:dyDescent="0.3">
      <c r="A854" s="10">
        <v>10853</v>
      </c>
      <c r="B854" s="10">
        <v>695</v>
      </c>
      <c r="C854" s="10">
        <v>2014</v>
      </c>
      <c r="D854" s="10">
        <v>313</v>
      </c>
      <c r="E854" s="1" t="s">
        <v>396</v>
      </c>
      <c r="F854" s="1" t="s">
        <v>53</v>
      </c>
      <c r="G854" s="10">
        <v>28</v>
      </c>
      <c r="H854" s="1" t="s">
        <v>36</v>
      </c>
    </row>
    <row r="855" spans="1:8" ht="15.75" customHeight="1" x14ac:dyDescent="0.3">
      <c r="A855" s="10">
        <v>10854</v>
      </c>
      <c r="B855" s="10">
        <v>886</v>
      </c>
      <c r="C855" s="10">
        <v>2083</v>
      </c>
      <c r="D855" s="10">
        <v>301</v>
      </c>
      <c r="E855" s="1" t="s">
        <v>248</v>
      </c>
      <c r="F855" s="1" t="s">
        <v>136</v>
      </c>
      <c r="G855" s="10">
        <v>65</v>
      </c>
      <c r="H855" s="1" t="s">
        <v>78</v>
      </c>
    </row>
    <row r="856" spans="1:8" ht="15.75" customHeight="1" x14ac:dyDescent="0.3">
      <c r="A856" s="10">
        <v>10855</v>
      </c>
      <c r="B856" s="10">
        <v>509</v>
      </c>
      <c r="C856" s="10">
        <v>2097</v>
      </c>
      <c r="D856" s="10">
        <v>315</v>
      </c>
      <c r="E856" s="1" t="s">
        <v>128</v>
      </c>
      <c r="F856" s="1" t="s">
        <v>163</v>
      </c>
      <c r="G856" s="10">
        <v>38</v>
      </c>
      <c r="H856" s="1" t="s">
        <v>39</v>
      </c>
    </row>
    <row r="857" spans="1:8" ht="15.75" customHeight="1" x14ac:dyDescent="0.3">
      <c r="A857" s="10">
        <v>10856</v>
      </c>
      <c r="B857" s="10">
        <v>629</v>
      </c>
      <c r="C857" s="10">
        <v>2017</v>
      </c>
      <c r="D857" s="10">
        <v>310</v>
      </c>
      <c r="E857" s="1" t="s">
        <v>390</v>
      </c>
      <c r="F857" s="1" t="s">
        <v>299</v>
      </c>
      <c r="G857" s="10">
        <v>97</v>
      </c>
      <c r="H857" s="1" t="s">
        <v>42</v>
      </c>
    </row>
    <row r="858" spans="1:8" ht="15.75" customHeight="1" x14ac:dyDescent="0.3">
      <c r="A858" s="10">
        <v>10857</v>
      </c>
      <c r="B858" s="10">
        <v>748</v>
      </c>
      <c r="C858" s="10">
        <v>2017</v>
      </c>
      <c r="D858" s="10">
        <v>301</v>
      </c>
      <c r="E858" s="1" t="s">
        <v>402</v>
      </c>
      <c r="F858" s="1" t="s">
        <v>404</v>
      </c>
      <c r="G858" s="10">
        <v>3</v>
      </c>
      <c r="H858" s="1" t="s">
        <v>78</v>
      </c>
    </row>
    <row r="859" spans="1:8" ht="15.75" customHeight="1" x14ac:dyDescent="0.3">
      <c r="A859" s="10">
        <v>10858</v>
      </c>
      <c r="B859" s="10">
        <v>579</v>
      </c>
      <c r="C859" s="10">
        <v>2053</v>
      </c>
      <c r="D859" s="10">
        <v>313</v>
      </c>
      <c r="E859" s="1" t="s">
        <v>365</v>
      </c>
      <c r="F859" s="1" t="s">
        <v>49</v>
      </c>
      <c r="G859" s="10">
        <v>46</v>
      </c>
      <c r="H859" s="1" t="s">
        <v>78</v>
      </c>
    </row>
    <row r="860" spans="1:8" ht="15.75" customHeight="1" x14ac:dyDescent="0.3">
      <c r="A860" s="10">
        <v>10859</v>
      </c>
      <c r="B860" s="10">
        <v>651</v>
      </c>
      <c r="C860" s="10">
        <v>2071</v>
      </c>
      <c r="D860" s="10">
        <v>302</v>
      </c>
      <c r="E860" s="1" t="s">
        <v>364</v>
      </c>
      <c r="F860" s="1" t="s">
        <v>96</v>
      </c>
      <c r="G860" s="10">
        <v>44</v>
      </c>
      <c r="H860" s="1" t="s">
        <v>78</v>
      </c>
    </row>
    <row r="861" spans="1:8" ht="15.75" customHeight="1" x14ac:dyDescent="0.3">
      <c r="A861" s="10">
        <v>10860</v>
      </c>
      <c r="B861" s="10">
        <v>585</v>
      </c>
      <c r="C861" s="10">
        <v>2049</v>
      </c>
      <c r="D861" s="10">
        <v>315</v>
      </c>
      <c r="E861" s="1" t="s">
        <v>67</v>
      </c>
      <c r="F861" s="1" t="s">
        <v>70</v>
      </c>
      <c r="G861" s="10">
        <v>23</v>
      </c>
      <c r="H861" s="1" t="s">
        <v>42</v>
      </c>
    </row>
    <row r="862" spans="1:8" ht="15.75" customHeight="1" x14ac:dyDescent="0.3">
      <c r="A862" s="10">
        <v>10861</v>
      </c>
      <c r="B862" s="10">
        <v>540</v>
      </c>
      <c r="C862" s="10">
        <v>2059</v>
      </c>
      <c r="D862" s="10">
        <v>305</v>
      </c>
      <c r="E862" s="1" t="s">
        <v>96</v>
      </c>
      <c r="F862" s="1" t="s">
        <v>164</v>
      </c>
      <c r="G862" s="10">
        <v>76</v>
      </c>
      <c r="H862" s="1" t="s">
        <v>42</v>
      </c>
    </row>
    <row r="863" spans="1:8" ht="15.75" customHeight="1" x14ac:dyDescent="0.3">
      <c r="A863" s="10">
        <v>10862</v>
      </c>
      <c r="B863" s="10">
        <v>823</v>
      </c>
      <c r="C863" s="10">
        <v>2030</v>
      </c>
      <c r="D863" s="10">
        <v>312</v>
      </c>
      <c r="E863" s="1" t="s">
        <v>249</v>
      </c>
      <c r="F863" s="1" t="s">
        <v>354</v>
      </c>
      <c r="G863" s="10">
        <v>4</v>
      </c>
      <c r="H863" s="1" t="s">
        <v>78</v>
      </c>
    </row>
    <row r="864" spans="1:8" ht="15.75" customHeight="1" x14ac:dyDescent="0.3">
      <c r="A864" s="10">
        <v>10863</v>
      </c>
      <c r="B864" s="10">
        <v>547</v>
      </c>
      <c r="C864" s="10">
        <v>2087</v>
      </c>
      <c r="D864" s="10">
        <v>319</v>
      </c>
      <c r="E864" s="1" t="s">
        <v>385</v>
      </c>
      <c r="F864" s="1" t="s">
        <v>210</v>
      </c>
      <c r="G864" s="10">
        <v>48</v>
      </c>
      <c r="H864" s="1" t="s">
        <v>39</v>
      </c>
    </row>
    <row r="865" spans="1:8" ht="15.75" customHeight="1" x14ac:dyDescent="0.3">
      <c r="A865" s="10">
        <v>10864</v>
      </c>
      <c r="B865" s="10">
        <v>658</v>
      </c>
      <c r="C865" s="10">
        <v>2085</v>
      </c>
      <c r="D865" s="10">
        <v>313</v>
      </c>
      <c r="E865" s="1" t="s">
        <v>59</v>
      </c>
      <c r="F865" s="1" t="s">
        <v>60</v>
      </c>
      <c r="G865" s="10">
        <v>78</v>
      </c>
      <c r="H865" s="1" t="s">
        <v>36</v>
      </c>
    </row>
    <row r="866" spans="1:8" ht="15.75" customHeight="1" x14ac:dyDescent="0.3">
      <c r="A866" s="10">
        <v>10865</v>
      </c>
      <c r="B866" s="10">
        <v>705</v>
      </c>
      <c r="C866" s="10">
        <v>2061</v>
      </c>
      <c r="D866" s="10">
        <v>304</v>
      </c>
      <c r="E866" s="1" t="s">
        <v>172</v>
      </c>
      <c r="F866" s="1" t="s">
        <v>148</v>
      </c>
      <c r="G866" s="10">
        <v>11</v>
      </c>
      <c r="H866" s="1" t="s">
        <v>39</v>
      </c>
    </row>
    <row r="867" spans="1:8" ht="15.75" customHeight="1" x14ac:dyDescent="0.3">
      <c r="A867" s="10">
        <v>10866</v>
      </c>
      <c r="B867" s="10">
        <v>589</v>
      </c>
      <c r="C867" s="10">
        <v>2042</v>
      </c>
      <c r="D867" s="10">
        <v>318</v>
      </c>
      <c r="E867" s="1" t="s">
        <v>55</v>
      </c>
      <c r="F867" s="1" t="s">
        <v>216</v>
      </c>
      <c r="G867" s="10">
        <v>34</v>
      </c>
      <c r="H867" s="1" t="s">
        <v>42</v>
      </c>
    </row>
    <row r="868" spans="1:8" ht="15.75" customHeight="1" x14ac:dyDescent="0.3">
      <c r="A868" s="10">
        <v>10867</v>
      </c>
      <c r="B868" s="10">
        <v>675</v>
      </c>
      <c r="C868" s="10">
        <v>2017</v>
      </c>
      <c r="D868" s="10">
        <v>313</v>
      </c>
      <c r="E868" s="1" t="s">
        <v>310</v>
      </c>
      <c r="F868" s="1" t="s">
        <v>174</v>
      </c>
      <c r="G868" s="10">
        <v>43</v>
      </c>
      <c r="H868" s="1" t="s">
        <v>39</v>
      </c>
    </row>
    <row r="869" spans="1:8" ht="15.75" customHeight="1" x14ac:dyDescent="0.3">
      <c r="A869" s="10">
        <v>10868</v>
      </c>
      <c r="B869" s="10">
        <v>873</v>
      </c>
      <c r="C869" s="10">
        <v>2043</v>
      </c>
      <c r="D869" s="10">
        <v>309</v>
      </c>
      <c r="E869" s="1" t="s">
        <v>304</v>
      </c>
      <c r="F869" s="1" t="s">
        <v>215</v>
      </c>
      <c r="G869" s="10">
        <v>19</v>
      </c>
      <c r="H869" s="1" t="s">
        <v>39</v>
      </c>
    </row>
    <row r="870" spans="1:8" ht="15.75" customHeight="1" x14ac:dyDescent="0.3">
      <c r="A870" s="10">
        <v>10869</v>
      </c>
      <c r="B870" s="10">
        <v>746</v>
      </c>
      <c r="C870" s="10">
        <v>2081</v>
      </c>
      <c r="D870" s="10">
        <v>309</v>
      </c>
      <c r="E870" s="1" t="s">
        <v>244</v>
      </c>
      <c r="F870" s="1" t="s">
        <v>261</v>
      </c>
      <c r="G870" s="10">
        <v>29</v>
      </c>
      <c r="H870" s="1" t="s">
        <v>78</v>
      </c>
    </row>
    <row r="871" spans="1:8" ht="15.75" customHeight="1" x14ac:dyDescent="0.3">
      <c r="A871" s="10">
        <v>10870</v>
      </c>
      <c r="B871" s="10">
        <v>870</v>
      </c>
      <c r="C871" s="10">
        <v>2089</v>
      </c>
      <c r="D871" s="10">
        <v>317</v>
      </c>
      <c r="E871" s="1" t="s">
        <v>256</v>
      </c>
      <c r="F871" s="1" t="s">
        <v>325</v>
      </c>
      <c r="G871" s="10">
        <v>71</v>
      </c>
      <c r="H871" s="1" t="s">
        <v>42</v>
      </c>
    </row>
    <row r="872" spans="1:8" ht="15.75" customHeight="1" x14ac:dyDescent="0.3">
      <c r="A872" s="10">
        <v>10871</v>
      </c>
      <c r="B872" s="10">
        <v>830</v>
      </c>
      <c r="C872" s="10">
        <v>2027</v>
      </c>
      <c r="D872" s="10">
        <v>306</v>
      </c>
      <c r="E872" s="1" t="s">
        <v>387</v>
      </c>
      <c r="F872" s="1" t="s">
        <v>373</v>
      </c>
      <c r="G872" s="10">
        <v>33</v>
      </c>
      <c r="H872" s="1" t="s">
        <v>78</v>
      </c>
    </row>
    <row r="873" spans="1:8" ht="15.75" customHeight="1" x14ac:dyDescent="0.3">
      <c r="A873" s="10">
        <v>10872</v>
      </c>
      <c r="B873" s="10">
        <v>509</v>
      </c>
      <c r="C873" s="10">
        <v>2061</v>
      </c>
      <c r="D873" s="10">
        <v>310</v>
      </c>
      <c r="E873" s="1" t="s">
        <v>298</v>
      </c>
      <c r="F873" s="1" t="s">
        <v>156</v>
      </c>
      <c r="G873" s="10">
        <v>25</v>
      </c>
      <c r="H873" s="1" t="s">
        <v>36</v>
      </c>
    </row>
    <row r="874" spans="1:8" ht="15.75" customHeight="1" x14ac:dyDescent="0.3">
      <c r="A874" s="10">
        <v>10873</v>
      </c>
      <c r="B874" s="10">
        <v>715</v>
      </c>
      <c r="C874" s="10">
        <v>2073</v>
      </c>
      <c r="D874" s="10">
        <v>317</v>
      </c>
      <c r="E874" s="1" t="s">
        <v>46</v>
      </c>
      <c r="F874" s="1" t="s">
        <v>139</v>
      </c>
      <c r="G874" s="10">
        <v>36</v>
      </c>
      <c r="H874" s="1" t="s">
        <v>78</v>
      </c>
    </row>
    <row r="875" spans="1:8" ht="15.75" customHeight="1" x14ac:dyDescent="0.3">
      <c r="A875" s="10">
        <v>10874</v>
      </c>
      <c r="B875" s="10">
        <v>800</v>
      </c>
      <c r="C875" s="10">
        <v>2059</v>
      </c>
      <c r="D875" s="10">
        <v>305</v>
      </c>
      <c r="E875" s="1" t="s">
        <v>85</v>
      </c>
      <c r="F875" s="1" t="s">
        <v>153</v>
      </c>
      <c r="G875" s="10">
        <v>76</v>
      </c>
      <c r="H875" s="1" t="s">
        <v>39</v>
      </c>
    </row>
    <row r="876" spans="1:8" ht="15.75" customHeight="1" x14ac:dyDescent="0.3">
      <c r="A876" s="10">
        <v>10875</v>
      </c>
      <c r="B876" s="10">
        <v>795</v>
      </c>
      <c r="C876" s="10">
        <v>2001</v>
      </c>
      <c r="D876" s="10">
        <v>315</v>
      </c>
      <c r="E876" s="1" t="s">
        <v>168</v>
      </c>
      <c r="F876" s="1" t="s">
        <v>83</v>
      </c>
      <c r="G876" s="10">
        <v>99</v>
      </c>
      <c r="H876" s="1" t="s">
        <v>36</v>
      </c>
    </row>
    <row r="877" spans="1:8" ht="15.75" customHeight="1" x14ac:dyDescent="0.3">
      <c r="A877" s="10">
        <v>10876</v>
      </c>
      <c r="B877" s="10">
        <v>730</v>
      </c>
      <c r="C877" s="10">
        <v>2074</v>
      </c>
      <c r="D877" s="10">
        <v>311</v>
      </c>
      <c r="E877" s="1" t="s">
        <v>326</v>
      </c>
      <c r="F877" s="1" t="s">
        <v>404</v>
      </c>
      <c r="G877" s="10">
        <v>62</v>
      </c>
      <c r="H877" s="1" t="s">
        <v>42</v>
      </c>
    </row>
    <row r="878" spans="1:8" ht="15.75" customHeight="1" x14ac:dyDescent="0.3">
      <c r="A878" s="10">
        <v>10877</v>
      </c>
      <c r="B878" s="10">
        <v>757</v>
      </c>
      <c r="C878" s="10">
        <v>2028</v>
      </c>
      <c r="D878" s="10">
        <v>301</v>
      </c>
      <c r="E878" s="1" t="s">
        <v>368</v>
      </c>
      <c r="F878" s="1" t="s">
        <v>394</v>
      </c>
      <c r="G878" s="10">
        <v>60</v>
      </c>
      <c r="H878" s="1" t="s">
        <v>78</v>
      </c>
    </row>
    <row r="879" spans="1:8" ht="15.75" customHeight="1" x14ac:dyDescent="0.3">
      <c r="A879" s="10">
        <v>10878</v>
      </c>
      <c r="B879" s="10">
        <v>738</v>
      </c>
      <c r="C879" s="10">
        <v>2036</v>
      </c>
      <c r="D879" s="10">
        <v>305</v>
      </c>
      <c r="E879" s="1" t="s">
        <v>175</v>
      </c>
      <c r="F879" s="1" t="s">
        <v>105</v>
      </c>
      <c r="G879" s="10">
        <v>74</v>
      </c>
      <c r="H879" s="1" t="s">
        <v>36</v>
      </c>
    </row>
    <row r="880" spans="1:8" ht="15.75" customHeight="1" x14ac:dyDescent="0.3">
      <c r="A880" s="10">
        <v>10879</v>
      </c>
      <c r="B880" s="10">
        <v>897</v>
      </c>
      <c r="C880" s="10">
        <v>2048</v>
      </c>
      <c r="D880" s="10">
        <v>317</v>
      </c>
      <c r="E880" s="1" t="s">
        <v>118</v>
      </c>
      <c r="F880" s="1" t="s">
        <v>344</v>
      </c>
      <c r="G880" s="10">
        <v>70</v>
      </c>
      <c r="H880" s="1" t="s">
        <v>42</v>
      </c>
    </row>
    <row r="881" spans="1:8" ht="15.75" customHeight="1" x14ac:dyDescent="0.3">
      <c r="A881" s="10">
        <v>10880</v>
      </c>
      <c r="B881" s="10">
        <v>529</v>
      </c>
      <c r="C881" s="10">
        <v>2051</v>
      </c>
      <c r="D881" s="10">
        <v>310</v>
      </c>
      <c r="E881" s="1" t="s">
        <v>272</v>
      </c>
      <c r="F881" s="1" t="s">
        <v>354</v>
      </c>
      <c r="G881" s="10">
        <v>34</v>
      </c>
      <c r="H881" s="1" t="s">
        <v>42</v>
      </c>
    </row>
    <row r="882" spans="1:8" ht="15.75" customHeight="1" x14ac:dyDescent="0.3">
      <c r="A882" s="10">
        <v>10881</v>
      </c>
      <c r="B882" s="10">
        <v>763</v>
      </c>
      <c r="C882" s="10">
        <v>2091</v>
      </c>
      <c r="D882" s="10">
        <v>301</v>
      </c>
      <c r="E882" s="1" t="s">
        <v>266</v>
      </c>
      <c r="F882" s="1" t="s">
        <v>278</v>
      </c>
      <c r="G882" s="10">
        <v>84</v>
      </c>
      <c r="H882" s="1" t="s">
        <v>39</v>
      </c>
    </row>
    <row r="883" spans="1:8" ht="15.75" customHeight="1" x14ac:dyDescent="0.3">
      <c r="A883" s="10">
        <v>10882</v>
      </c>
      <c r="B883" s="10">
        <v>804</v>
      </c>
      <c r="C883" s="10">
        <v>2038</v>
      </c>
      <c r="D883" s="10">
        <v>309</v>
      </c>
      <c r="E883" s="1" t="s">
        <v>53</v>
      </c>
      <c r="F883" s="1" t="s">
        <v>54</v>
      </c>
      <c r="G883" s="10">
        <v>28</v>
      </c>
      <c r="H883" s="1" t="s">
        <v>39</v>
      </c>
    </row>
    <row r="884" spans="1:8" ht="15.75" customHeight="1" x14ac:dyDescent="0.3">
      <c r="A884" s="10">
        <v>10883</v>
      </c>
      <c r="B884" s="10">
        <v>863</v>
      </c>
      <c r="C884" s="10">
        <v>2070</v>
      </c>
      <c r="D884" s="10">
        <v>306</v>
      </c>
      <c r="E884" s="1" t="s">
        <v>308</v>
      </c>
      <c r="F884" s="1" t="s">
        <v>233</v>
      </c>
      <c r="G884" s="10">
        <v>4</v>
      </c>
      <c r="H884" s="1" t="s">
        <v>42</v>
      </c>
    </row>
    <row r="885" spans="1:8" ht="15.75" customHeight="1" x14ac:dyDescent="0.3">
      <c r="A885" s="10">
        <v>10884</v>
      </c>
      <c r="B885" s="10">
        <v>646</v>
      </c>
      <c r="C885" s="10">
        <v>2081</v>
      </c>
      <c r="D885" s="10">
        <v>313</v>
      </c>
      <c r="E885" s="1" t="s">
        <v>322</v>
      </c>
      <c r="F885" s="1" t="s">
        <v>219</v>
      </c>
      <c r="G885" s="10">
        <v>61</v>
      </c>
      <c r="H885" s="1" t="s">
        <v>39</v>
      </c>
    </row>
    <row r="886" spans="1:8" ht="15.75" customHeight="1" x14ac:dyDescent="0.3">
      <c r="A886" s="10">
        <v>10885</v>
      </c>
      <c r="B886" s="10">
        <v>647</v>
      </c>
      <c r="C886" s="10">
        <v>2078</v>
      </c>
      <c r="D886" s="10">
        <v>315</v>
      </c>
      <c r="E886" s="1" t="s">
        <v>87</v>
      </c>
      <c r="F886" s="1" t="s">
        <v>115</v>
      </c>
      <c r="G886" s="10">
        <v>15</v>
      </c>
      <c r="H886" s="1" t="s">
        <v>39</v>
      </c>
    </row>
    <row r="887" spans="1:8" ht="15.75" customHeight="1" x14ac:dyDescent="0.3">
      <c r="A887" s="10">
        <v>10886</v>
      </c>
      <c r="B887" s="10">
        <v>585</v>
      </c>
      <c r="C887" s="10">
        <v>2078</v>
      </c>
      <c r="D887" s="10">
        <v>320</v>
      </c>
      <c r="E887" s="1" t="s">
        <v>226</v>
      </c>
      <c r="F887" s="1" t="s">
        <v>366</v>
      </c>
      <c r="G887" s="10">
        <v>52</v>
      </c>
      <c r="H887" s="1" t="s">
        <v>78</v>
      </c>
    </row>
    <row r="888" spans="1:8" ht="15.75" customHeight="1" x14ac:dyDescent="0.3">
      <c r="A888" s="10">
        <v>10887</v>
      </c>
      <c r="B888" s="10">
        <v>701</v>
      </c>
      <c r="C888" s="10">
        <v>2057</v>
      </c>
      <c r="D888" s="10">
        <v>317</v>
      </c>
      <c r="E888" s="1" t="s">
        <v>367</v>
      </c>
      <c r="F888" s="1" t="s">
        <v>177</v>
      </c>
      <c r="G888" s="10">
        <v>1</v>
      </c>
      <c r="H888" s="1" t="s">
        <v>42</v>
      </c>
    </row>
    <row r="889" spans="1:8" ht="15.75" customHeight="1" x14ac:dyDescent="0.3">
      <c r="A889" s="10">
        <v>10888</v>
      </c>
      <c r="B889" s="10">
        <v>625</v>
      </c>
      <c r="C889" s="10">
        <v>2071</v>
      </c>
      <c r="D889" s="10">
        <v>317</v>
      </c>
      <c r="E889" s="1" t="s">
        <v>130</v>
      </c>
      <c r="F889" s="1" t="s">
        <v>145</v>
      </c>
      <c r="G889" s="10">
        <v>67</v>
      </c>
      <c r="H889" s="1" t="s">
        <v>39</v>
      </c>
    </row>
    <row r="890" spans="1:8" ht="15.75" customHeight="1" x14ac:dyDescent="0.3">
      <c r="A890" s="10">
        <v>10889</v>
      </c>
      <c r="B890" s="10">
        <v>621</v>
      </c>
      <c r="C890" s="10">
        <v>2100</v>
      </c>
      <c r="D890" s="10">
        <v>309</v>
      </c>
      <c r="E890" s="1" t="s">
        <v>200</v>
      </c>
      <c r="F890" s="1" t="s">
        <v>203</v>
      </c>
      <c r="G890" s="10">
        <v>78</v>
      </c>
      <c r="H890" s="1" t="s">
        <v>78</v>
      </c>
    </row>
    <row r="891" spans="1:8" ht="15.75" customHeight="1" x14ac:dyDescent="0.3">
      <c r="A891" s="10">
        <v>10890</v>
      </c>
      <c r="B891" s="10">
        <v>646</v>
      </c>
      <c r="C891" s="10">
        <v>2064</v>
      </c>
      <c r="D891" s="10">
        <v>318</v>
      </c>
      <c r="E891" s="1" t="s">
        <v>151</v>
      </c>
      <c r="F891" s="1" t="s">
        <v>211</v>
      </c>
      <c r="G891" s="10">
        <v>4</v>
      </c>
      <c r="H891" s="1" t="s">
        <v>42</v>
      </c>
    </row>
    <row r="892" spans="1:8" ht="15.75" customHeight="1" x14ac:dyDescent="0.3">
      <c r="A892" s="10">
        <v>10891</v>
      </c>
      <c r="B892" s="10">
        <v>876</v>
      </c>
      <c r="C892" s="10">
        <v>2041</v>
      </c>
      <c r="D892" s="10">
        <v>312</v>
      </c>
      <c r="E892" s="1" t="s">
        <v>153</v>
      </c>
      <c r="F892" s="1" t="s">
        <v>394</v>
      </c>
      <c r="G892" s="10">
        <v>65</v>
      </c>
      <c r="H892" s="1" t="s">
        <v>78</v>
      </c>
    </row>
    <row r="893" spans="1:8" ht="15.75" customHeight="1" x14ac:dyDescent="0.3">
      <c r="A893" s="10">
        <v>10892</v>
      </c>
      <c r="B893" s="10">
        <v>518</v>
      </c>
      <c r="C893" s="10">
        <v>2010</v>
      </c>
      <c r="D893" s="10">
        <v>302</v>
      </c>
      <c r="E893" s="1" t="s">
        <v>154</v>
      </c>
      <c r="F893" s="1" t="s">
        <v>67</v>
      </c>
      <c r="G893" s="10">
        <v>28</v>
      </c>
      <c r="H893" s="1" t="s">
        <v>78</v>
      </c>
    </row>
    <row r="894" spans="1:8" ht="15.75" customHeight="1" x14ac:dyDescent="0.3">
      <c r="A894" s="10">
        <v>10893</v>
      </c>
      <c r="B894" s="10">
        <v>743</v>
      </c>
      <c r="C894" s="10">
        <v>2042</v>
      </c>
      <c r="D894" s="10">
        <v>312</v>
      </c>
      <c r="E894" s="1" t="s">
        <v>396</v>
      </c>
      <c r="F894" s="1" t="s">
        <v>54</v>
      </c>
      <c r="G894" s="10">
        <v>11</v>
      </c>
      <c r="H894" s="1" t="s">
        <v>39</v>
      </c>
    </row>
    <row r="895" spans="1:8" ht="15.75" customHeight="1" x14ac:dyDescent="0.3">
      <c r="A895" s="10">
        <v>10894</v>
      </c>
      <c r="B895" s="10">
        <v>610</v>
      </c>
      <c r="C895" s="10">
        <v>2087</v>
      </c>
      <c r="D895" s="10">
        <v>312</v>
      </c>
      <c r="E895" s="1" t="s">
        <v>87</v>
      </c>
      <c r="F895" s="1" t="s">
        <v>304</v>
      </c>
      <c r="G895" s="10">
        <v>43</v>
      </c>
      <c r="H895" s="1" t="s">
        <v>78</v>
      </c>
    </row>
    <row r="896" spans="1:8" ht="15.75" customHeight="1" x14ac:dyDescent="0.3">
      <c r="A896" s="10">
        <v>10895</v>
      </c>
      <c r="B896" s="10">
        <v>713</v>
      </c>
      <c r="C896" s="10">
        <v>2027</v>
      </c>
      <c r="D896" s="10">
        <v>311</v>
      </c>
      <c r="E896" s="1" t="s">
        <v>355</v>
      </c>
      <c r="F896" s="1" t="s">
        <v>61</v>
      </c>
      <c r="G896" s="10">
        <v>54</v>
      </c>
      <c r="H896" s="1" t="s">
        <v>78</v>
      </c>
    </row>
    <row r="897" spans="1:8" ht="15.75" customHeight="1" x14ac:dyDescent="0.3">
      <c r="A897" s="10">
        <v>10896</v>
      </c>
      <c r="B897" s="10">
        <v>526</v>
      </c>
      <c r="C897" s="10">
        <v>2015</v>
      </c>
      <c r="D897" s="10">
        <v>308</v>
      </c>
      <c r="E897" s="1" t="s">
        <v>179</v>
      </c>
      <c r="F897" s="1" t="s">
        <v>180</v>
      </c>
      <c r="G897" s="10">
        <v>1</v>
      </c>
      <c r="H897" s="1" t="s">
        <v>78</v>
      </c>
    </row>
    <row r="898" spans="1:8" ht="15.75" customHeight="1" x14ac:dyDescent="0.3">
      <c r="A898" s="10">
        <v>10897</v>
      </c>
      <c r="B898" s="10">
        <v>749</v>
      </c>
      <c r="C898" s="10">
        <v>2012</v>
      </c>
      <c r="D898" s="10">
        <v>313</v>
      </c>
      <c r="E898" s="1" t="s">
        <v>369</v>
      </c>
      <c r="F898" s="1" t="s">
        <v>342</v>
      </c>
      <c r="G898" s="10">
        <v>44</v>
      </c>
      <c r="H898" s="1" t="s">
        <v>39</v>
      </c>
    </row>
    <row r="899" spans="1:8" ht="15.75" customHeight="1" x14ac:dyDescent="0.3">
      <c r="A899" s="10">
        <v>10898</v>
      </c>
      <c r="B899" s="10">
        <v>586</v>
      </c>
      <c r="C899" s="10">
        <v>2068</v>
      </c>
      <c r="D899" s="10">
        <v>307</v>
      </c>
      <c r="E899" s="1" t="s">
        <v>177</v>
      </c>
      <c r="F899" s="1" t="s">
        <v>330</v>
      </c>
      <c r="G899" s="10">
        <v>63</v>
      </c>
      <c r="H899" s="1" t="s">
        <v>42</v>
      </c>
    </row>
    <row r="900" spans="1:8" ht="15.75" customHeight="1" x14ac:dyDescent="0.3">
      <c r="A900" s="10">
        <v>10899</v>
      </c>
      <c r="B900" s="10">
        <v>762</v>
      </c>
      <c r="C900" s="10">
        <v>2050</v>
      </c>
      <c r="D900" s="10">
        <v>314</v>
      </c>
      <c r="E900" s="1" t="s">
        <v>193</v>
      </c>
      <c r="F900" s="1" t="s">
        <v>295</v>
      </c>
      <c r="G900" s="10">
        <v>81</v>
      </c>
      <c r="H900" s="1" t="s">
        <v>78</v>
      </c>
    </row>
    <row r="901" spans="1:8" ht="15.75" customHeight="1" x14ac:dyDescent="0.3">
      <c r="A901" s="10">
        <v>10900</v>
      </c>
      <c r="B901" s="10">
        <v>808</v>
      </c>
      <c r="C901" s="10">
        <v>2090</v>
      </c>
      <c r="D901" s="10">
        <v>305</v>
      </c>
      <c r="E901" s="1" t="s">
        <v>221</v>
      </c>
      <c r="F901" s="1" t="s">
        <v>109</v>
      </c>
      <c r="G901" s="10">
        <v>82</v>
      </c>
      <c r="H901" s="1" t="s">
        <v>36</v>
      </c>
    </row>
    <row r="902" spans="1:8" ht="15.75" customHeight="1" x14ac:dyDescent="0.3">
      <c r="A902" s="10">
        <v>10901</v>
      </c>
      <c r="B902" s="10">
        <v>671</v>
      </c>
      <c r="C902" s="10">
        <v>2072</v>
      </c>
      <c r="D902" s="10">
        <v>312</v>
      </c>
      <c r="E902" s="1" t="s">
        <v>293</v>
      </c>
      <c r="F902" s="1" t="s">
        <v>262</v>
      </c>
      <c r="G902" s="10">
        <v>93</v>
      </c>
      <c r="H902" s="1" t="s">
        <v>78</v>
      </c>
    </row>
    <row r="903" spans="1:8" ht="15.75" customHeight="1" x14ac:dyDescent="0.3">
      <c r="A903" s="10">
        <v>10902</v>
      </c>
      <c r="B903" s="10">
        <v>797</v>
      </c>
      <c r="C903" s="10">
        <v>2028</v>
      </c>
      <c r="D903" s="10">
        <v>301</v>
      </c>
      <c r="E903" s="1" t="s">
        <v>312</v>
      </c>
      <c r="F903" s="1" t="s">
        <v>392</v>
      </c>
      <c r="G903" s="10">
        <v>62</v>
      </c>
      <c r="H903" s="1" t="s">
        <v>36</v>
      </c>
    </row>
    <row r="904" spans="1:8" ht="15.75" customHeight="1" x14ac:dyDescent="0.3">
      <c r="A904" s="10">
        <v>10903</v>
      </c>
      <c r="B904" s="10">
        <v>697</v>
      </c>
      <c r="C904" s="10">
        <v>2085</v>
      </c>
      <c r="D904" s="10">
        <v>315</v>
      </c>
      <c r="E904" s="1" t="s">
        <v>116</v>
      </c>
      <c r="F904" s="1" t="s">
        <v>221</v>
      </c>
      <c r="G904" s="10">
        <v>47</v>
      </c>
      <c r="H904" s="1" t="s">
        <v>78</v>
      </c>
    </row>
    <row r="905" spans="1:8" ht="15.75" customHeight="1" x14ac:dyDescent="0.3">
      <c r="A905" s="10">
        <v>10904</v>
      </c>
      <c r="B905" s="10">
        <v>806</v>
      </c>
      <c r="C905" s="10">
        <v>2086</v>
      </c>
      <c r="D905" s="10">
        <v>306</v>
      </c>
      <c r="E905" s="1" t="s">
        <v>205</v>
      </c>
      <c r="F905" s="1" t="s">
        <v>385</v>
      </c>
      <c r="G905" s="10">
        <v>18</v>
      </c>
      <c r="H905" s="1" t="s">
        <v>78</v>
      </c>
    </row>
    <row r="906" spans="1:8" ht="15.75" customHeight="1" x14ac:dyDescent="0.3">
      <c r="A906" s="10">
        <v>10905</v>
      </c>
      <c r="B906" s="10">
        <v>895</v>
      </c>
      <c r="C906" s="10">
        <v>2054</v>
      </c>
      <c r="D906" s="10">
        <v>320</v>
      </c>
      <c r="E906" s="1" t="s">
        <v>280</v>
      </c>
      <c r="F906" s="1" t="s">
        <v>197</v>
      </c>
      <c r="G906" s="10">
        <v>49</v>
      </c>
      <c r="H906" s="1" t="s">
        <v>42</v>
      </c>
    </row>
    <row r="907" spans="1:8" ht="15.75" customHeight="1" x14ac:dyDescent="0.3">
      <c r="A907" s="10">
        <v>10906</v>
      </c>
      <c r="B907" s="10">
        <v>805</v>
      </c>
      <c r="C907" s="10">
        <v>2095</v>
      </c>
      <c r="D907" s="10">
        <v>317</v>
      </c>
      <c r="E907" s="1" t="s">
        <v>287</v>
      </c>
      <c r="F907" s="1" t="s">
        <v>318</v>
      </c>
      <c r="G907" s="10">
        <v>14</v>
      </c>
      <c r="H907" s="1" t="s">
        <v>42</v>
      </c>
    </row>
    <row r="908" spans="1:8" ht="15.75" customHeight="1" x14ac:dyDescent="0.3">
      <c r="A908" s="10">
        <v>10907</v>
      </c>
      <c r="B908" s="10">
        <v>662</v>
      </c>
      <c r="C908" s="10">
        <v>2042</v>
      </c>
      <c r="D908" s="10">
        <v>312</v>
      </c>
      <c r="E908" s="1" t="s">
        <v>126</v>
      </c>
      <c r="F908" s="1" t="s">
        <v>117</v>
      </c>
      <c r="G908" s="10">
        <v>73</v>
      </c>
      <c r="H908" s="1" t="s">
        <v>39</v>
      </c>
    </row>
    <row r="909" spans="1:8" ht="15.75" customHeight="1" x14ac:dyDescent="0.3">
      <c r="A909" s="10">
        <v>10908</v>
      </c>
      <c r="B909" s="10">
        <v>670</v>
      </c>
      <c r="C909" s="10">
        <v>2023</v>
      </c>
      <c r="D909" s="10">
        <v>314</v>
      </c>
      <c r="E909" s="1" t="s">
        <v>139</v>
      </c>
      <c r="F909" s="1" t="s">
        <v>82</v>
      </c>
      <c r="G909" s="10">
        <v>11</v>
      </c>
      <c r="H909" s="1" t="s">
        <v>42</v>
      </c>
    </row>
    <row r="910" spans="1:8" ht="15.75" customHeight="1" x14ac:dyDescent="0.3">
      <c r="A910" s="10">
        <v>10909</v>
      </c>
      <c r="B910" s="10">
        <v>862</v>
      </c>
      <c r="C910" s="10">
        <v>2087</v>
      </c>
      <c r="D910" s="10">
        <v>301</v>
      </c>
      <c r="E910" s="1" t="s">
        <v>214</v>
      </c>
      <c r="F910" s="1" t="s">
        <v>93</v>
      </c>
      <c r="G910" s="10">
        <v>52</v>
      </c>
      <c r="H910" s="1" t="s">
        <v>42</v>
      </c>
    </row>
    <row r="911" spans="1:8" ht="15.75" customHeight="1" x14ac:dyDescent="0.3">
      <c r="A911" s="10">
        <v>10910</v>
      </c>
      <c r="B911" s="10">
        <v>762</v>
      </c>
      <c r="C911" s="10">
        <v>2078</v>
      </c>
      <c r="D911" s="10">
        <v>313</v>
      </c>
      <c r="E911" s="1" t="s">
        <v>337</v>
      </c>
      <c r="F911" s="1" t="s">
        <v>92</v>
      </c>
      <c r="G911" s="10">
        <v>98</v>
      </c>
      <c r="H911" s="1" t="s">
        <v>36</v>
      </c>
    </row>
    <row r="912" spans="1:8" ht="15.75" customHeight="1" x14ac:dyDescent="0.3">
      <c r="A912" s="10">
        <v>10911</v>
      </c>
      <c r="B912" s="10">
        <v>820</v>
      </c>
      <c r="C912" s="10">
        <v>2074</v>
      </c>
      <c r="D912" s="10">
        <v>301</v>
      </c>
      <c r="E912" s="1" t="s">
        <v>193</v>
      </c>
      <c r="F912" s="1" t="s">
        <v>256</v>
      </c>
      <c r="G912" s="10">
        <v>44</v>
      </c>
      <c r="H912" s="1" t="s">
        <v>36</v>
      </c>
    </row>
    <row r="913" spans="1:8" ht="15.75" customHeight="1" x14ac:dyDescent="0.3">
      <c r="A913" s="10">
        <v>10912</v>
      </c>
      <c r="B913" s="10">
        <v>714</v>
      </c>
      <c r="C913" s="10">
        <v>2035</v>
      </c>
      <c r="D913" s="10">
        <v>302</v>
      </c>
      <c r="E913" s="1" t="s">
        <v>390</v>
      </c>
      <c r="F913" s="1" t="s">
        <v>94</v>
      </c>
      <c r="G913" s="10">
        <v>77</v>
      </c>
      <c r="H913" s="1" t="s">
        <v>42</v>
      </c>
    </row>
    <row r="914" spans="1:8" ht="15.75" customHeight="1" x14ac:dyDescent="0.3">
      <c r="A914" s="10">
        <v>10913</v>
      </c>
      <c r="B914" s="10">
        <v>823</v>
      </c>
      <c r="C914" s="10">
        <v>2061</v>
      </c>
      <c r="D914" s="10">
        <v>309</v>
      </c>
      <c r="E914" s="1" t="s">
        <v>70</v>
      </c>
      <c r="F914" s="1" t="s">
        <v>93</v>
      </c>
      <c r="G914" s="10">
        <v>5</v>
      </c>
      <c r="H914" s="1" t="s">
        <v>36</v>
      </c>
    </row>
    <row r="915" spans="1:8" ht="15.75" customHeight="1" x14ac:dyDescent="0.3">
      <c r="A915" s="10">
        <v>10914</v>
      </c>
      <c r="B915" s="10">
        <v>560</v>
      </c>
      <c r="C915" s="10">
        <v>2057</v>
      </c>
      <c r="D915" s="10">
        <v>302</v>
      </c>
      <c r="E915" s="1" t="s">
        <v>76</v>
      </c>
      <c r="F915" s="1" t="s">
        <v>69</v>
      </c>
      <c r="G915" s="10">
        <v>72</v>
      </c>
      <c r="H915" s="1" t="s">
        <v>42</v>
      </c>
    </row>
    <row r="916" spans="1:8" ht="15.75" customHeight="1" x14ac:dyDescent="0.3">
      <c r="A916" s="10">
        <v>10915</v>
      </c>
      <c r="B916" s="10">
        <v>874</v>
      </c>
      <c r="C916" s="10">
        <v>2081</v>
      </c>
      <c r="D916" s="10">
        <v>318</v>
      </c>
      <c r="E916" s="1" t="s">
        <v>260</v>
      </c>
      <c r="F916" s="1" t="s">
        <v>207</v>
      </c>
      <c r="G916" s="10">
        <v>96</v>
      </c>
      <c r="H916" s="1" t="s">
        <v>39</v>
      </c>
    </row>
    <row r="917" spans="1:8" ht="15.75" customHeight="1" x14ac:dyDescent="0.3">
      <c r="A917" s="10">
        <v>10916</v>
      </c>
      <c r="B917" s="10">
        <v>802</v>
      </c>
      <c r="C917" s="10">
        <v>2020</v>
      </c>
      <c r="D917" s="10">
        <v>301</v>
      </c>
      <c r="E917" s="1" t="s">
        <v>230</v>
      </c>
      <c r="F917" s="1" t="s">
        <v>270</v>
      </c>
      <c r="G917" s="10">
        <v>38</v>
      </c>
      <c r="H917" s="1" t="s">
        <v>39</v>
      </c>
    </row>
    <row r="918" spans="1:8" ht="15.75" customHeight="1" x14ac:dyDescent="0.3">
      <c r="A918" s="10">
        <v>10917</v>
      </c>
      <c r="B918" s="10">
        <v>654</v>
      </c>
      <c r="C918" s="10">
        <v>2050</v>
      </c>
      <c r="D918" s="10">
        <v>309</v>
      </c>
      <c r="E918" s="1" t="s">
        <v>57</v>
      </c>
      <c r="F918" s="1" t="s">
        <v>116</v>
      </c>
      <c r="G918" s="10">
        <v>61</v>
      </c>
      <c r="H918" s="1" t="s">
        <v>39</v>
      </c>
    </row>
    <row r="919" spans="1:8" ht="15.75" customHeight="1" x14ac:dyDescent="0.3">
      <c r="A919" s="10">
        <v>10918</v>
      </c>
      <c r="B919" s="10">
        <v>873</v>
      </c>
      <c r="C919" s="10">
        <v>2013</v>
      </c>
      <c r="D919" s="10">
        <v>315</v>
      </c>
      <c r="E919" s="1" t="s">
        <v>65</v>
      </c>
      <c r="F919" s="1" t="s">
        <v>129</v>
      </c>
      <c r="G919" s="10">
        <v>19</v>
      </c>
      <c r="H919" s="1" t="s">
        <v>42</v>
      </c>
    </row>
    <row r="920" spans="1:8" ht="15.75" customHeight="1" x14ac:dyDescent="0.3">
      <c r="A920" s="10">
        <v>10919</v>
      </c>
      <c r="B920" s="10">
        <v>609</v>
      </c>
      <c r="C920" s="10">
        <v>2100</v>
      </c>
      <c r="D920" s="10">
        <v>307</v>
      </c>
      <c r="E920" s="1" t="s">
        <v>87</v>
      </c>
      <c r="F920" s="1" t="s">
        <v>115</v>
      </c>
      <c r="G920" s="10">
        <v>67</v>
      </c>
      <c r="H920" s="1" t="s">
        <v>36</v>
      </c>
    </row>
    <row r="921" spans="1:8" ht="15.75" customHeight="1" x14ac:dyDescent="0.3">
      <c r="A921" s="10">
        <v>10920</v>
      </c>
      <c r="B921" s="10">
        <v>549</v>
      </c>
      <c r="C921" s="10">
        <v>2057</v>
      </c>
      <c r="D921" s="10">
        <v>316</v>
      </c>
      <c r="E921" s="1" t="s">
        <v>191</v>
      </c>
      <c r="F921" s="1" t="s">
        <v>347</v>
      </c>
      <c r="G921" s="10">
        <v>100</v>
      </c>
      <c r="H921" s="1" t="s">
        <v>42</v>
      </c>
    </row>
    <row r="922" spans="1:8" ht="15.75" customHeight="1" x14ac:dyDescent="0.3">
      <c r="A922" s="10">
        <v>10921</v>
      </c>
      <c r="B922" s="10">
        <v>899</v>
      </c>
      <c r="C922" s="10">
        <v>2062</v>
      </c>
      <c r="D922" s="10">
        <v>311</v>
      </c>
      <c r="E922" s="1" t="s">
        <v>141</v>
      </c>
      <c r="F922" s="1" t="s">
        <v>405</v>
      </c>
      <c r="G922" s="10">
        <v>16</v>
      </c>
      <c r="H922" s="1" t="s">
        <v>78</v>
      </c>
    </row>
    <row r="923" spans="1:8" ht="15.75" customHeight="1" x14ac:dyDescent="0.3">
      <c r="A923" s="10">
        <v>10922</v>
      </c>
      <c r="B923" s="10">
        <v>862</v>
      </c>
      <c r="C923" s="10">
        <v>2060</v>
      </c>
      <c r="D923" s="10">
        <v>319</v>
      </c>
      <c r="E923" s="1" t="s">
        <v>58</v>
      </c>
      <c r="F923" s="1" t="s">
        <v>252</v>
      </c>
      <c r="G923" s="10">
        <v>31</v>
      </c>
      <c r="H923" s="1" t="s">
        <v>39</v>
      </c>
    </row>
    <row r="924" spans="1:8" ht="15.75" customHeight="1" x14ac:dyDescent="0.3">
      <c r="A924" s="10">
        <v>10923</v>
      </c>
      <c r="B924" s="10">
        <v>802</v>
      </c>
      <c r="C924" s="10">
        <v>2059</v>
      </c>
      <c r="D924" s="10">
        <v>320</v>
      </c>
      <c r="E924" s="1" t="s">
        <v>267</v>
      </c>
      <c r="F924" s="1" t="s">
        <v>225</v>
      </c>
      <c r="G924" s="10">
        <v>96</v>
      </c>
      <c r="H924" s="1" t="s">
        <v>42</v>
      </c>
    </row>
    <row r="925" spans="1:8" ht="15.75" customHeight="1" x14ac:dyDescent="0.3">
      <c r="A925" s="10">
        <v>10924</v>
      </c>
      <c r="B925" s="10">
        <v>699</v>
      </c>
      <c r="C925" s="10">
        <v>2056</v>
      </c>
      <c r="D925" s="10">
        <v>310</v>
      </c>
      <c r="E925" s="1" t="s">
        <v>99</v>
      </c>
      <c r="F925" s="1" t="s">
        <v>126</v>
      </c>
      <c r="G925" s="10">
        <v>49</v>
      </c>
      <c r="H925" s="1" t="s">
        <v>39</v>
      </c>
    </row>
    <row r="926" spans="1:8" ht="15.75" customHeight="1" x14ac:dyDescent="0.3">
      <c r="A926" s="10">
        <v>10925</v>
      </c>
      <c r="B926" s="10">
        <v>533</v>
      </c>
      <c r="C926" s="10">
        <v>2014</v>
      </c>
      <c r="D926" s="10">
        <v>316</v>
      </c>
      <c r="E926" s="1" t="s">
        <v>265</v>
      </c>
      <c r="F926" s="1" t="s">
        <v>126</v>
      </c>
      <c r="G926" s="10">
        <v>43</v>
      </c>
      <c r="H926" s="1" t="s">
        <v>39</v>
      </c>
    </row>
    <row r="927" spans="1:8" ht="15.75" customHeight="1" x14ac:dyDescent="0.3">
      <c r="A927" s="10">
        <v>10926</v>
      </c>
      <c r="B927" s="10">
        <v>834</v>
      </c>
      <c r="C927" s="10">
        <v>2042</v>
      </c>
      <c r="D927" s="10">
        <v>320</v>
      </c>
      <c r="E927" s="1" t="s">
        <v>404</v>
      </c>
      <c r="F927" s="1" t="s">
        <v>225</v>
      </c>
      <c r="G927" s="10">
        <v>97</v>
      </c>
      <c r="H927" s="1" t="s">
        <v>78</v>
      </c>
    </row>
    <row r="928" spans="1:8" ht="15.75" customHeight="1" x14ac:dyDescent="0.3">
      <c r="A928" s="10">
        <v>10927</v>
      </c>
      <c r="B928" s="10">
        <v>721</v>
      </c>
      <c r="C928" s="10">
        <v>2018</v>
      </c>
      <c r="D928" s="10">
        <v>306</v>
      </c>
      <c r="E928" s="1" t="s">
        <v>395</v>
      </c>
      <c r="F928" s="1" t="s">
        <v>289</v>
      </c>
      <c r="G928" s="10">
        <v>88</v>
      </c>
      <c r="H928" s="1" t="s">
        <v>42</v>
      </c>
    </row>
    <row r="929" spans="1:8" ht="15.75" customHeight="1" x14ac:dyDescent="0.3">
      <c r="A929" s="10">
        <v>10928</v>
      </c>
      <c r="B929" s="10">
        <v>872</v>
      </c>
      <c r="C929" s="10">
        <v>2059</v>
      </c>
      <c r="D929" s="10">
        <v>308</v>
      </c>
      <c r="E929" s="1" t="s">
        <v>175</v>
      </c>
      <c r="F929" s="1" t="s">
        <v>34</v>
      </c>
      <c r="G929" s="10">
        <v>44</v>
      </c>
      <c r="H929" s="1" t="s">
        <v>42</v>
      </c>
    </row>
    <row r="930" spans="1:8" ht="15.75" customHeight="1" x14ac:dyDescent="0.3">
      <c r="A930" s="10">
        <v>10929</v>
      </c>
      <c r="B930" s="10">
        <v>800</v>
      </c>
      <c r="C930" s="10">
        <v>2022</v>
      </c>
      <c r="D930" s="10">
        <v>311</v>
      </c>
      <c r="E930" s="1" t="s">
        <v>385</v>
      </c>
      <c r="F930" s="1" t="s">
        <v>109</v>
      </c>
      <c r="G930" s="10">
        <v>91</v>
      </c>
      <c r="H930" s="1" t="s">
        <v>36</v>
      </c>
    </row>
    <row r="931" spans="1:8" ht="15.75" customHeight="1" x14ac:dyDescent="0.3">
      <c r="A931" s="10">
        <v>10930</v>
      </c>
      <c r="B931" s="10">
        <v>677</v>
      </c>
      <c r="C931" s="10">
        <v>2001</v>
      </c>
      <c r="D931" s="10">
        <v>303</v>
      </c>
      <c r="E931" s="1" t="s">
        <v>392</v>
      </c>
      <c r="F931" s="1" t="s">
        <v>177</v>
      </c>
      <c r="G931" s="10">
        <v>74</v>
      </c>
      <c r="H931" s="1" t="s">
        <v>39</v>
      </c>
    </row>
    <row r="932" spans="1:8" ht="15.75" customHeight="1" x14ac:dyDescent="0.3">
      <c r="A932" s="10">
        <v>10931</v>
      </c>
      <c r="B932" s="10">
        <v>531</v>
      </c>
      <c r="C932" s="10">
        <v>2028</v>
      </c>
      <c r="D932" s="10">
        <v>317</v>
      </c>
      <c r="E932" s="1" t="s">
        <v>71</v>
      </c>
      <c r="F932" s="1" t="s">
        <v>338</v>
      </c>
      <c r="G932" s="10">
        <v>86</v>
      </c>
      <c r="H932" s="1" t="s">
        <v>36</v>
      </c>
    </row>
    <row r="933" spans="1:8" ht="15.75" customHeight="1" x14ac:dyDescent="0.3">
      <c r="A933" s="10">
        <v>10932</v>
      </c>
      <c r="B933" s="10">
        <v>684</v>
      </c>
      <c r="C933" s="10">
        <v>2070</v>
      </c>
      <c r="D933" s="10">
        <v>318</v>
      </c>
      <c r="E933" s="1" t="s">
        <v>288</v>
      </c>
      <c r="F933" s="1" t="s">
        <v>121</v>
      </c>
      <c r="G933" s="10">
        <v>69</v>
      </c>
      <c r="H933" s="1" t="s">
        <v>36</v>
      </c>
    </row>
    <row r="934" spans="1:8" ht="15.75" customHeight="1" x14ac:dyDescent="0.3">
      <c r="A934" s="10">
        <v>10933</v>
      </c>
      <c r="B934" s="10">
        <v>590</v>
      </c>
      <c r="C934" s="10">
        <v>2029</v>
      </c>
      <c r="D934" s="10">
        <v>311</v>
      </c>
      <c r="E934" s="1" t="s">
        <v>219</v>
      </c>
      <c r="F934" s="1" t="s">
        <v>213</v>
      </c>
      <c r="G934" s="10">
        <v>35</v>
      </c>
      <c r="H934" s="1" t="s">
        <v>42</v>
      </c>
    </row>
    <row r="935" spans="1:8" ht="15.75" customHeight="1" x14ac:dyDescent="0.3">
      <c r="A935" s="10">
        <v>10934</v>
      </c>
      <c r="B935" s="10">
        <v>782</v>
      </c>
      <c r="C935" s="10">
        <v>2065</v>
      </c>
      <c r="D935" s="10">
        <v>312</v>
      </c>
      <c r="E935" s="1" t="s">
        <v>371</v>
      </c>
      <c r="F935" s="1" t="s">
        <v>143</v>
      </c>
      <c r="G935" s="10">
        <v>73</v>
      </c>
      <c r="H935" s="1" t="s">
        <v>39</v>
      </c>
    </row>
    <row r="936" spans="1:8" ht="15.75" customHeight="1" x14ac:dyDescent="0.3">
      <c r="A936" s="10">
        <v>10935</v>
      </c>
      <c r="B936" s="10">
        <v>746</v>
      </c>
      <c r="C936" s="10">
        <v>2027</v>
      </c>
      <c r="D936" s="10">
        <v>301</v>
      </c>
      <c r="E936" s="1" t="s">
        <v>72</v>
      </c>
      <c r="F936" s="1" t="s">
        <v>244</v>
      </c>
      <c r="G936" s="10">
        <v>2</v>
      </c>
      <c r="H936" s="1" t="s">
        <v>36</v>
      </c>
    </row>
    <row r="937" spans="1:8" ht="15.75" customHeight="1" x14ac:dyDescent="0.3">
      <c r="A937" s="10">
        <v>10936</v>
      </c>
      <c r="B937" s="10">
        <v>652</v>
      </c>
      <c r="C937" s="10">
        <v>2054</v>
      </c>
      <c r="D937" s="10">
        <v>316</v>
      </c>
      <c r="E937" s="1" t="s">
        <v>207</v>
      </c>
      <c r="F937" s="1" t="s">
        <v>361</v>
      </c>
      <c r="G937" s="10">
        <v>17</v>
      </c>
      <c r="H937" s="1" t="s">
        <v>42</v>
      </c>
    </row>
    <row r="938" spans="1:8" ht="15.75" customHeight="1" x14ac:dyDescent="0.3">
      <c r="A938" s="10">
        <v>10937</v>
      </c>
      <c r="B938" s="10">
        <v>758</v>
      </c>
      <c r="C938" s="10">
        <v>2006</v>
      </c>
      <c r="D938" s="10">
        <v>312</v>
      </c>
      <c r="E938" s="1" t="s">
        <v>298</v>
      </c>
      <c r="F938" s="1" t="s">
        <v>376</v>
      </c>
      <c r="G938" s="10">
        <v>95</v>
      </c>
      <c r="H938" s="1" t="s">
        <v>39</v>
      </c>
    </row>
    <row r="939" spans="1:8" ht="15.75" customHeight="1" x14ac:dyDescent="0.3">
      <c r="A939" s="10">
        <v>10938</v>
      </c>
      <c r="B939" s="10">
        <v>845</v>
      </c>
      <c r="C939" s="10">
        <v>2074</v>
      </c>
      <c r="D939" s="10">
        <v>306</v>
      </c>
      <c r="E939" s="1" t="s">
        <v>93</v>
      </c>
      <c r="F939" s="1" t="s">
        <v>248</v>
      </c>
      <c r="G939" s="10">
        <v>29</v>
      </c>
      <c r="H939" s="1" t="s">
        <v>78</v>
      </c>
    </row>
    <row r="940" spans="1:8" ht="15.75" customHeight="1" x14ac:dyDescent="0.3">
      <c r="A940" s="10">
        <v>10939</v>
      </c>
      <c r="B940" s="10">
        <v>741</v>
      </c>
      <c r="C940" s="10">
        <v>2065</v>
      </c>
      <c r="D940" s="10">
        <v>313</v>
      </c>
      <c r="E940" s="1" t="s">
        <v>178</v>
      </c>
      <c r="F940" s="1" t="s">
        <v>254</v>
      </c>
      <c r="G940" s="10">
        <v>98</v>
      </c>
      <c r="H940" s="1" t="s">
        <v>42</v>
      </c>
    </row>
    <row r="941" spans="1:8" ht="15.75" customHeight="1" x14ac:dyDescent="0.3">
      <c r="A941" s="10">
        <v>10940</v>
      </c>
      <c r="B941" s="10">
        <v>779</v>
      </c>
      <c r="C941" s="10">
        <v>2053</v>
      </c>
      <c r="D941" s="10">
        <v>304</v>
      </c>
      <c r="E941" s="1" t="s">
        <v>50</v>
      </c>
      <c r="F941" s="1" t="s">
        <v>147</v>
      </c>
      <c r="G941" s="10">
        <v>16</v>
      </c>
      <c r="H941" s="1" t="s">
        <v>42</v>
      </c>
    </row>
    <row r="942" spans="1:8" ht="15.75" customHeight="1" x14ac:dyDescent="0.3">
      <c r="A942" s="10">
        <v>10941</v>
      </c>
      <c r="B942" s="10">
        <v>762</v>
      </c>
      <c r="C942" s="10">
        <v>2016</v>
      </c>
      <c r="D942" s="10">
        <v>314</v>
      </c>
      <c r="E942" s="1" t="s">
        <v>234</v>
      </c>
      <c r="F942" s="1" t="s">
        <v>161</v>
      </c>
      <c r="G942" s="10">
        <v>46</v>
      </c>
      <c r="H942" s="1" t="s">
        <v>42</v>
      </c>
    </row>
    <row r="943" spans="1:8" ht="15.75" customHeight="1" x14ac:dyDescent="0.3">
      <c r="A943" s="10">
        <v>10942</v>
      </c>
      <c r="B943" s="10">
        <v>694</v>
      </c>
      <c r="C943" s="10">
        <v>2069</v>
      </c>
      <c r="D943" s="10">
        <v>303</v>
      </c>
      <c r="E943" s="1" t="s">
        <v>208</v>
      </c>
      <c r="F943" s="1" t="s">
        <v>361</v>
      </c>
      <c r="G943" s="10">
        <v>40</v>
      </c>
      <c r="H943" s="1" t="s">
        <v>78</v>
      </c>
    </row>
    <row r="944" spans="1:8" ht="15.75" customHeight="1" x14ac:dyDescent="0.3">
      <c r="A944" s="10">
        <v>10943</v>
      </c>
      <c r="B944" s="10">
        <v>530</v>
      </c>
      <c r="C944" s="10">
        <v>2048</v>
      </c>
      <c r="D944" s="10">
        <v>311</v>
      </c>
      <c r="E944" s="1" t="s">
        <v>119</v>
      </c>
      <c r="F944" s="1" t="s">
        <v>285</v>
      </c>
      <c r="G944" s="10">
        <v>100</v>
      </c>
      <c r="H944" s="1" t="s">
        <v>36</v>
      </c>
    </row>
    <row r="945" spans="1:8" ht="15.75" customHeight="1" x14ac:dyDescent="0.3">
      <c r="A945" s="10">
        <v>10944</v>
      </c>
      <c r="B945" s="10">
        <v>605</v>
      </c>
      <c r="C945" s="10">
        <v>2004</v>
      </c>
      <c r="D945" s="10">
        <v>301</v>
      </c>
      <c r="E945" s="1" t="s">
        <v>88</v>
      </c>
      <c r="F945" s="1" t="s">
        <v>307</v>
      </c>
      <c r="G945" s="10">
        <v>67</v>
      </c>
      <c r="H945" s="1" t="s">
        <v>39</v>
      </c>
    </row>
    <row r="946" spans="1:8" ht="15.75" customHeight="1" x14ac:dyDescent="0.3">
      <c r="A946" s="10">
        <v>10945</v>
      </c>
      <c r="B946" s="10">
        <v>661</v>
      </c>
      <c r="C946" s="10">
        <v>2031</v>
      </c>
      <c r="D946" s="10">
        <v>312</v>
      </c>
      <c r="E946" s="1" t="s">
        <v>55</v>
      </c>
      <c r="F946" s="1" t="s">
        <v>87</v>
      </c>
      <c r="G946" s="10">
        <v>38</v>
      </c>
      <c r="H946" s="1" t="s">
        <v>39</v>
      </c>
    </row>
    <row r="947" spans="1:8" ht="15.75" customHeight="1" x14ac:dyDescent="0.3">
      <c r="A947" s="10">
        <v>10946</v>
      </c>
      <c r="B947" s="10">
        <v>511</v>
      </c>
      <c r="C947" s="10">
        <v>2088</v>
      </c>
      <c r="D947" s="10">
        <v>320</v>
      </c>
      <c r="E947" s="1" t="s">
        <v>233</v>
      </c>
      <c r="F947" s="1" t="s">
        <v>107</v>
      </c>
      <c r="G947" s="10">
        <v>13</v>
      </c>
      <c r="H947" s="1" t="s">
        <v>42</v>
      </c>
    </row>
    <row r="948" spans="1:8" ht="15.75" customHeight="1" x14ac:dyDescent="0.3">
      <c r="A948" s="10">
        <v>10947</v>
      </c>
      <c r="B948" s="10">
        <v>835</v>
      </c>
      <c r="C948" s="10">
        <v>2034</v>
      </c>
      <c r="D948" s="10">
        <v>301</v>
      </c>
      <c r="E948" s="1" t="s">
        <v>124</v>
      </c>
      <c r="F948" s="1" t="s">
        <v>126</v>
      </c>
      <c r="G948" s="10">
        <v>95</v>
      </c>
      <c r="H948" s="1" t="s">
        <v>78</v>
      </c>
    </row>
    <row r="949" spans="1:8" ht="15.75" customHeight="1" x14ac:dyDescent="0.3">
      <c r="A949" s="10">
        <v>10948</v>
      </c>
      <c r="B949" s="10">
        <v>621</v>
      </c>
      <c r="C949" s="10">
        <v>2026</v>
      </c>
      <c r="D949" s="10">
        <v>319</v>
      </c>
      <c r="E949" s="1" t="s">
        <v>56</v>
      </c>
      <c r="F949" s="1" t="s">
        <v>193</v>
      </c>
      <c r="G949" s="10">
        <v>40</v>
      </c>
      <c r="H949" s="1" t="s">
        <v>36</v>
      </c>
    </row>
    <row r="950" spans="1:8" ht="15.75" customHeight="1" x14ac:dyDescent="0.3">
      <c r="A950" s="10">
        <v>10949</v>
      </c>
      <c r="B950" s="10">
        <v>690</v>
      </c>
      <c r="C950" s="10">
        <v>2055</v>
      </c>
      <c r="D950" s="10">
        <v>304</v>
      </c>
      <c r="E950" s="1" t="s">
        <v>309</v>
      </c>
      <c r="F950" s="1" t="s">
        <v>361</v>
      </c>
      <c r="G950" s="10">
        <v>9</v>
      </c>
      <c r="H950" s="1" t="s">
        <v>42</v>
      </c>
    </row>
    <row r="951" spans="1:8" ht="15.75" customHeight="1" x14ac:dyDescent="0.3">
      <c r="A951" s="10">
        <v>10950</v>
      </c>
      <c r="B951" s="10">
        <v>632</v>
      </c>
      <c r="C951" s="10">
        <v>2064</v>
      </c>
      <c r="D951" s="10">
        <v>302</v>
      </c>
      <c r="E951" s="1" t="s">
        <v>96</v>
      </c>
      <c r="F951" s="1" t="s">
        <v>302</v>
      </c>
      <c r="G951" s="10">
        <v>32</v>
      </c>
      <c r="H951" s="1" t="s">
        <v>42</v>
      </c>
    </row>
    <row r="952" spans="1:8" ht="15.75" customHeight="1" x14ac:dyDescent="0.3">
      <c r="A952" s="10">
        <v>10951</v>
      </c>
      <c r="B952" s="10">
        <v>668</v>
      </c>
      <c r="C952" s="10">
        <v>2022</v>
      </c>
      <c r="D952" s="10">
        <v>320</v>
      </c>
      <c r="E952" s="1" t="s">
        <v>62</v>
      </c>
      <c r="F952" s="1" t="s">
        <v>259</v>
      </c>
      <c r="G952" s="10">
        <v>50</v>
      </c>
      <c r="H952" s="1" t="s">
        <v>42</v>
      </c>
    </row>
    <row r="953" spans="1:8" ht="15.75" customHeight="1" x14ac:dyDescent="0.3">
      <c r="A953" s="10">
        <v>10952</v>
      </c>
      <c r="B953" s="10">
        <v>541</v>
      </c>
      <c r="C953" s="10">
        <v>2045</v>
      </c>
      <c r="D953" s="10">
        <v>311</v>
      </c>
      <c r="E953" s="1" t="s">
        <v>376</v>
      </c>
      <c r="F953" s="1" t="s">
        <v>317</v>
      </c>
      <c r="G953" s="10">
        <v>27</v>
      </c>
      <c r="H953" s="1" t="s">
        <v>36</v>
      </c>
    </row>
    <row r="954" spans="1:8" ht="15.75" customHeight="1" x14ac:dyDescent="0.3">
      <c r="A954" s="10">
        <v>10953</v>
      </c>
      <c r="B954" s="10">
        <v>814</v>
      </c>
      <c r="C954" s="10">
        <v>2047</v>
      </c>
      <c r="D954" s="10">
        <v>306</v>
      </c>
      <c r="E954" s="1" t="s">
        <v>226</v>
      </c>
      <c r="F954" s="1" t="s">
        <v>101</v>
      </c>
      <c r="G954" s="10">
        <v>76</v>
      </c>
      <c r="H954" s="1" t="s">
        <v>39</v>
      </c>
    </row>
    <row r="955" spans="1:8" ht="15.75" customHeight="1" x14ac:dyDescent="0.3">
      <c r="A955" s="10">
        <v>10954</v>
      </c>
      <c r="B955" s="10">
        <v>795</v>
      </c>
      <c r="C955" s="10">
        <v>2008</v>
      </c>
      <c r="D955" s="10">
        <v>315</v>
      </c>
      <c r="E955" s="1" t="s">
        <v>331</v>
      </c>
      <c r="F955" s="1" t="s">
        <v>64</v>
      </c>
      <c r="G955" s="10">
        <v>80</v>
      </c>
      <c r="H955" s="1" t="s">
        <v>36</v>
      </c>
    </row>
    <row r="956" spans="1:8" ht="15.75" customHeight="1" x14ac:dyDescent="0.3">
      <c r="A956" s="10">
        <v>10955</v>
      </c>
      <c r="B956" s="10">
        <v>579</v>
      </c>
      <c r="C956" s="10">
        <v>2047</v>
      </c>
      <c r="D956" s="10">
        <v>311</v>
      </c>
      <c r="E956" s="1" t="s">
        <v>126</v>
      </c>
      <c r="F956" s="1" t="s">
        <v>63</v>
      </c>
      <c r="G956" s="10">
        <v>38</v>
      </c>
      <c r="H956" s="1" t="s">
        <v>42</v>
      </c>
    </row>
    <row r="957" spans="1:8" ht="15.75" customHeight="1" x14ac:dyDescent="0.3">
      <c r="A957" s="10">
        <v>10956</v>
      </c>
      <c r="B957" s="10">
        <v>752</v>
      </c>
      <c r="C957" s="10">
        <v>2046</v>
      </c>
      <c r="D957" s="10">
        <v>317</v>
      </c>
      <c r="E957" s="1" t="s">
        <v>91</v>
      </c>
      <c r="F957" s="1" t="s">
        <v>82</v>
      </c>
      <c r="G957" s="10">
        <v>73</v>
      </c>
      <c r="H957" s="1" t="s">
        <v>42</v>
      </c>
    </row>
    <row r="958" spans="1:8" ht="15.75" customHeight="1" x14ac:dyDescent="0.3">
      <c r="A958" s="10">
        <v>10957</v>
      </c>
      <c r="B958" s="10">
        <v>666</v>
      </c>
      <c r="C958" s="10">
        <v>2024</v>
      </c>
      <c r="D958" s="10">
        <v>302</v>
      </c>
      <c r="E958" s="1" t="s">
        <v>126</v>
      </c>
      <c r="F958" s="1" t="s">
        <v>63</v>
      </c>
      <c r="G958" s="10">
        <v>24</v>
      </c>
      <c r="H958" s="1" t="s">
        <v>36</v>
      </c>
    </row>
    <row r="959" spans="1:8" ht="15.75" customHeight="1" x14ac:dyDescent="0.3">
      <c r="A959" s="10">
        <v>10958</v>
      </c>
      <c r="B959" s="10">
        <v>514</v>
      </c>
      <c r="C959" s="10">
        <v>2079</v>
      </c>
      <c r="D959" s="10">
        <v>306</v>
      </c>
      <c r="E959" s="1" t="s">
        <v>98</v>
      </c>
      <c r="F959" s="1" t="s">
        <v>126</v>
      </c>
      <c r="G959" s="10">
        <v>84</v>
      </c>
      <c r="H959" s="1" t="s">
        <v>78</v>
      </c>
    </row>
    <row r="960" spans="1:8" ht="15.75" customHeight="1" x14ac:dyDescent="0.3">
      <c r="A960" s="10">
        <v>10959</v>
      </c>
      <c r="B960" s="10">
        <v>723</v>
      </c>
      <c r="C960" s="10">
        <v>2032</v>
      </c>
      <c r="D960" s="10">
        <v>317</v>
      </c>
      <c r="E960" s="1" t="s">
        <v>133</v>
      </c>
      <c r="F960" s="1" t="s">
        <v>220</v>
      </c>
      <c r="G960" s="10">
        <v>97</v>
      </c>
      <c r="H960" s="1" t="s">
        <v>42</v>
      </c>
    </row>
    <row r="961" spans="1:8" ht="15.75" customHeight="1" x14ac:dyDescent="0.3">
      <c r="A961" s="10">
        <v>10960</v>
      </c>
      <c r="B961" s="10">
        <v>841</v>
      </c>
      <c r="C961" s="10">
        <v>2020</v>
      </c>
      <c r="D961" s="10">
        <v>311</v>
      </c>
      <c r="E961" s="1" t="s">
        <v>102</v>
      </c>
      <c r="F961" s="1" t="s">
        <v>103</v>
      </c>
      <c r="G961" s="10">
        <v>9</v>
      </c>
      <c r="H961" s="1" t="s">
        <v>42</v>
      </c>
    </row>
    <row r="962" spans="1:8" ht="15.75" customHeight="1" x14ac:dyDescent="0.3">
      <c r="A962" s="10">
        <v>10961</v>
      </c>
      <c r="B962" s="10">
        <v>756</v>
      </c>
      <c r="C962" s="10">
        <v>2044</v>
      </c>
      <c r="D962" s="10">
        <v>312</v>
      </c>
      <c r="E962" s="1" t="s">
        <v>373</v>
      </c>
      <c r="F962" s="1" t="s">
        <v>61</v>
      </c>
      <c r="G962" s="10">
        <v>87</v>
      </c>
      <c r="H962" s="1" t="s">
        <v>42</v>
      </c>
    </row>
    <row r="963" spans="1:8" ht="15.75" customHeight="1" x14ac:dyDescent="0.3">
      <c r="A963" s="10">
        <v>10962</v>
      </c>
      <c r="B963" s="10">
        <v>732</v>
      </c>
      <c r="C963" s="10">
        <v>2053</v>
      </c>
      <c r="D963" s="10">
        <v>314</v>
      </c>
      <c r="E963" s="1" t="s">
        <v>386</v>
      </c>
      <c r="F963" s="1" t="s">
        <v>202</v>
      </c>
      <c r="G963" s="10">
        <v>13</v>
      </c>
      <c r="H963" s="1" t="s">
        <v>42</v>
      </c>
    </row>
    <row r="964" spans="1:8" ht="15.75" customHeight="1" x14ac:dyDescent="0.3">
      <c r="A964" s="10">
        <v>10963</v>
      </c>
      <c r="B964" s="10">
        <v>548</v>
      </c>
      <c r="C964" s="10">
        <v>2090</v>
      </c>
      <c r="D964" s="10">
        <v>303</v>
      </c>
      <c r="E964" s="1" t="s">
        <v>200</v>
      </c>
      <c r="F964" s="1" t="s">
        <v>88</v>
      </c>
      <c r="G964" s="10">
        <v>7</v>
      </c>
      <c r="H964" s="1" t="s">
        <v>39</v>
      </c>
    </row>
    <row r="965" spans="1:8" ht="15.75" customHeight="1" x14ac:dyDescent="0.3">
      <c r="A965" s="10">
        <v>10964</v>
      </c>
      <c r="B965" s="10">
        <v>867</v>
      </c>
      <c r="C965" s="10">
        <v>2026</v>
      </c>
      <c r="D965" s="10">
        <v>311</v>
      </c>
      <c r="E965" s="1" t="s">
        <v>158</v>
      </c>
      <c r="F965" s="1" t="s">
        <v>335</v>
      </c>
      <c r="G965" s="10">
        <v>91</v>
      </c>
      <c r="H965" s="1" t="s">
        <v>39</v>
      </c>
    </row>
    <row r="966" spans="1:8" ht="15.75" customHeight="1" x14ac:dyDescent="0.3">
      <c r="A966" s="10">
        <v>10965</v>
      </c>
      <c r="B966" s="10">
        <v>537</v>
      </c>
      <c r="C966" s="10">
        <v>2022</v>
      </c>
      <c r="D966" s="10">
        <v>309</v>
      </c>
      <c r="E966" s="1" t="s">
        <v>65</v>
      </c>
      <c r="F966" s="1" t="s">
        <v>66</v>
      </c>
      <c r="G966" s="10">
        <v>97</v>
      </c>
      <c r="H966" s="1" t="s">
        <v>78</v>
      </c>
    </row>
    <row r="967" spans="1:8" ht="15.75" customHeight="1" x14ac:dyDescent="0.3">
      <c r="A967" s="10">
        <v>10966</v>
      </c>
      <c r="B967" s="10">
        <v>807</v>
      </c>
      <c r="C967" s="10">
        <v>2021</v>
      </c>
      <c r="D967" s="10">
        <v>308</v>
      </c>
      <c r="E967" s="1" t="s">
        <v>75</v>
      </c>
      <c r="F967" s="1" t="s">
        <v>343</v>
      </c>
      <c r="G967" s="10">
        <v>34</v>
      </c>
      <c r="H967" s="1" t="s">
        <v>78</v>
      </c>
    </row>
    <row r="968" spans="1:8" ht="15.75" customHeight="1" x14ac:dyDescent="0.3">
      <c r="A968" s="10">
        <v>10967</v>
      </c>
      <c r="B968" s="10">
        <v>831</v>
      </c>
      <c r="C968" s="10">
        <v>2002</v>
      </c>
      <c r="D968" s="10">
        <v>309</v>
      </c>
      <c r="E968" s="1" t="s">
        <v>69</v>
      </c>
      <c r="F968" s="1" t="s">
        <v>89</v>
      </c>
      <c r="G968" s="10">
        <v>58</v>
      </c>
      <c r="H968" s="1" t="s">
        <v>39</v>
      </c>
    </row>
    <row r="969" spans="1:8" ht="15.75" customHeight="1" x14ac:dyDescent="0.3">
      <c r="A969" s="10">
        <v>10968</v>
      </c>
      <c r="B969" s="10">
        <v>667</v>
      </c>
      <c r="C969" s="10">
        <v>2073</v>
      </c>
      <c r="D969" s="10">
        <v>316</v>
      </c>
      <c r="E969" s="1" t="s">
        <v>203</v>
      </c>
      <c r="F969" s="1" t="s">
        <v>256</v>
      </c>
      <c r="G969" s="10">
        <v>63</v>
      </c>
      <c r="H969" s="1" t="s">
        <v>36</v>
      </c>
    </row>
    <row r="970" spans="1:8" ht="15.75" customHeight="1" x14ac:dyDescent="0.3">
      <c r="A970" s="10">
        <v>10969</v>
      </c>
      <c r="B970" s="10">
        <v>869</v>
      </c>
      <c r="C970" s="10">
        <v>2038</v>
      </c>
      <c r="D970" s="10">
        <v>315</v>
      </c>
      <c r="E970" s="1" t="s">
        <v>167</v>
      </c>
      <c r="F970" s="1" t="s">
        <v>132</v>
      </c>
      <c r="G970" s="10">
        <v>41</v>
      </c>
      <c r="H970" s="1" t="s">
        <v>39</v>
      </c>
    </row>
    <row r="971" spans="1:8" ht="15.75" customHeight="1" x14ac:dyDescent="0.3">
      <c r="A971" s="10">
        <v>10970</v>
      </c>
      <c r="B971" s="10">
        <v>592</v>
      </c>
      <c r="C971" s="10">
        <v>2049</v>
      </c>
      <c r="D971" s="10">
        <v>304</v>
      </c>
      <c r="E971" s="1" t="s">
        <v>279</v>
      </c>
      <c r="F971" s="1" t="s">
        <v>350</v>
      </c>
      <c r="G971" s="10">
        <v>20</v>
      </c>
      <c r="H971" s="1" t="s">
        <v>36</v>
      </c>
    </row>
    <row r="972" spans="1:8" ht="15.75" customHeight="1" x14ac:dyDescent="0.3">
      <c r="A972" s="10">
        <v>10971</v>
      </c>
      <c r="B972" s="10">
        <v>571</v>
      </c>
      <c r="C972" s="10">
        <v>2052</v>
      </c>
      <c r="D972" s="10">
        <v>304</v>
      </c>
      <c r="E972" s="1" t="s">
        <v>118</v>
      </c>
      <c r="F972" s="1" t="s">
        <v>372</v>
      </c>
      <c r="G972" s="10">
        <v>94</v>
      </c>
      <c r="H972" s="1" t="s">
        <v>36</v>
      </c>
    </row>
    <row r="973" spans="1:8" ht="15.75" customHeight="1" x14ac:dyDescent="0.3">
      <c r="A973" s="10">
        <v>10972</v>
      </c>
      <c r="B973" s="10">
        <v>764</v>
      </c>
      <c r="C973" s="10">
        <v>2025</v>
      </c>
      <c r="D973" s="10">
        <v>304</v>
      </c>
      <c r="E973" s="1" t="s">
        <v>224</v>
      </c>
      <c r="F973" s="1" t="s">
        <v>234</v>
      </c>
      <c r="G973" s="10">
        <v>33</v>
      </c>
      <c r="H973" s="1" t="s">
        <v>42</v>
      </c>
    </row>
    <row r="974" spans="1:8" ht="15.75" customHeight="1" x14ac:dyDescent="0.3">
      <c r="A974" s="10">
        <v>10973</v>
      </c>
      <c r="B974" s="10">
        <v>656</v>
      </c>
      <c r="C974" s="10">
        <v>2079</v>
      </c>
      <c r="D974" s="10">
        <v>303</v>
      </c>
      <c r="E974" s="1" t="s">
        <v>402</v>
      </c>
      <c r="F974" s="1" t="s">
        <v>292</v>
      </c>
      <c r="G974" s="10">
        <v>15</v>
      </c>
      <c r="H974" s="1" t="s">
        <v>39</v>
      </c>
    </row>
    <row r="975" spans="1:8" ht="15.75" customHeight="1" x14ac:dyDescent="0.3">
      <c r="A975" s="10">
        <v>10974</v>
      </c>
      <c r="B975" s="10">
        <v>647</v>
      </c>
      <c r="C975" s="10">
        <v>2068</v>
      </c>
      <c r="D975" s="10">
        <v>306</v>
      </c>
      <c r="E975" s="1" t="s">
        <v>236</v>
      </c>
      <c r="F975" s="1" t="s">
        <v>161</v>
      </c>
      <c r="G975" s="10">
        <v>56</v>
      </c>
      <c r="H975" s="1" t="s">
        <v>78</v>
      </c>
    </row>
    <row r="976" spans="1:8" ht="15.75" customHeight="1" x14ac:dyDescent="0.3">
      <c r="A976" s="10">
        <v>10975</v>
      </c>
      <c r="B976" s="10">
        <v>549</v>
      </c>
      <c r="C976" s="10">
        <v>2054</v>
      </c>
      <c r="D976" s="10">
        <v>317</v>
      </c>
      <c r="E976" s="1" t="s">
        <v>182</v>
      </c>
      <c r="F976" s="1" t="s">
        <v>375</v>
      </c>
      <c r="G976" s="10">
        <v>63</v>
      </c>
      <c r="H976" s="1" t="s">
        <v>36</v>
      </c>
    </row>
    <row r="977" spans="1:8" ht="15.75" customHeight="1" x14ac:dyDescent="0.3">
      <c r="A977" s="10">
        <v>10976</v>
      </c>
      <c r="B977" s="10">
        <v>723</v>
      </c>
      <c r="C977" s="10">
        <v>2075</v>
      </c>
      <c r="D977" s="10">
        <v>311</v>
      </c>
      <c r="E977" s="1" t="s">
        <v>275</v>
      </c>
      <c r="F977" s="1" t="s">
        <v>45</v>
      </c>
      <c r="G977" s="10">
        <v>66</v>
      </c>
      <c r="H977" s="1" t="s">
        <v>39</v>
      </c>
    </row>
    <row r="978" spans="1:8" ht="15.75" customHeight="1" x14ac:dyDescent="0.3">
      <c r="A978" s="10">
        <v>10977</v>
      </c>
      <c r="B978" s="10">
        <v>551</v>
      </c>
      <c r="C978" s="10">
        <v>2100</v>
      </c>
      <c r="D978" s="10">
        <v>315</v>
      </c>
      <c r="E978" s="1" t="s">
        <v>302</v>
      </c>
      <c r="F978" s="1" t="s">
        <v>227</v>
      </c>
      <c r="G978" s="10">
        <v>80</v>
      </c>
      <c r="H978" s="1" t="s">
        <v>78</v>
      </c>
    </row>
    <row r="979" spans="1:8" ht="15.75" customHeight="1" x14ac:dyDescent="0.3">
      <c r="A979" s="10">
        <v>10978</v>
      </c>
      <c r="B979" s="10">
        <v>898</v>
      </c>
      <c r="C979" s="10">
        <v>2071</v>
      </c>
      <c r="D979" s="10">
        <v>318</v>
      </c>
      <c r="E979" s="1" t="s">
        <v>364</v>
      </c>
      <c r="F979" s="1" t="s">
        <v>370</v>
      </c>
      <c r="G979" s="10">
        <v>26</v>
      </c>
      <c r="H979" s="1" t="s">
        <v>78</v>
      </c>
    </row>
    <row r="980" spans="1:8" ht="15.75" customHeight="1" x14ac:dyDescent="0.3">
      <c r="A980" s="10">
        <v>10979</v>
      </c>
      <c r="B980" s="10">
        <v>529</v>
      </c>
      <c r="C980" s="10">
        <v>2073</v>
      </c>
      <c r="D980" s="10">
        <v>309</v>
      </c>
      <c r="E980" s="1" t="s">
        <v>356</v>
      </c>
      <c r="F980" s="1" t="s">
        <v>238</v>
      </c>
      <c r="G980" s="10">
        <v>18</v>
      </c>
      <c r="H980" s="1" t="s">
        <v>39</v>
      </c>
    </row>
    <row r="981" spans="1:8" ht="15.75" customHeight="1" x14ac:dyDescent="0.3">
      <c r="A981" s="10">
        <v>10980</v>
      </c>
      <c r="B981" s="10">
        <v>606</v>
      </c>
      <c r="C981" s="10">
        <v>2004</v>
      </c>
      <c r="D981" s="10">
        <v>306</v>
      </c>
      <c r="E981" s="1" t="s">
        <v>70</v>
      </c>
      <c r="F981" s="1" t="s">
        <v>339</v>
      </c>
      <c r="G981" s="10">
        <v>50</v>
      </c>
      <c r="H981" s="1" t="s">
        <v>39</v>
      </c>
    </row>
    <row r="982" spans="1:8" ht="15.75" customHeight="1" x14ac:dyDescent="0.3">
      <c r="A982" s="10">
        <v>10981</v>
      </c>
      <c r="B982" s="10">
        <v>778</v>
      </c>
      <c r="C982" s="10">
        <v>2100</v>
      </c>
      <c r="D982" s="10">
        <v>316</v>
      </c>
      <c r="E982" s="1" t="s">
        <v>293</v>
      </c>
      <c r="F982" s="1" t="s">
        <v>196</v>
      </c>
      <c r="G982" s="10">
        <v>35</v>
      </c>
      <c r="H982" s="1" t="s">
        <v>78</v>
      </c>
    </row>
    <row r="983" spans="1:8" ht="15.75" customHeight="1" x14ac:dyDescent="0.3">
      <c r="A983" s="10">
        <v>10982</v>
      </c>
      <c r="B983" s="10">
        <v>551</v>
      </c>
      <c r="C983" s="10">
        <v>2099</v>
      </c>
      <c r="D983" s="10">
        <v>318</v>
      </c>
      <c r="E983" s="1" t="s">
        <v>296</v>
      </c>
      <c r="F983" s="1" t="s">
        <v>83</v>
      </c>
      <c r="G983" s="10">
        <v>85</v>
      </c>
      <c r="H983" s="1" t="s">
        <v>42</v>
      </c>
    </row>
    <row r="984" spans="1:8" ht="15.75" customHeight="1" x14ac:dyDescent="0.3">
      <c r="A984" s="10">
        <v>10983</v>
      </c>
      <c r="B984" s="10">
        <v>775</v>
      </c>
      <c r="C984" s="10">
        <v>2098</v>
      </c>
      <c r="D984" s="10">
        <v>314</v>
      </c>
      <c r="E984" s="1" t="s">
        <v>399</v>
      </c>
      <c r="F984" s="1" t="s">
        <v>158</v>
      </c>
      <c r="G984" s="10">
        <v>55</v>
      </c>
      <c r="H984" s="1" t="s">
        <v>78</v>
      </c>
    </row>
    <row r="985" spans="1:8" ht="15.75" customHeight="1" x14ac:dyDescent="0.3">
      <c r="A985" s="10">
        <v>10984</v>
      </c>
      <c r="B985" s="10">
        <v>655</v>
      </c>
      <c r="C985" s="10">
        <v>2092</v>
      </c>
      <c r="D985" s="10">
        <v>312</v>
      </c>
      <c r="E985" s="1" t="s">
        <v>81</v>
      </c>
      <c r="F985" s="1" t="s">
        <v>88</v>
      </c>
      <c r="G985" s="10">
        <v>80</v>
      </c>
      <c r="H985" s="1" t="s">
        <v>36</v>
      </c>
    </row>
    <row r="986" spans="1:8" ht="15.75" customHeight="1" x14ac:dyDescent="0.3">
      <c r="A986" s="10">
        <v>10985</v>
      </c>
      <c r="B986" s="10">
        <v>774</v>
      </c>
      <c r="C986" s="10">
        <v>2097</v>
      </c>
      <c r="D986" s="10">
        <v>305</v>
      </c>
      <c r="E986" s="1" t="s">
        <v>149</v>
      </c>
      <c r="F986" s="1" t="s">
        <v>358</v>
      </c>
      <c r="G986" s="10">
        <v>33</v>
      </c>
      <c r="H986" s="1" t="s">
        <v>39</v>
      </c>
    </row>
    <row r="987" spans="1:8" ht="15.75" customHeight="1" x14ac:dyDescent="0.3">
      <c r="A987" s="10">
        <v>10986</v>
      </c>
      <c r="B987" s="10">
        <v>509</v>
      </c>
      <c r="C987" s="10">
        <v>2038</v>
      </c>
      <c r="D987" s="10">
        <v>310</v>
      </c>
      <c r="E987" s="1" t="s">
        <v>368</v>
      </c>
      <c r="F987" s="1" t="s">
        <v>210</v>
      </c>
      <c r="G987" s="10">
        <v>98</v>
      </c>
      <c r="H987" s="1" t="s">
        <v>42</v>
      </c>
    </row>
    <row r="988" spans="1:8" ht="15.75" customHeight="1" x14ac:dyDescent="0.3">
      <c r="A988" s="10">
        <v>10987</v>
      </c>
      <c r="B988" s="10">
        <v>600</v>
      </c>
      <c r="C988" s="10">
        <v>2096</v>
      </c>
      <c r="D988" s="10">
        <v>310</v>
      </c>
      <c r="E988" s="1" t="s">
        <v>347</v>
      </c>
      <c r="F988" s="1" t="s">
        <v>170</v>
      </c>
      <c r="G988" s="10">
        <v>65</v>
      </c>
      <c r="H988" s="1" t="s">
        <v>36</v>
      </c>
    </row>
    <row r="989" spans="1:8" ht="15.75" customHeight="1" x14ac:dyDescent="0.3">
      <c r="A989" s="10">
        <v>10988</v>
      </c>
      <c r="B989" s="10">
        <v>546</v>
      </c>
      <c r="C989" s="10">
        <v>2020</v>
      </c>
      <c r="D989" s="10">
        <v>318</v>
      </c>
      <c r="E989" s="1" t="s">
        <v>116</v>
      </c>
      <c r="F989" s="1" t="s">
        <v>252</v>
      </c>
      <c r="G989" s="10">
        <v>66</v>
      </c>
      <c r="H989" s="1" t="s">
        <v>36</v>
      </c>
    </row>
    <row r="990" spans="1:8" ht="15.75" customHeight="1" x14ac:dyDescent="0.3">
      <c r="A990" s="10">
        <v>10989</v>
      </c>
      <c r="B990" s="10">
        <v>622</v>
      </c>
      <c r="C990" s="10">
        <v>2099</v>
      </c>
      <c r="D990" s="10">
        <v>316</v>
      </c>
      <c r="E990" s="1" t="s">
        <v>115</v>
      </c>
      <c r="F990" s="1" t="s">
        <v>385</v>
      </c>
      <c r="G990" s="10">
        <v>25</v>
      </c>
      <c r="H990" s="1" t="s">
        <v>42</v>
      </c>
    </row>
    <row r="991" spans="1:8" ht="15.75" customHeight="1" x14ac:dyDescent="0.3">
      <c r="A991" s="10">
        <v>10990</v>
      </c>
      <c r="B991" s="10">
        <v>738</v>
      </c>
      <c r="C991" s="10">
        <v>2058</v>
      </c>
      <c r="D991" s="10">
        <v>305</v>
      </c>
      <c r="E991" s="1" t="s">
        <v>301</v>
      </c>
      <c r="F991" s="1" t="s">
        <v>362</v>
      </c>
      <c r="G991" s="10">
        <v>24</v>
      </c>
      <c r="H991" s="1" t="s">
        <v>36</v>
      </c>
    </row>
    <row r="992" spans="1:8" ht="15.75" customHeight="1" x14ac:dyDescent="0.3">
      <c r="A992" s="10">
        <v>10991</v>
      </c>
      <c r="B992" s="10">
        <v>755</v>
      </c>
      <c r="C992" s="10">
        <v>2023</v>
      </c>
      <c r="D992" s="10">
        <v>304</v>
      </c>
      <c r="E992" s="1" t="s">
        <v>159</v>
      </c>
      <c r="F992" s="1" t="s">
        <v>226</v>
      </c>
      <c r="G992" s="10">
        <v>90</v>
      </c>
      <c r="H992" s="1" t="s">
        <v>39</v>
      </c>
    </row>
    <row r="993" spans="1:8" ht="15.75" customHeight="1" x14ac:dyDescent="0.3">
      <c r="A993" s="10">
        <v>10992</v>
      </c>
      <c r="B993" s="10">
        <v>880</v>
      </c>
      <c r="C993" s="10">
        <v>2039</v>
      </c>
      <c r="D993" s="10">
        <v>313</v>
      </c>
      <c r="E993" s="1" t="s">
        <v>133</v>
      </c>
      <c r="F993" s="1" t="s">
        <v>82</v>
      </c>
      <c r="G993" s="10">
        <v>46</v>
      </c>
      <c r="H993" s="1" t="s">
        <v>78</v>
      </c>
    </row>
    <row r="994" spans="1:8" ht="15.75" customHeight="1" x14ac:dyDescent="0.3">
      <c r="A994" s="10">
        <v>10993</v>
      </c>
      <c r="B994" s="10">
        <v>889</v>
      </c>
      <c r="C994" s="10">
        <v>2034</v>
      </c>
      <c r="D994" s="10">
        <v>306</v>
      </c>
      <c r="E994" s="1" t="s">
        <v>162</v>
      </c>
      <c r="F994" s="1" t="s">
        <v>357</v>
      </c>
      <c r="G994" s="10">
        <v>15</v>
      </c>
      <c r="H994" s="1" t="s">
        <v>42</v>
      </c>
    </row>
    <row r="995" spans="1:8" ht="15.75" customHeight="1" x14ac:dyDescent="0.3">
      <c r="A995" s="10">
        <v>10994</v>
      </c>
      <c r="B995" s="10">
        <v>550</v>
      </c>
      <c r="C995" s="10">
        <v>2041</v>
      </c>
      <c r="D995" s="10">
        <v>301</v>
      </c>
      <c r="E995" s="1" t="s">
        <v>263</v>
      </c>
      <c r="F995" s="1" t="s">
        <v>95</v>
      </c>
      <c r="G995" s="10">
        <v>98</v>
      </c>
      <c r="H995" s="1" t="s">
        <v>42</v>
      </c>
    </row>
    <row r="996" spans="1:8" ht="15.75" customHeight="1" x14ac:dyDescent="0.3">
      <c r="A996" s="10">
        <v>10995</v>
      </c>
      <c r="B996" s="10">
        <v>503</v>
      </c>
      <c r="C996" s="10">
        <v>2064</v>
      </c>
      <c r="D996" s="10">
        <v>312</v>
      </c>
      <c r="E996" s="1" t="s">
        <v>241</v>
      </c>
      <c r="F996" s="1" t="s">
        <v>217</v>
      </c>
      <c r="G996" s="10">
        <v>64</v>
      </c>
      <c r="H996" s="1" t="s">
        <v>78</v>
      </c>
    </row>
    <row r="997" spans="1:8" ht="15.75" customHeight="1" x14ac:dyDescent="0.3">
      <c r="A997" s="10">
        <v>10996</v>
      </c>
      <c r="B997" s="10">
        <v>709</v>
      </c>
      <c r="C997" s="10">
        <v>2037</v>
      </c>
      <c r="D997" s="10">
        <v>312</v>
      </c>
      <c r="E997" s="1" t="s">
        <v>218</v>
      </c>
      <c r="F997" s="1" t="s">
        <v>180</v>
      </c>
      <c r="G997" s="10">
        <v>20</v>
      </c>
      <c r="H997" s="1" t="s">
        <v>78</v>
      </c>
    </row>
    <row r="998" spans="1:8" ht="15.75" customHeight="1" x14ac:dyDescent="0.3">
      <c r="A998" s="10">
        <v>10997</v>
      </c>
      <c r="B998" s="10">
        <v>509</v>
      </c>
      <c r="C998" s="10">
        <v>2022</v>
      </c>
      <c r="D998" s="10">
        <v>315</v>
      </c>
      <c r="E998" s="1" t="s">
        <v>239</v>
      </c>
      <c r="F998" s="1" t="s">
        <v>303</v>
      </c>
      <c r="G998" s="10">
        <v>28</v>
      </c>
      <c r="H998" s="1" t="s">
        <v>39</v>
      </c>
    </row>
    <row r="999" spans="1:8" ht="15.75" customHeight="1" x14ac:dyDescent="0.3">
      <c r="A999" s="10">
        <v>10998</v>
      </c>
      <c r="B999" s="10">
        <v>551</v>
      </c>
      <c r="C999" s="10">
        <v>2076</v>
      </c>
      <c r="D999" s="10">
        <v>315</v>
      </c>
      <c r="E999" s="1" t="s">
        <v>360</v>
      </c>
      <c r="F999" s="1" t="s">
        <v>406</v>
      </c>
      <c r="G999" s="10">
        <v>37</v>
      </c>
      <c r="H999" s="1" t="s">
        <v>36</v>
      </c>
    </row>
    <row r="1000" spans="1:8" ht="15.75" customHeight="1" x14ac:dyDescent="0.3">
      <c r="A1000" s="10">
        <v>10999</v>
      </c>
      <c r="B1000" s="10">
        <v>878</v>
      </c>
      <c r="C1000" s="10">
        <v>2028</v>
      </c>
      <c r="D1000" s="10">
        <v>307</v>
      </c>
      <c r="E1000" s="1" t="s">
        <v>190</v>
      </c>
      <c r="F1000" s="1" t="s">
        <v>169</v>
      </c>
      <c r="G1000" s="10">
        <v>73</v>
      </c>
      <c r="H1000" s="1" t="s">
        <v>42</v>
      </c>
    </row>
    <row r="1001" spans="1:8" ht="15.75" customHeight="1" x14ac:dyDescent="0.3">
      <c r="A1001" s="10">
        <v>11000</v>
      </c>
      <c r="B1001" s="10">
        <v>547</v>
      </c>
      <c r="C1001" s="10">
        <v>2006</v>
      </c>
      <c r="D1001" s="10">
        <v>313</v>
      </c>
      <c r="E1001" s="1" t="s">
        <v>367</v>
      </c>
      <c r="F1001" s="1" t="s">
        <v>351</v>
      </c>
      <c r="G1001" s="10">
        <v>76</v>
      </c>
      <c r="H1001" s="1" t="s">
        <v>42</v>
      </c>
    </row>
    <row r="1002" spans="1:8" ht="15.75" customHeight="1" x14ac:dyDescent="0.3">
      <c r="A1002" s="10">
        <v>11001</v>
      </c>
      <c r="B1002" s="10">
        <v>871</v>
      </c>
      <c r="C1002" s="10">
        <v>2050</v>
      </c>
      <c r="D1002" s="10">
        <v>314</v>
      </c>
      <c r="E1002" s="1" t="s">
        <v>160</v>
      </c>
      <c r="F1002" s="1" t="s">
        <v>80</v>
      </c>
      <c r="G1002" s="10">
        <v>2</v>
      </c>
      <c r="H1002" s="1" t="s">
        <v>42</v>
      </c>
    </row>
    <row r="1003" spans="1:8" ht="15.75" customHeight="1" x14ac:dyDescent="0.3">
      <c r="A1003" s="10">
        <v>11002</v>
      </c>
      <c r="B1003" s="10">
        <v>693</v>
      </c>
      <c r="C1003" s="10">
        <v>2085</v>
      </c>
      <c r="D1003" s="10">
        <v>305</v>
      </c>
      <c r="E1003" s="1" t="s">
        <v>195</v>
      </c>
      <c r="F1003" s="1" t="s">
        <v>226</v>
      </c>
      <c r="G1003" s="10">
        <v>50</v>
      </c>
      <c r="H1003" s="1" t="s">
        <v>39</v>
      </c>
    </row>
    <row r="1004" spans="1:8" ht="15.75" customHeight="1" x14ac:dyDescent="0.3">
      <c r="A1004" s="10">
        <v>11003</v>
      </c>
      <c r="B1004" s="10">
        <v>880</v>
      </c>
      <c r="C1004" s="10">
        <v>2006</v>
      </c>
      <c r="D1004" s="10">
        <v>303</v>
      </c>
      <c r="E1004" s="1" t="s">
        <v>261</v>
      </c>
      <c r="F1004" s="1" t="s">
        <v>62</v>
      </c>
      <c r="G1004" s="10">
        <v>12</v>
      </c>
      <c r="H1004" s="1" t="s">
        <v>42</v>
      </c>
    </row>
    <row r="1005" spans="1:8" ht="15.75" customHeight="1" x14ac:dyDescent="0.3">
      <c r="A1005" s="10">
        <v>11004</v>
      </c>
      <c r="B1005" s="10">
        <v>856</v>
      </c>
      <c r="C1005" s="10">
        <v>2078</v>
      </c>
      <c r="D1005" s="10">
        <v>317</v>
      </c>
      <c r="E1005" s="1" t="s">
        <v>285</v>
      </c>
      <c r="F1005" s="1" t="s">
        <v>266</v>
      </c>
      <c r="G1005" s="10">
        <v>19</v>
      </c>
      <c r="H1005" s="1" t="s">
        <v>42</v>
      </c>
    </row>
    <row r="1006" spans="1:8" ht="15.75" customHeight="1" x14ac:dyDescent="0.3">
      <c r="A1006" s="10">
        <v>11005</v>
      </c>
      <c r="B1006" s="10">
        <v>873</v>
      </c>
      <c r="C1006" s="10">
        <v>2085</v>
      </c>
      <c r="D1006" s="10">
        <v>307</v>
      </c>
      <c r="E1006" s="1" t="s">
        <v>348</v>
      </c>
      <c r="F1006" s="1" t="s">
        <v>43</v>
      </c>
      <c r="G1006" s="10">
        <v>5</v>
      </c>
      <c r="H1006" s="1" t="s">
        <v>36</v>
      </c>
    </row>
    <row r="1007" spans="1:8" ht="15.75" customHeight="1" x14ac:dyDescent="0.3">
      <c r="A1007" s="10">
        <v>11006</v>
      </c>
      <c r="B1007" s="10">
        <v>796</v>
      </c>
      <c r="C1007" s="10">
        <v>2060</v>
      </c>
      <c r="D1007" s="10">
        <v>312</v>
      </c>
      <c r="E1007" s="1" t="s">
        <v>121</v>
      </c>
      <c r="F1007" s="1" t="s">
        <v>362</v>
      </c>
      <c r="G1007" s="10">
        <v>18</v>
      </c>
      <c r="H1007" s="1" t="s">
        <v>42</v>
      </c>
    </row>
    <row r="1008" spans="1:8" ht="15.75" customHeight="1" x14ac:dyDescent="0.3">
      <c r="A1008" s="10">
        <v>11007</v>
      </c>
      <c r="B1008" s="10">
        <v>563</v>
      </c>
      <c r="C1008" s="10">
        <v>2085</v>
      </c>
      <c r="D1008" s="10">
        <v>308</v>
      </c>
      <c r="E1008" s="1" t="s">
        <v>277</v>
      </c>
      <c r="F1008" s="1" t="s">
        <v>244</v>
      </c>
      <c r="G1008" s="10">
        <v>12</v>
      </c>
      <c r="H1008" s="1" t="s">
        <v>39</v>
      </c>
    </row>
    <row r="1009" spans="1:8" ht="15.75" customHeight="1" x14ac:dyDescent="0.3">
      <c r="A1009" s="10">
        <v>11008</v>
      </c>
      <c r="B1009" s="10">
        <v>655</v>
      </c>
      <c r="C1009" s="10">
        <v>2078</v>
      </c>
      <c r="D1009" s="10">
        <v>315</v>
      </c>
      <c r="E1009" s="1" t="s">
        <v>267</v>
      </c>
      <c r="F1009" s="1" t="s">
        <v>350</v>
      </c>
      <c r="G1009" s="10">
        <v>42</v>
      </c>
      <c r="H1009" s="1" t="s">
        <v>36</v>
      </c>
    </row>
    <row r="1010" spans="1:8" ht="15.75" customHeight="1" x14ac:dyDescent="0.3">
      <c r="A1010" s="10">
        <v>11009</v>
      </c>
      <c r="B1010" s="10">
        <v>899</v>
      </c>
      <c r="C1010" s="10">
        <v>2056</v>
      </c>
      <c r="D1010" s="10">
        <v>317</v>
      </c>
      <c r="E1010" s="1" t="s">
        <v>352</v>
      </c>
      <c r="F1010" s="1" t="s">
        <v>128</v>
      </c>
      <c r="G1010" s="10">
        <v>78</v>
      </c>
      <c r="H1010" s="1" t="s">
        <v>78</v>
      </c>
    </row>
    <row r="1011" spans="1:8" ht="15.75" customHeight="1" x14ac:dyDescent="0.3">
      <c r="A1011" s="10">
        <v>11010</v>
      </c>
      <c r="B1011" s="10">
        <v>863</v>
      </c>
      <c r="C1011" s="10">
        <v>2064</v>
      </c>
      <c r="D1011" s="10">
        <v>318</v>
      </c>
      <c r="E1011" s="1" t="s">
        <v>67</v>
      </c>
      <c r="F1011" s="1" t="s">
        <v>70</v>
      </c>
      <c r="G1011" s="10">
        <v>83</v>
      </c>
      <c r="H1011" s="1" t="s">
        <v>42</v>
      </c>
    </row>
    <row r="1012" spans="1:8" ht="15.75" customHeight="1" x14ac:dyDescent="0.3">
      <c r="A1012" s="10">
        <v>11011</v>
      </c>
      <c r="B1012" s="10">
        <v>581</v>
      </c>
      <c r="C1012" s="10">
        <v>2089</v>
      </c>
      <c r="D1012" s="10">
        <v>311</v>
      </c>
      <c r="E1012" s="1" t="s">
        <v>45</v>
      </c>
      <c r="F1012" s="1" t="s">
        <v>91</v>
      </c>
      <c r="G1012" s="10">
        <v>23</v>
      </c>
      <c r="H1012" s="1" t="s">
        <v>39</v>
      </c>
    </row>
    <row r="1013" spans="1:8" ht="15.75" customHeight="1" x14ac:dyDescent="0.3">
      <c r="A1013" s="10">
        <v>11012</v>
      </c>
      <c r="B1013" s="10">
        <v>820</v>
      </c>
      <c r="C1013" s="10">
        <v>2047</v>
      </c>
      <c r="D1013" s="10">
        <v>302</v>
      </c>
      <c r="E1013" s="1" t="s">
        <v>319</v>
      </c>
      <c r="F1013" s="1" t="s">
        <v>367</v>
      </c>
      <c r="G1013" s="10">
        <v>58</v>
      </c>
      <c r="H1013" s="1" t="s">
        <v>39</v>
      </c>
    </row>
    <row r="1014" spans="1:8" ht="15.75" customHeight="1" x14ac:dyDescent="0.3">
      <c r="A1014" s="10">
        <v>11013</v>
      </c>
      <c r="B1014" s="10">
        <v>855</v>
      </c>
      <c r="C1014" s="10">
        <v>2071</v>
      </c>
      <c r="D1014" s="10">
        <v>308</v>
      </c>
      <c r="E1014" s="1" t="s">
        <v>278</v>
      </c>
      <c r="F1014" s="1" t="s">
        <v>399</v>
      </c>
      <c r="G1014" s="10">
        <v>31</v>
      </c>
      <c r="H1014" s="1" t="s">
        <v>36</v>
      </c>
    </row>
    <row r="1015" spans="1:8" ht="15.75" customHeight="1" x14ac:dyDescent="0.3">
      <c r="A1015" s="10">
        <v>11014</v>
      </c>
      <c r="B1015" s="10">
        <v>584</v>
      </c>
      <c r="C1015" s="10">
        <v>2025</v>
      </c>
      <c r="D1015" s="10">
        <v>303</v>
      </c>
      <c r="E1015" s="1" t="s">
        <v>262</v>
      </c>
      <c r="F1015" s="1" t="s">
        <v>265</v>
      </c>
      <c r="G1015" s="10">
        <v>22</v>
      </c>
      <c r="H1015" s="1" t="s">
        <v>39</v>
      </c>
    </row>
    <row r="1016" spans="1:8" ht="15.75" customHeight="1" x14ac:dyDescent="0.3">
      <c r="A1016" s="10">
        <v>11015</v>
      </c>
      <c r="B1016" s="10">
        <v>617</v>
      </c>
      <c r="C1016" s="10">
        <v>2100</v>
      </c>
      <c r="D1016" s="10">
        <v>307</v>
      </c>
      <c r="E1016" s="1" t="s">
        <v>41</v>
      </c>
      <c r="F1016" s="1" t="s">
        <v>322</v>
      </c>
      <c r="G1016" s="10">
        <v>100</v>
      </c>
      <c r="H1016" s="1" t="s">
        <v>42</v>
      </c>
    </row>
    <row r="1017" spans="1:8" ht="15.75" customHeight="1" x14ac:dyDescent="0.3">
      <c r="A1017" s="10">
        <v>11016</v>
      </c>
      <c r="B1017" s="10">
        <v>801</v>
      </c>
      <c r="C1017" s="10">
        <v>2098</v>
      </c>
      <c r="D1017" s="10">
        <v>303</v>
      </c>
      <c r="E1017" s="1" t="s">
        <v>68</v>
      </c>
      <c r="F1017" s="1" t="s">
        <v>218</v>
      </c>
      <c r="G1017" s="10">
        <v>16</v>
      </c>
      <c r="H1017" s="1" t="s">
        <v>78</v>
      </c>
    </row>
    <row r="1018" spans="1:8" ht="15.75" customHeight="1" x14ac:dyDescent="0.3">
      <c r="A1018" s="10">
        <v>11017</v>
      </c>
      <c r="B1018" s="10">
        <v>784</v>
      </c>
      <c r="C1018" s="10">
        <v>2016</v>
      </c>
      <c r="D1018" s="10">
        <v>319</v>
      </c>
      <c r="E1018" s="1" t="s">
        <v>44</v>
      </c>
      <c r="F1018" s="1" t="s">
        <v>131</v>
      </c>
      <c r="G1018" s="10">
        <v>97</v>
      </c>
      <c r="H1018" s="1" t="s">
        <v>39</v>
      </c>
    </row>
    <row r="1019" spans="1:8" ht="15.75" customHeight="1" x14ac:dyDescent="0.3">
      <c r="A1019" s="10">
        <v>11018</v>
      </c>
      <c r="B1019" s="10">
        <v>624</v>
      </c>
      <c r="C1019" s="10">
        <v>2082</v>
      </c>
      <c r="D1019" s="10">
        <v>310</v>
      </c>
      <c r="E1019" s="1" t="s">
        <v>269</v>
      </c>
      <c r="F1019" s="1" t="s">
        <v>342</v>
      </c>
      <c r="G1019" s="10">
        <v>72</v>
      </c>
      <c r="H1019" s="1" t="s">
        <v>78</v>
      </c>
    </row>
    <row r="1020" spans="1:8" ht="15.75" customHeight="1" x14ac:dyDescent="0.3">
      <c r="A1020" s="10">
        <v>11019</v>
      </c>
      <c r="B1020" s="10">
        <v>658</v>
      </c>
      <c r="C1020" s="10">
        <v>2096</v>
      </c>
      <c r="D1020" s="10">
        <v>318</v>
      </c>
      <c r="E1020" s="1" t="s">
        <v>398</v>
      </c>
      <c r="F1020" s="1" t="s">
        <v>199</v>
      </c>
      <c r="G1020" s="10">
        <v>38</v>
      </c>
      <c r="H1020" s="1" t="s">
        <v>78</v>
      </c>
    </row>
    <row r="1021" spans="1:8" ht="15.75" customHeight="1" x14ac:dyDescent="0.3">
      <c r="A1021" s="10">
        <v>11020</v>
      </c>
      <c r="B1021" s="10">
        <v>894</v>
      </c>
      <c r="C1021" s="10">
        <v>2055</v>
      </c>
      <c r="D1021" s="10">
        <v>312</v>
      </c>
      <c r="E1021" s="1" t="s">
        <v>334</v>
      </c>
      <c r="F1021" s="1" t="s">
        <v>97</v>
      </c>
      <c r="G1021" s="10">
        <v>65</v>
      </c>
      <c r="H1021" s="1" t="s">
        <v>39</v>
      </c>
    </row>
    <row r="1022" spans="1:8" ht="15.75" customHeight="1" x14ac:dyDescent="0.3">
      <c r="A1022" s="10">
        <v>11021</v>
      </c>
      <c r="B1022" s="10">
        <v>721</v>
      </c>
      <c r="C1022" s="10">
        <v>2035</v>
      </c>
      <c r="D1022" s="10">
        <v>311</v>
      </c>
      <c r="E1022" s="1" t="s">
        <v>221</v>
      </c>
      <c r="F1022" s="1" t="s">
        <v>206</v>
      </c>
      <c r="G1022" s="10">
        <v>60</v>
      </c>
      <c r="H1022" s="1" t="s">
        <v>36</v>
      </c>
    </row>
    <row r="1023" spans="1:8" ht="15.75" customHeight="1" x14ac:dyDescent="0.3">
      <c r="A1023" s="10">
        <v>11022</v>
      </c>
      <c r="B1023" s="10">
        <v>870</v>
      </c>
      <c r="C1023" s="10">
        <v>2002</v>
      </c>
      <c r="D1023" s="10">
        <v>317</v>
      </c>
      <c r="E1023" s="1" t="s">
        <v>107</v>
      </c>
      <c r="F1023" s="1" t="s">
        <v>237</v>
      </c>
      <c r="G1023" s="10">
        <v>14</v>
      </c>
      <c r="H1023" s="1" t="s">
        <v>36</v>
      </c>
    </row>
    <row r="1024" spans="1:8" ht="15.75" customHeight="1" x14ac:dyDescent="0.3">
      <c r="A1024" s="10">
        <v>11023</v>
      </c>
      <c r="B1024" s="10">
        <v>650</v>
      </c>
      <c r="C1024" s="10">
        <v>2052</v>
      </c>
      <c r="D1024" s="10">
        <v>305</v>
      </c>
      <c r="E1024" s="1" t="s">
        <v>294</v>
      </c>
      <c r="F1024" s="1" t="s">
        <v>286</v>
      </c>
      <c r="G1024" s="10">
        <v>97</v>
      </c>
      <c r="H1024" s="1" t="s">
        <v>42</v>
      </c>
    </row>
    <row r="1025" spans="1:8" ht="15.75" customHeight="1" x14ac:dyDescent="0.3">
      <c r="A1025" s="10">
        <v>11024</v>
      </c>
      <c r="B1025" s="10">
        <v>874</v>
      </c>
      <c r="C1025" s="10">
        <v>2026</v>
      </c>
      <c r="D1025" s="10">
        <v>308</v>
      </c>
      <c r="E1025" s="1" t="s">
        <v>87</v>
      </c>
      <c r="F1025" s="1" t="s">
        <v>305</v>
      </c>
      <c r="G1025" s="10">
        <v>14</v>
      </c>
      <c r="H1025" s="1" t="s">
        <v>78</v>
      </c>
    </row>
    <row r="1026" spans="1:8" ht="15.75" customHeight="1" x14ac:dyDescent="0.3">
      <c r="A1026" s="10">
        <v>11025</v>
      </c>
      <c r="B1026" s="10">
        <v>577</v>
      </c>
      <c r="C1026" s="10">
        <v>2041</v>
      </c>
      <c r="D1026" s="10">
        <v>304</v>
      </c>
      <c r="E1026" s="1" t="s">
        <v>330</v>
      </c>
      <c r="F1026" s="1" t="s">
        <v>371</v>
      </c>
      <c r="G1026" s="10">
        <v>1</v>
      </c>
      <c r="H1026" s="1" t="s">
        <v>78</v>
      </c>
    </row>
    <row r="1027" spans="1:8" ht="15.75" customHeight="1" x14ac:dyDescent="0.3">
      <c r="A1027" s="10">
        <v>11026</v>
      </c>
      <c r="B1027" s="10">
        <v>826</v>
      </c>
      <c r="C1027" s="10">
        <v>2072</v>
      </c>
      <c r="D1027" s="10">
        <v>317</v>
      </c>
      <c r="E1027" s="1" t="s">
        <v>286</v>
      </c>
      <c r="F1027" s="1" t="s">
        <v>151</v>
      </c>
      <c r="G1027" s="10">
        <v>93</v>
      </c>
      <c r="H1027" s="1" t="s">
        <v>36</v>
      </c>
    </row>
    <row r="1028" spans="1:8" ht="15.75" customHeight="1" x14ac:dyDescent="0.3">
      <c r="A1028" s="10">
        <v>11027</v>
      </c>
      <c r="B1028" s="10">
        <v>680</v>
      </c>
      <c r="C1028" s="10">
        <v>2090</v>
      </c>
      <c r="D1028" s="10">
        <v>313</v>
      </c>
      <c r="E1028" s="1" t="s">
        <v>199</v>
      </c>
      <c r="F1028" s="1" t="s">
        <v>371</v>
      </c>
      <c r="G1028" s="10">
        <v>19</v>
      </c>
      <c r="H1028" s="1" t="s">
        <v>39</v>
      </c>
    </row>
    <row r="1029" spans="1:8" ht="15.75" customHeight="1" x14ac:dyDescent="0.3">
      <c r="A1029" s="10">
        <v>11028</v>
      </c>
      <c r="B1029" s="10">
        <v>847</v>
      </c>
      <c r="C1029" s="10">
        <v>2095</v>
      </c>
      <c r="D1029" s="10">
        <v>306</v>
      </c>
      <c r="E1029" s="1" t="s">
        <v>240</v>
      </c>
      <c r="F1029" s="1" t="s">
        <v>66</v>
      </c>
      <c r="G1029" s="10">
        <v>62</v>
      </c>
      <c r="H1029" s="1" t="s">
        <v>39</v>
      </c>
    </row>
    <row r="1030" spans="1:8" ht="15.75" customHeight="1" x14ac:dyDescent="0.3">
      <c r="A1030" s="10">
        <v>11029</v>
      </c>
      <c r="B1030" s="10">
        <v>809</v>
      </c>
      <c r="C1030" s="10">
        <v>2073</v>
      </c>
      <c r="D1030" s="10">
        <v>318</v>
      </c>
      <c r="E1030" s="1" t="s">
        <v>368</v>
      </c>
      <c r="F1030" s="1" t="s">
        <v>186</v>
      </c>
      <c r="G1030" s="10">
        <v>70</v>
      </c>
      <c r="H1030" s="1" t="s">
        <v>39</v>
      </c>
    </row>
    <row r="1031" spans="1:8" ht="15.75" customHeight="1" x14ac:dyDescent="0.3">
      <c r="A1031" s="10">
        <v>11030</v>
      </c>
      <c r="B1031" s="10">
        <v>620</v>
      </c>
      <c r="C1031" s="10">
        <v>2083</v>
      </c>
      <c r="D1031" s="10">
        <v>305</v>
      </c>
      <c r="E1031" s="1" t="s">
        <v>199</v>
      </c>
      <c r="F1031" s="1" t="s">
        <v>111</v>
      </c>
      <c r="G1031" s="10">
        <v>36</v>
      </c>
      <c r="H1031" s="1" t="s">
        <v>78</v>
      </c>
    </row>
    <row r="1032" spans="1:8" ht="15.75" customHeight="1" x14ac:dyDescent="0.3">
      <c r="A1032" s="10">
        <v>11031</v>
      </c>
      <c r="B1032" s="10">
        <v>606</v>
      </c>
      <c r="C1032" s="10">
        <v>2064</v>
      </c>
      <c r="D1032" s="10">
        <v>319</v>
      </c>
      <c r="E1032" s="1" t="s">
        <v>311</v>
      </c>
      <c r="F1032" s="1" t="s">
        <v>61</v>
      </c>
      <c r="G1032" s="10">
        <v>16</v>
      </c>
      <c r="H1032" s="1" t="s">
        <v>36</v>
      </c>
    </row>
    <row r="1033" spans="1:8" ht="15.75" customHeight="1" x14ac:dyDescent="0.3">
      <c r="A1033" s="10">
        <v>11032</v>
      </c>
      <c r="B1033" s="10">
        <v>665</v>
      </c>
      <c r="C1033" s="10">
        <v>2076</v>
      </c>
      <c r="D1033" s="10">
        <v>303</v>
      </c>
      <c r="E1033" s="1" t="s">
        <v>112</v>
      </c>
      <c r="F1033" s="1" t="s">
        <v>344</v>
      </c>
      <c r="G1033" s="10">
        <v>81</v>
      </c>
      <c r="H1033" s="1" t="s">
        <v>39</v>
      </c>
    </row>
    <row r="1034" spans="1:8" ht="15.75" customHeight="1" x14ac:dyDescent="0.3">
      <c r="A1034" s="10">
        <v>11033</v>
      </c>
      <c r="B1034" s="10">
        <v>794</v>
      </c>
      <c r="C1034" s="10">
        <v>2012</v>
      </c>
      <c r="D1034" s="10">
        <v>311</v>
      </c>
      <c r="E1034" s="1" t="s">
        <v>82</v>
      </c>
      <c r="F1034" s="1" t="s">
        <v>274</v>
      </c>
      <c r="G1034" s="10">
        <v>45</v>
      </c>
      <c r="H1034" s="1" t="s">
        <v>39</v>
      </c>
    </row>
    <row r="1035" spans="1:8" ht="15.75" customHeight="1" x14ac:dyDescent="0.3">
      <c r="A1035" s="10">
        <v>11034</v>
      </c>
      <c r="B1035" s="10">
        <v>755</v>
      </c>
      <c r="C1035" s="10">
        <v>2085</v>
      </c>
      <c r="D1035" s="10">
        <v>320</v>
      </c>
      <c r="E1035" s="1" t="s">
        <v>389</v>
      </c>
      <c r="F1035" s="1" t="s">
        <v>349</v>
      </c>
      <c r="G1035" s="10">
        <v>90</v>
      </c>
      <c r="H1035" s="1" t="s">
        <v>39</v>
      </c>
    </row>
    <row r="1036" spans="1:8" ht="15.75" customHeight="1" x14ac:dyDescent="0.3">
      <c r="A1036" s="10">
        <v>11035</v>
      </c>
      <c r="B1036" s="10">
        <v>734</v>
      </c>
      <c r="C1036" s="10">
        <v>2055</v>
      </c>
      <c r="D1036" s="10">
        <v>312</v>
      </c>
      <c r="E1036" s="1" t="s">
        <v>235</v>
      </c>
      <c r="F1036" s="1" t="s">
        <v>146</v>
      </c>
      <c r="G1036" s="10">
        <v>78</v>
      </c>
      <c r="H1036" s="1" t="s">
        <v>39</v>
      </c>
    </row>
    <row r="1037" spans="1:8" ht="15.75" customHeight="1" x14ac:dyDescent="0.3">
      <c r="A1037" s="10">
        <v>11036</v>
      </c>
      <c r="B1037" s="10">
        <v>785</v>
      </c>
      <c r="C1037" s="10">
        <v>2013</v>
      </c>
      <c r="D1037" s="10">
        <v>307</v>
      </c>
      <c r="E1037" s="1" t="s">
        <v>270</v>
      </c>
      <c r="F1037" s="1" t="s">
        <v>365</v>
      </c>
      <c r="G1037" s="10">
        <v>4</v>
      </c>
      <c r="H1037" s="1" t="s">
        <v>42</v>
      </c>
    </row>
    <row r="1038" spans="1:8" ht="15.75" customHeight="1" x14ac:dyDescent="0.3">
      <c r="A1038" s="10">
        <v>11037</v>
      </c>
      <c r="B1038" s="10">
        <v>601</v>
      </c>
      <c r="C1038" s="10">
        <v>2078</v>
      </c>
      <c r="D1038" s="10">
        <v>314</v>
      </c>
      <c r="E1038" s="1" t="s">
        <v>41</v>
      </c>
      <c r="F1038" s="1" t="s">
        <v>181</v>
      </c>
      <c r="G1038" s="10">
        <v>91</v>
      </c>
      <c r="H1038" s="1" t="s">
        <v>78</v>
      </c>
    </row>
    <row r="1039" spans="1:8" ht="15.75" customHeight="1" x14ac:dyDescent="0.3">
      <c r="A1039" s="10">
        <v>11038</v>
      </c>
      <c r="B1039" s="10">
        <v>738</v>
      </c>
      <c r="C1039" s="10">
        <v>2009</v>
      </c>
      <c r="D1039" s="10">
        <v>316</v>
      </c>
      <c r="E1039" s="1" t="s">
        <v>65</v>
      </c>
      <c r="F1039" s="1" t="s">
        <v>407</v>
      </c>
      <c r="G1039" s="10">
        <v>92</v>
      </c>
      <c r="H1039" s="1" t="s">
        <v>39</v>
      </c>
    </row>
    <row r="1040" spans="1:8" ht="15.75" customHeight="1" x14ac:dyDescent="0.3">
      <c r="A1040" s="10">
        <v>11039</v>
      </c>
      <c r="B1040" s="10">
        <v>730</v>
      </c>
      <c r="C1040" s="10">
        <v>2053</v>
      </c>
      <c r="D1040" s="10">
        <v>302</v>
      </c>
      <c r="E1040" s="1" t="s">
        <v>408</v>
      </c>
      <c r="F1040" s="1" t="s">
        <v>201</v>
      </c>
      <c r="G1040" s="10">
        <v>93</v>
      </c>
      <c r="H1040" s="1" t="s">
        <v>36</v>
      </c>
    </row>
    <row r="1041" spans="1:8" ht="15.75" customHeight="1" x14ac:dyDescent="0.3">
      <c r="A1041" s="10">
        <v>11040</v>
      </c>
      <c r="B1041" s="10">
        <v>615</v>
      </c>
      <c r="C1041" s="10">
        <v>2084</v>
      </c>
      <c r="D1041" s="10">
        <v>305</v>
      </c>
      <c r="E1041" s="1" t="s">
        <v>48</v>
      </c>
      <c r="F1041" s="1" t="s">
        <v>286</v>
      </c>
      <c r="G1041" s="10">
        <v>37</v>
      </c>
      <c r="H1041" s="1" t="s">
        <v>78</v>
      </c>
    </row>
    <row r="1042" spans="1:8" ht="15.75" customHeight="1" x14ac:dyDescent="0.3">
      <c r="A1042" s="10">
        <v>11041</v>
      </c>
      <c r="B1042" s="10">
        <v>838</v>
      </c>
      <c r="C1042" s="10">
        <v>2068</v>
      </c>
      <c r="D1042" s="10">
        <v>317</v>
      </c>
      <c r="E1042" s="1" t="s">
        <v>153</v>
      </c>
      <c r="F1042" s="1" t="s">
        <v>186</v>
      </c>
      <c r="G1042" s="10">
        <v>96</v>
      </c>
      <c r="H1042" s="1" t="s">
        <v>39</v>
      </c>
    </row>
    <row r="1043" spans="1:8" ht="15.75" customHeight="1" x14ac:dyDescent="0.3">
      <c r="A1043" s="10">
        <v>11042</v>
      </c>
      <c r="B1043" s="10">
        <v>656</v>
      </c>
      <c r="C1043" s="10">
        <v>2060</v>
      </c>
      <c r="D1043" s="10">
        <v>309</v>
      </c>
      <c r="E1043" s="1" t="s">
        <v>310</v>
      </c>
      <c r="F1043" s="1" t="s">
        <v>124</v>
      </c>
      <c r="G1043" s="10">
        <v>43</v>
      </c>
      <c r="H1043" s="1" t="s">
        <v>36</v>
      </c>
    </row>
    <row r="1044" spans="1:8" ht="15.75" customHeight="1" x14ac:dyDescent="0.3">
      <c r="A1044" s="10">
        <v>11043</v>
      </c>
      <c r="B1044" s="10">
        <v>653</v>
      </c>
      <c r="C1044" s="10">
        <v>2033</v>
      </c>
      <c r="D1044" s="10">
        <v>306</v>
      </c>
      <c r="E1044" s="1" t="s">
        <v>40</v>
      </c>
      <c r="F1044" s="1" t="s">
        <v>187</v>
      </c>
      <c r="G1044" s="10">
        <v>59</v>
      </c>
      <c r="H1044" s="1" t="s">
        <v>42</v>
      </c>
    </row>
    <row r="1045" spans="1:8" ht="15.75" customHeight="1" x14ac:dyDescent="0.3">
      <c r="A1045" s="10">
        <v>11044</v>
      </c>
      <c r="B1045" s="10">
        <v>859</v>
      </c>
      <c r="C1045" s="10">
        <v>2072</v>
      </c>
      <c r="D1045" s="10">
        <v>313</v>
      </c>
      <c r="E1045" s="1" t="s">
        <v>346</v>
      </c>
      <c r="F1045" s="1" t="s">
        <v>182</v>
      </c>
      <c r="G1045" s="10">
        <v>43</v>
      </c>
      <c r="H1045" s="1" t="s">
        <v>78</v>
      </c>
    </row>
    <row r="1046" spans="1:8" ht="15.75" customHeight="1" x14ac:dyDescent="0.3">
      <c r="A1046" s="10">
        <v>11045</v>
      </c>
      <c r="B1046" s="10">
        <v>773</v>
      </c>
      <c r="C1046" s="10">
        <v>2067</v>
      </c>
      <c r="D1046" s="10">
        <v>314</v>
      </c>
      <c r="E1046" s="1" t="s">
        <v>158</v>
      </c>
      <c r="F1046" s="1" t="s">
        <v>101</v>
      </c>
      <c r="G1046" s="10">
        <v>87</v>
      </c>
      <c r="H1046" s="1" t="s">
        <v>39</v>
      </c>
    </row>
    <row r="1047" spans="1:8" ht="15.75" customHeight="1" x14ac:dyDescent="0.3">
      <c r="A1047" s="10">
        <v>11046</v>
      </c>
      <c r="B1047" s="10">
        <v>507</v>
      </c>
      <c r="C1047" s="10">
        <v>2042</v>
      </c>
      <c r="D1047" s="10">
        <v>306</v>
      </c>
      <c r="E1047" s="1" t="s">
        <v>390</v>
      </c>
      <c r="F1047" s="1" t="s">
        <v>136</v>
      </c>
      <c r="G1047" s="10">
        <v>83</v>
      </c>
      <c r="H1047" s="1" t="s">
        <v>36</v>
      </c>
    </row>
    <row r="1048" spans="1:8" ht="15.75" customHeight="1" x14ac:dyDescent="0.3">
      <c r="A1048" s="10">
        <v>11047</v>
      </c>
      <c r="B1048" s="10">
        <v>881</v>
      </c>
      <c r="C1048" s="10">
        <v>2026</v>
      </c>
      <c r="D1048" s="10">
        <v>305</v>
      </c>
      <c r="E1048" s="1" t="s">
        <v>402</v>
      </c>
      <c r="F1048" s="1" t="s">
        <v>406</v>
      </c>
      <c r="G1048" s="10">
        <v>30</v>
      </c>
      <c r="H1048" s="1" t="s">
        <v>36</v>
      </c>
    </row>
    <row r="1049" spans="1:8" ht="15.75" customHeight="1" x14ac:dyDescent="0.3">
      <c r="A1049" s="10">
        <v>11048</v>
      </c>
      <c r="B1049" s="10">
        <v>790</v>
      </c>
      <c r="C1049" s="10">
        <v>2036</v>
      </c>
      <c r="D1049" s="10">
        <v>302</v>
      </c>
      <c r="E1049" s="1" t="s">
        <v>373</v>
      </c>
      <c r="F1049" s="1" t="s">
        <v>311</v>
      </c>
      <c r="G1049" s="10">
        <v>46</v>
      </c>
      <c r="H1049" s="1" t="s">
        <v>78</v>
      </c>
    </row>
    <row r="1050" spans="1:8" ht="15.75" customHeight="1" x14ac:dyDescent="0.3">
      <c r="A1050" s="10">
        <v>11049</v>
      </c>
      <c r="B1050" s="10">
        <v>641</v>
      </c>
      <c r="C1050" s="10">
        <v>2021</v>
      </c>
      <c r="D1050" s="10">
        <v>303</v>
      </c>
      <c r="E1050" s="1" t="s">
        <v>188</v>
      </c>
      <c r="F1050" s="1" t="s">
        <v>58</v>
      </c>
      <c r="G1050" s="10">
        <v>40</v>
      </c>
      <c r="H1050" s="1" t="s">
        <v>78</v>
      </c>
    </row>
    <row r="1051" spans="1:8" ht="15.75" customHeight="1" x14ac:dyDescent="0.3">
      <c r="A1051" s="10">
        <v>11050</v>
      </c>
      <c r="B1051" s="10">
        <v>623</v>
      </c>
      <c r="C1051" s="10">
        <v>2086</v>
      </c>
      <c r="D1051" s="10">
        <v>303</v>
      </c>
      <c r="E1051" s="1" t="s">
        <v>104</v>
      </c>
      <c r="F1051" s="1" t="s">
        <v>35</v>
      </c>
      <c r="G1051" s="10">
        <v>64</v>
      </c>
      <c r="H1051" s="1" t="s">
        <v>42</v>
      </c>
    </row>
    <row r="1052" spans="1:8" ht="15.75" customHeight="1" x14ac:dyDescent="0.3">
      <c r="A1052" s="10">
        <v>11051</v>
      </c>
      <c r="B1052" s="10">
        <v>749</v>
      </c>
      <c r="C1052" s="10">
        <v>2035</v>
      </c>
      <c r="D1052" s="10">
        <v>307</v>
      </c>
      <c r="E1052" s="1" t="s">
        <v>175</v>
      </c>
      <c r="F1052" s="1" t="s">
        <v>112</v>
      </c>
      <c r="G1052" s="10">
        <v>83</v>
      </c>
      <c r="H1052" s="1" t="s">
        <v>39</v>
      </c>
    </row>
    <row r="1053" spans="1:8" ht="15.75" customHeight="1" x14ac:dyDescent="0.3">
      <c r="A1053" s="10">
        <v>11052</v>
      </c>
      <c r="B1053" s="10">
        <v>683</v>
      </c>
      <c r="C1053" s="10">
        <v>2013</v>
      </c>
      <c r="D1053" s="10">
        <v>315</v>
      </c>
      <c r="E1053" s="1" t="s">
        <v>196</v>
      </c>
      <c r="F1053" s="1" t="s">
        <v>262</v>
      </c>
      <c r="G1053" s="10">
        <v>44</v>
      </c>
      <c r="H1053" s="1" t="s">
        <v>42</v>
      </c>
    </row>
    <row r="1054" spans="1:8" ht="15.75" customHeight="1" x14ac:dyDescent="0.3">
      <c r="A1054" s="10">
        <v>11053</v>
      </c>
      <c r="B1054" s="10">
        <v>718</v>
      </c>
      <c r="C1054" s="10">
        <v>2090</v>
      </c>
      <c r="D1054" s="10">
        <v>317</v>
      </c>
      <c r="E1054" s="1" t="s">
        <v>207</v>
      </c>
      <c r="F1054" s="1" t="s">
        <v>361</v>
      </c>
      <c r="G1054" s="10">
        <v>79</v>
      </c>
      <c r="H1054" s="1" t="s">
        <v>78</v>
      </c>
    </row>
    <row r="1055" spans="1:8" ht="15.75" customHeight="1" x14ac:dyDescent="0.3">
      <c r="A1055" s="10">
        <v>11054</v>
      </c>
      <c r="B1055" s="10">
        <v>609</v>
      </c>
      <c r="C1055" s="10">
        <v>2028</v>
      </c>
      <c r="D1055" s="10">
        <v>314</v>
      </c>
      <c r="E1055" s="1" t="s">
        <v>293</v>
      </c>
      <c r="F1055" s="1" t="s">
        <v>265</v>
      </c>
      <c r="G1055" s="10">
        <v>97</v>
      </c>
      <c r="H1055" s="1" t="s">
        <v>36</v>
      </c>
    </row>
    <row r="1056" spans="1:8" ht="15.75" customHeight="1" x14ac:dyDescent="0.3">
      <c r="A1056" s="10">
        <v>11055</v>
      </c>
      <c r="B1056" s="10">
        <v>747</v>
      </c>
      <c r="C1056" s="10">
        <v>2088</v>
      </c>
      <c r="D1056" s="10">
        <v>319</v>
      </c>
      <c r="E1056" s="1" t="s">
        <v>175</v>
      </c>
      <c r="F1056" s="1" t="s">
        <v>105</v>
      </c>
      <c r="G1056" s="10">
        <v>88</v>
      </c>
      <c r="H1056" s="1" t="s">
        <v>78</v>
      </c>
    </row>
    <row r="1057" spans="1:8" ht="15.75" customHeight="1" x14ac:dyDescent="0.3">
      <c r="A1057" s="10">
        <v>11056</v>
      </c>
      <c r="B1057" s="10">
        <v>762</v>
      </c>
      <c r="C1057" s="10">
        <v>2100</v>
      </c>
      <c r="D1057" s="10">
        <v>320</v>
      </c>
      <c r="E1057" s="1" t="s">
        <v>372</v>
      </c>
      <c r="F1057" s="1" t="s">
        <v>169</v>
      </c>
      <c r="G1057" s="10">
        <v>77</v>
      </c>
      <c r="H1057" s="1" t="s">
        <v>36</v>
      </c>
    </row>
    <row r="1058" spans="1:8" ht="15.75" customHeight="1" x14ac:dyDescent="0.3">
      <c r="A1058" s="10">
        <v>11057</v>
      </c>
      <c r="B1058" s="10">
        <v>874</v>
      </c>
      <c r="C1058" s="10">
        <v>2096</v>
      </c>
      <c r="D1058" s="10">
        <v>309</v>
      </c>
      <c r="E1058" s="1" t="s">
        <v>183</v>
      </c>
      <c r="F1058" s="1" t="s">
        <v>389</v>
      </c>
      <c r="G1058" s="10">
        <v>43</v>
      </c>
      <c r="H1058" s="1" t="s">
        <v>42</v>
      </c>
    </row>
    <row r="1059" spans="1:8" ht="15.75" customHeight="1" x14ac:dyDescent="0.3">
      <c r="A1059" s="10">
        <v>11058</v>
      </c>
      <c r="B1059" s="10">
        <v>768</v>
      </c>
      <c r="C1059" s="10">
        <v>2009</v>
      </c>
      <c r="D1059" s="10">
        <v>307</v>
      </c>
      <c r="E1059" s="1" t="s">
        <v>312</v>
      </c>
      <c r="F1059" s="1" t="s">
        <v>367</v>
      </c>
      <c r="G1059" s="10">
        <v>47</v>
      </c>
      <c r="H1059" s="1" t="s">
        <v>36</v>
      </c>
    </row>
    <row r="1060" spans="1:8" ht="15.75" customHeight="1" x14ac:dyDescent="0.3">
      <c r="A1060" s="10">
        <v>11059</v>
      </c>
      <c r="B1060" s="10">
        <v>663</v>
      </c>
      <c r="C1060" s="10">
        <v>2048</v>
      </c>
      <c r="D1060" s="10">
        <v>314</v>
      </c>
      <c r="E1060" s="1" t="s">
        <v>388</v>
      </c>
      <c r="F1060" s="1" t="s">
        <v>294</v>
      </c>
      <c r="G1060" s="10">
        <v>67</v>
      </c>
      <c r="H1060" s="1" t="s">
        <v>78</v>
      </c>
    </row>
    <row r="1061" spans="1:8" ht="15.75" customHeight="1" x14ac:dyDescent="0.3">
      <c r="A1061" s="10">
        <v>11060</v>
      </c>
      <c r="B1061" s="10">
        <v>566</v>
      </c>
      <c r="C1061" s="10">
        <v>2024</v>
      </c>
      <c r="D1061" s="10">
        <v>310</v>
      </c>
      <c r="E1061" s="1" t="s">
        <v>100</v>
      </c>
      <c r="F1061" s="1" t="s">
        <v>265</v>
      </c>
      <c r="G1061" s="10">
        <v>81</v>
      </c>
      <c r="H1061" s="1" t="s">
        <v>36</v>
      </c>
    </row>
    <row r="1062" spans="1:8" ht="15.75" customHeight="1" x14ac:dyDescent="0.3">
      <c r="A1062" s="10">
        <v>11061</v>
      </c>
      <c r="B1062" s="10">
        <v>771</v>
      </c>
      <c r="C1062" s="10">
        <v>2051</v>
      </c>
      <c r="D1062" s="10">
        <v>311</v>
      </c>
      <c r="E1062" s="1" t="s">
        <v>321</v>
      </c>
      <c r="F1062" s="1" t="s">
        <v>104</v>
      </c>
      <c r="G1062" s="10">
        <v>80</v>
      </c>
      <c r="H1062" s="1" t="s">
        <v>39</v>
      </c>
    </row>
    <row r="1063" spans="1:8" ht="15.75" customHeight="1" x14ac:dyDescent="0.3">
      <c r="A1063" s="10">
        <v>11062</v>
      </c>
      <c r="B1063" s="10">
        <v>697</v>
      </c>
      <c r="C1063" s="10">
        <v>2056</v>
      </c>
      <c r="D1063" s="10">
        <v>316</v>
      </c>
      <c r="E1063" s="1" t="s">
        <v>409</v>
      </c>
      <c r="F1063" s="1" t="s">
        <v>72</v>
      </c>
      <c r="G1063" s="10">
        <v>67</v>
      </c>
      <c r="H1063" s="1" t="s">
        <v>42</v>
      </c>
    </row>
    <row r="1064" spans="1:8" ht="15.75" customHeight="1" x14ac:dyDescent="0.3">
      <c r="A1064" s="10">
        <v>11063</v>
      </c>
      <c r="B1064" s="10">
        <v>560</v>
      </c>
      <c r="C1064" s="10">
        <v>2087</v>
      </c>
      <c r="D1064" s="10">
        <v>301</v>
      </c>
      <c r="E1064" s="1" t="s">
        <v>167</v>
      </c>
      <c r="F1064" s="1" t="s">
        <v>238</v>
      </c>
      <c r="G1064" s="10">
        <v>71</v>
      </c>
      <c r="H1064" s="1" t="s">
        <v>42</v>
      </c>
    </row>
    <row r="1065" spans="1:8" ht="15.75" customHeight="1" x14ac:dyDescent="0.3">
      <c r="A1065" s="10">
        <v>11064</v>
      </c>
      <c r="B1065" s="10">
        <v>776</v>
      </c>
      <c r="C1065" s="10">
        <v>2048</v>
      </c>
      <c r="D1065" s="10">
        <v>314</v>
      </c>
      <c r="E1065" s="1" t="s">
        <v>129</v>
      </c>
      <c r="F1065" s="1" t="s">
        <v>263</v>
      </c>
      <c r="G1065" s="10">
        <v>1</v>
      </c>
      <c r="H1065" s="1" t="s">
        <v>78</v>
      </c>
    </row>
    <row r="1066" spans="1:8" ht="15.75" customHeight="1" x14ac:dyDescent="0.3">
      <c r="A1066" s="10">
        <v>11065</v>
      </c>
      <c r="B1066" s="10">
        <v>777</v>
      </c>
      <c r="C1066" s="10">
        <v>2100</v>
      </c>
      <c r="D1066" s="10">
        <v>310</v>
      </c>
      <c r="E1066" s="1" t="s">
        <v>292</v>
      </c>
      <c r="F1066" s="1" t="s">
        <v>226</v>
      </c>
      <c r="G1066" s="10">
        <v>56</v>
      </c>
      <c r="H1066" s="1" t="s">
        <v>42</v>
      </c>
    </row>
    <row r="1067" spans="1:8" ht="15.75" customHeight="1" x14ac:dyDescent="0.3">
      <c r="A1067" s="10">
        <v>11066</v>
      </c>
      <c r="B1067" s="10">
        <v>547</v>
      </c>
      <c r="C1067" s="10">
        <v>2083</v>
      </c>
      <c r="D1067" s="10">
        <v>315</v>
      </c>
      <c r="E1067" s="1" t="s">
        <v>113</v>
      </c>
      <c r="F1067" s="1" t="s">
        <v>34</v>
      </c>
      <c r="G1067" s="10">
        <v>85</v>
      </c>
      <c r="H1067" s="1" t="s">
        <v>42</v>
      </c>
    </row>
    <row r="1068" spans="1:8" ht="15.75" customHeight="1" x14ac:dyDescent="0.3">
      <c r="A1068" s="10">
        <v>11067</v>
      </c>
      <c r="B1068" s="10">
        <v>584</v>
      </c>
      <c r="C1068" s="10">
        <v>2029</v>
      </c>
      <c r="D1068" s="10">
        <v>306</v>
      </c>
      <c r="E1068" s="1" t="s">
        <v>374</v>
      </c>
      <c r="F1068" s="1" t="s">
        <v>199</v>
      </c>
      <c r="G1068" s="10">
        <v>68</v>
      </c>
      <c r="H1068" s="1" t="s">
        <v>78</v>
      </c>
    </row>
    <row r="1069" spans="1:8" ht="15.75" customHeight="1" x14ac:dyDescent="0.3">
      <c r="A1069" s="10">
        <v>11068</v>
      </c>
      <c r="B1069" s="10">
        <v>539</v>
      </c>
      <c r="C1069" s="10">
        <v>2074</v>
      </c>
      <c r="D1069" s="10">
        <v>306</v>
      </c>
      <c r="E1069" s="1" t="s">
        <v>308</v>
      </c>
      <c r="F1069" s="1" t="s">
        <v>233</v>
      </c>
      <c r="G1069" s="10">
        <v>81</v>
      </c>
      <c r="H1069" s="1" t="s">
        <v>42</v>
      </c>
    </row>
    <row r="1070" spans="1:8" ht="15.75" customHeight="1" x14ac:dyDescent="0.3">
      <c r="A1070" s="10">
        <v>11069</v>
      </c>
      <c r="B1070" s="10">
        <v>861</v>
      </c>
      <c r="C1070" s="10">
        <v>2001</v>
      </c>
      <c r="D1070" s="10">
        <v>301</v>
      </c>
      <c r="E1070" s="1" t="s">
        <v>123</v>
      </c>
      <c r="F1070" s="1" t="s">
        <v>218</v>
      </c>
      <c r="G1070" s="10">
        <v>39</v>
      </c>
      <c r="H1070" s="1" t="s">
        <v>78</v>
      </c>
    </row>
    <row r="1071" spans="1:8" ht="15.75" customHeight="1" x14ac:dyDescent="0.3">
      <c r="A1071" s="10">
        <v>11070</v>
      </c>
      <c r="B1071" s="10">
        <v>533</v>
      </c>
      <c r="C1071" s="10">
        <v>2034</v>
      </c>
      <c r="D1071" s="10">
        <v>311</v>
      </c>
      <c r="E1071" s="1" t="s">
        <v>345</v>
      </c>
      <c r="F1071" s="1" t="s">
        <v>167</v>
      </c>
      <c r="G1071" s="10">
        <v>74</v>
      </c>
      <c r="H1071" s="1" t="s">
        <v>78</v>
      </c>
    </row>
    <row r="1072" spans="1:8" ht="15.75" customHeight="1" x14ac:dyDescent="0.3">
      <c r="A1072" s="10">
        <v>11071</v>
      </c>
      <c r="B1072" s="10">
        <v>709</v>
      </c>
      <c r="C1072" s="10">
        <v>2081</v>
      </c>
      <c r="D1072" s="10">
        <v>307</v>
      </c>
      <c r="E1072" s="1" t="s">
        <v>279</v>
      </c>
      <c r="F1072" s="1" t="s">
        <v>276</v>
      </c>
      <c r="G1072" s="10">
        <v>26</v>
      </c>
      <c r="H1072" s="1" t="s">
        <v>78</v>
      </c>
    </row>
    <row r="1073" spans="1:8" ht="15.75" customHeight="1" x14ac:dyDescent="0.3">
      <c r="A1073" s="10">
        <v>11072</v>
      </c>
      <c r="B1073" s="10">
        <v>669</v>
      </c>
      <c r="C1073" s="10">
        <v>2026</v>
      </c>
      <c r="D1073" s="10">
        <v>302</v>
      </c>
      <c r="E1073" s="1" t="s">
        <v>336</v>
      </c>
      <c r="F1073" s="1" t="s">
        <v>287</v>
      </c>
      <c r="G1073" s="10">
        <v>80</v>
      </c>
      <c r="H1073" s="1" t="s">
        <v>39</v>
      </c>
    </row>
    <row r="1074" spans="1:8" ht="15.75" customHeight="1" x14ac:dyDescent="0.3">
      <c r="A1074" s="10">
        <v>11073</v>
      </c>
      <c r="B1074" s="10">
        <v>847</v>
      </c>
      <c r="C1074" s="10">
        <v>2024</v>
      </c>
      <c r="D1074" s="10">
        <v>308</v>
      </c>
      <c r="E1074" s="1" t="s">
        <v>330</v>
      </c>
      <c r="F1074" s="1" t="s">
        <v>370</v>
      </c>
      <c r="G1074" s="10">
        <v>19</v>
      </c>
      <c r="H1074" s="1" t="s">
        <v>42</v>
      </c>
    </row>
    <row r="1075" spans="1:8" ht="15.75" customHeight="1" x14ac:dyDescent="0.3">
      <c r="A1075" s="10">
        <v>11074</v>
      </c>
      <c r="B1075" s="10">
        <v>846</v>
      </c>
      <c r="C1075" s="10">
        <v>2008</v>
      </c>
      <c r="D1075" s="10">
        <v>301</v>
      </c>
      <c r="E1075" s="1" t="s">
        <v>394</v>
      </c>
      <c r="F1075" s="1" t="s">
        <v>340</v>
      </c>
      <c r="G1075" s="10">
        <v>87</v>
      </c>
      <c r="H1075" s="1" t="s">
        <v>42</v>
      </c>
    </row>
    <row r="1076" spans="1:8" ht="15.75" customHeight="1" x14ac:dyDescent="0.3">
      <c r="A1076" s="10">
        <v>11075</v>
      </c>
      <c r="B1076" s="10">
        <v>514</v>
      </c>
      <c r="C1076" s="10">
        <v>2020</v>
      </c>
      <c r="D1076" s="10">
        <v>319</v>
      </c>
      <c r="E1076" s="1" t="s">
        <v>288</v>
      </c>
      <c r="F1076" s="1" t="s">
        <v>160</v>
      </c>
      <c r="G1076" s="10">
        <v>38</v>
      </c>
      <c r="H1076" s="1" t="s">
        <v>42</v>
      </c>
    </row>
    <row r="1077" spans="1:8" ht="15.75" customHeight="1" x14ac:dyDescent="0.3">
      <c r="A1077" s="10">
        <v>11076</v>
      </c>
      <c r="B1077" s="10">
        <v>839</v>
      </c>
      <c r="C1077" s="10">
        <v>2009</v>
      </c>
      <c r="D1077" s="10">
        <v>319</v>
      </c>
      <c r="E1077" s="1" t="s">
        <v>133</v>
      </c>
      <c r="F1077" s="1" t="s">
        <v>220</v>
      </c>
      <c r="G1077" s="10">
        <v>34</v>
      </c>
      <c r="H1077" s="1" t="s">
        <v>39</v>
      </c>
    </row>
    <row r="1078" spans="1:8" ht="15.75" customHeight="1" x14ac:dyDescent="0.3">
      <c r="A1078" s="10">
        <v>11077</v>
      </c>
      <c r="B1078" s="10">
        <v>754</v>
      </c>
      <c r="C1078" s="10">
        <v>2085</v>
      </c>
      <c r="D1078" s="10">
        <v>308</v>
      </c>
      <c r="E1078" s="1" t="s">
        <v>304</v>
      </c>
      <c r="F1078" s="1" t="s">
        <v>378</v>
      </c>
      <c r="G1078" s="10">
        <v>86</v>
      </c>
      <c r="H1078" s="1" t="s">
        <v>39</v>
      </c>
    </row>
    <row r="1079" spans="1:8" ht="15.75" customHeight="1" x14ac:dyDescent="0.3">
      <c r="A1079" s="10">
        <v>11078</v>
      </c>
      <c r="B1079" s="10">
        <v>547</v>
      </c>
      <c r="C1079" s="10">
        <v>2074</v>
      </c>
      <c r="D1079" s="10">
        <v>306</v>
      </c>
      <c r="E1079" s="1" t="s">
        <v>219</v>
      </c>
      <c r="F1079" s="1" t="s">
        <v>254</v>
      </c>
      <c r="G1079" s="10">
        <v>84</v>
      </c>
      <c r="H1079" s="1" t="s">
        <v>36</v>
      </c>
    </row>
    <row r="1080" spans="1:8" ht="15.75" customHeight="1" x14ac:dyDescent="0.3">
      <c r="A1080" s="10">
        <v>11079</v>
      </c>
      <c r="B1080" s="10">
        <v>668</v>
      </c>
      <c r="C1080" s="10">
        <v>2021</v>
      </c>
      <c r="D1080" s="10">
        <v>316</v>
      </c>
      <c r="E1080" s="1" t="s">
        <v>204</v>
      </c>
      <c r="F1080" s="1" t="s">
        <v>48</v>
      </c>
      <c r="G1080" s="10">
        <v>73</v>
      </c>
      <c r="H1080" s="1" t="s">
        <v>42</v>
      </c>
    </row>
    <row r="1081" spans="1:8" ht="15.75" customHeight="1" x14ac:dyDescent="0.3">
      <c r="A1081" s="10">
        <v>11080</v>
      </c>
      <c r="B1081" s="10">
        <v>715</v>
      </c>
      <c r="C1081" s="10">
        <v>2032</v>
      </c>
      <c r="D1081" s="10">
        <v>307</v>
      </c>
      <c r="E1081" s="1" t="s">
        <v>387</v>
      </c>
      <c r="F1081" s="1" t="s">
        <v>319</v>
      </c>
      <c r="G1081" s="10">
        <v>67</v>
      </c>
      <c r="H1081" s="1" t="s">
        <v>36</v>
      </c>
    </row>
    <row r="1082" spans="1:8" ht="15.75" customHeight="1" x14ac:dyDescent="0.3">
      <c r="A1082" s="10">
        <v>11081</v>
      </c>
      <c r="B1082" s="10">
        <v>763</v>
      </c>
      <c r="C1082" s="10">
        <v>2030</v>
      </c>
      <c r="D1082" s="10">
        <v>309</v>
      </c>
      <c r="E1082" s="1" t="s">
        <v>116</v>
      </c>
      <c r="F1082" s="1" t="s">
        <v>205</v>
      </c>
      <c r="G1082" s="10">
        <v>31</v>
      </c>
      <c r="H1082" s="1" t="s">
        <v>39</v>
      </c>
    </row>
    <row r="1083" spans="1:8" ht="15.75" customHeight="1" x14ac:dyDescent="0.3">
      <c r="A1083" s="10">
        <v>11082</v>
      </c>
      <c r="B1083" s="10">
        <v>539</v>
      </c>
      <c r="C1083" s="10">
        <v>2087</v>
      </c>
      <c r="D1083" s="10">
        <v>315</v>
      </c>
      <c r="E1083" s="1" t="s">
        <v>40</v>
      </c>
      <c r="F1083" s="1" t="s">
        <v>219</v>
      </c>
      <c r="G1083" s="10">
        <v>19</v>
      </c>
      <c r="H1083" s="1" t="s">
        <v>36</v>
      </c>
    </row>
    <row r="1084" spans="1:8" ht="15.75" customHeight="1" x14ac:dyDescent="0.3">
      <c r="A1084" s="10">
        <v>11083</v>
      </c>
      <c r="B1084" s="10">
        <v>800</v>
      </c>
      <c r="C1084" s="10">
        <v>2026</v>
      </c>
      <c r="D1084" s="10">
        <v>320</v>
      </c>
      <c r="E1084" s="1" t="s">
        <v>75</v>
      </c>
      <c r="F1084" s="1" t="s">
        <v>285</v>
      </c>
      <c r="G1084" s="10">
        <v>83</v>
      </c>
      <c r="H1084" s="1" t="s">
        <v>78</v>
      </c>
    </row>
    <row r="1085" spans="1:8" ht="15.75" customHeight="1" x14ac:dyDescent="0.3">
      <c r="A1085" s="10">
        <v>11084</v>
      </c>
      <c r="B1085" s="10">
        <v>790</v>
      </c>
      <c r="C1085" s="10">
        <v>2048</v>
      </c>
      <c r="D1085" s="10">
        <v>305</v>
      </c>
      <c r="E1085" s="1" t="s">
        <v>363</v>
      </c>
      <c r="F1085" s="1" t="s">
        <v>369</v>
      </c>
      <c r="G1085" s="10">
        <v>82</v>
      </c>
      <c r="H1085" s="1" t="s">
        <v>36</v>
      </c>
    </row>
    <row r="1086" spans="1:8" ht="15.75" customHeight="1" x14ac:dyDescent="0.3">
      <c r="A1086" s="10">
        <v>11085</v>
      </c>
      <c r="B1086" s="10">
        <v>764</v>
      </c>
      <c r="C1086" s="10">
        <v>2091</v>
      </c>
      <c r="D1086" s="10">
        <v>311</v>
      </c>
      <c r="E1086" s="1" t="s">
        <v>307</v>
      </c>
      <c r="F1086" s="1" t="s">
        <v>216</v>
      </c>
      <c r="G1086" s="10">
        <v>53</v>
      </c>
      <c r="H1086" s="1" t="s">
        <v>78</v>
      </c>
    </row>
    <row r="1087" spans="1:8" ht="15.75" customHeight="1" x14ac:dyDescent="0.3">
      <c r="A1087" s="10">
        <v>11086</v>
      </c>
      <c r="B1087" s="10">
        <v>806</v>
      </c>
      <c r="C1087" s="10">
        <v>2034</v>
      </c>
      <c r="D1087" s="10">
        <v>320</v>
      </c>
      <c r="E1087" s="1" t="s">
        <v>107</v>
      </c>
      <c r="F1087" s="1" t="s">
        <v>43</v>
      </c>
      <c r="G1087" s="10">
        <v>47</v>
      </c>
      <c r="H1087" s="1" t="s">
        <v>42</v>
      </c>
    </row>
    <row r="1088" spans="1:8" ht="15.75" customHeight="1" x14ac:dyDescent="0.3">
      <c r="A1088" s="10">
        <v>11087</v>
      </c>
      <c r="B1088" s="10">
        <v>765</v>
      </c>
      <c r="C1088" s="10">
        <v>2035</v>
      </c>
      <c r="D1088" s="10">
        <v>316</v>
      </c>
      <c r="E1088" s="1" t="s">
        <v>45</v>
      </c>
      <c r="F1088" s="1" t="s">
        <v>356</v>
      </c>
      <c r="G1088" s="10">
        <v>85</v>
      </c>
      <c r="H1088" s="1" t="s">
        <v>39</v>
      </c>
    </row>
    <row r="1089" spans="1:8" ht="15.75" customHeight="1" x14ac:dyDescent="0.3">
      <c r="A1089" s="10">
        <v>11088</v>
      </c>
      <c r="B1089" s="10">
        <v>687</v>
      </c>
      <c r="C1089" s="10">
        <v>2046</v>
      </c>
      <c r="D1089" s="10">
        <v>314</v>
      </c>
      <c r="E1089" s="1" t="s">
        <v>297</v>
      </c>
      <c r="F1089" s="1" t="s">
        <v>239</v>
      </c>
      <c r="G1089" s="10">
        <v>46</v>
      </c>
      <c r="H1089" s="1" t="s">
        <v>78</v>
      </c>
    </row>
    <row r="1090" spans="1:8" ht="15.75" customHeight="1" x14ac:dyDescent="0.3">
      <c r="A1090" s="10">
        <v>11089</v>
      </c>
      <c r="B1090" s="10">
        <v>733</v>
      </c>
      <c r="C1090" s="10">
        <v>2086</v>
      </c>
      <c r="D1090" s="10">
        <v>312</v>
      </c>
      <c r="E1090" s="1" t="s">
        <v>265</v>
      </c>
      <c r="F1090" s="1" t="s">
        <v>174</v>
      </c>
      <c r="G1090" s="10">
        <v>7</v>
      </c>
      <c r="H1090" s="1" t="s">
        <v>42</v>
      </c>
    </row>
    <row r="1091" spans="1:8" ht="15.75" customHeight="1" x14ac:dyDescent="0.3">
      <c r="A1091" s="10">
        <v>11090</v>
      </c>
      <c r="B1091" s="10">
        <v>804</v>
      </c>
      <c r="C1091" s="10">
        <v>2081</v>
      </c>
      <c r="D1091" s="10">
        <v>307</v>
      </c>
      <c r="E1091" s="1" t="s">
        <v>119</v>
      </c>
      <c r="F1091" s="1" t="s">
        <v>75</v>
      </c>
      <c r="G1091" s="10">
        <v>10</v>
      </c>
      <c r="H1091" s="1" t="s">
        <v>78</v>
      </c>
    </row>
    <row r="1092" spans="1:8" ht="15.75" customHeight="1" x14ac:dyDescent="0.3">
      <c r="A1092" s="10">
        <v>11091</v>
      </c>
      <c r="B1092" s="10">
        <v>537</v>
      </c>
      <c r="C1092" s="10">
        <v>2059</v>
      </c>
      <c r="D1092" s="10">
        <v>307</v>
      </c>
      <c r="E1092" s="1" t="s">
        <v>291</v>
      </c>
      <c r="F1092" s="1" t="s">
        <v>60</v>
      </c>
      <c r="G1092" s="10">
        <v>19</v>
      </c>
      <c r="H1092" s="1" t="s">
        <v>39</v>
      </c>
    </row>
    <row r="1093" spans="1:8" ht="15.75" customHeight="1" x14ac:dyDescent="0.3">
      <c r="A1093" s="10">
        <v>11092</v>
      </c>
      <c r="B1093" s="10">
        <v>563</v>
      </c>
      <c r="C1093" s="10">
        <v>2075</v>
      </c>
      <c r="D1093" s="10">
        <v>316</v>
      </c>
      <c r="E1093" s="1" t="s">
        <v>141</v>
      </c>
      <c r="F1093" s="1" t="s">
        <v>50</v>
      </c>
      <c r="G1093" s="10">
        <v>56</v>
      </c>
      <c r="H1093" s="1" t="s">
        <v>42</v>
      </c>
    </row>
    <row r="1094" spans="1:8" ht="15.75" customHeight="1" x14ac:dyDescent="0.3">
      <c r="A1094" s="10">
        <v>11093</v>
      </c>
      <c r="B1094" s="10">
        <v>634</v>
      </c>
      <c r="C1094" s="10">
        <v>2078</v>
      </c>
      <c r="D1094" s="10">
        <v>307</v>
      </c>
      <c r="E1094" s="1" t="s">
        <v>348</v>
      </c>
      <c r="F1094" s="1" t="s">
        <v>237</v>
      </c>
      <c r="G1094" s="10">
        <v>33</v>
      </c>
      <c r="H1094" s="1" t="s">
        <v>36</v>
      </c>
    </row>
    <row r="1095" spans="1:8" ht="15.75" customHeight="1" x14ac:dyDescent="0.3">
      <c r="A1095" s="10">
        <v>11094</v>
      </c>
      <c r="B1095" s="10">
        <v>889</v>
      </c>
      <c r="C1095" s="10">
        <v>2006</v>
      </c>
      <c r="D1095" s="10">
        <v>318</v>
      </c>
      <c r="E1095" s="1" t="s">
        <v>185</v>
      </c>
      <c r="F1095" s="1" t="s">
        <v>281</v>
      </c>
      <c r="G1095" s="10">
        <v>85</v>
      </c>
      <c r="H1095" s="1" t="s">
        <v>42</v>
      </c>
    </row>
    <row r="1096" spans="1:8" ht="15.75" customHeight="1" x14ac:dyDescent="0.3">
      <c r="A1096" s="10">
        <v>11095</v>
      </c>
      <c r="B1096" s="10">
        <v>884</v>
      </c>
      <c r="C1096" s="10">
        <v>2044</v>
      </c>
      <c r="D1096" s="10">
        <v>313</v>
      </c>
      <c r="E1096" s="1" t="s">
        <v>317</v>
      </c>
      <c r="F1096" s="1" t="s">
        <v>391</v>
      </c>
      <c r="G1096" s="10">
        <v>53</v>
      </c>
      <c r="H1096" s="1" t="s">
        <v>36</v>
      </c>
    </row>
    <row r="1097" spans="1:8" ht="15.75" customHeight="1" x14ac:dyDescent="0.3">
      <c r="A1097" s="10">
        <v>11096</v>
      </c>
      <c r="B1097" s="10">
        <v>528</v>
      </c>
      <c r="C1097" s="10">
        <v>2066</v>
      </c>
      <c r="D1097" s="10">
        <v>305</v>
      </c>
      <c r="E1097" s="1" t="s">
        <v>356</v>
      </c>
      <c r="F1097" s="1" t="s">
        <v>139</v>
      </c>
      <c r="G1097" s="10">
        <v>46</v>
      </c>
      <c r="H1097" s="1" t="s">
        <v>78</v>
      </c>
    </row>
    <row r="1098" spans="1:8" ht="15.75" customHeight="1" x14ac:dyDescent="0.3">
      <c r="A1098" s="10">
        <v>11097</v>
      </c>
      <c r="B1098" s="10">
        <v>538</v>
      </c>
      <c r="C1098" s="10">
        <v>2097</v>
      </c>
      <c r="D1098" s="10">
        <v>308</v>
      </c>
      <c r="E1098" s="1" t="s">
        <v>373</v>
      </c>
      <c r="F1098" s="1" t="s">
        <v>315</v>
      </c>
      <c r="G1098" s="10">
        <v>22</v>
      </c>
      <c r="H1098" s="1" t="s">
        <v>39</v>
      </c>
    </row>
    <row r="1099" spans="1:8" ht="15.75" customHeight="1" x14ac:dyDescent="0.3">
      <c r="A1099" s="10">
        <v>11098</v>
      </c>
      <c r="B1099" s="10">
        <v>602</v>
      </c>
      <c r="C1099" s="10">
        <v>2081</v>
      </c>
      <c r="D1099" s="10">
        <v>301</v>
      </c>
      <c r="E1099" s="1" t="s">
        <v>353</v>
      </c>
      <c r="F1099" s="1" t="s">
        <v>362</v>
      </c>
      <c r="G1099" s="10">
        <v>96</v>
      </c>
      <c r="H1099" s="1" t="s">
        <v>39</v>
      </c>
    </row>
    <row r="1100" spans="1:8" ht="15.75" customHeight="1" x14ac:dyDescent="0.3">
      <c r="A1100" s="10">
        <v>11099</v>
      </c>
      <c r="B1100" s="10">
        <v>862</v>
      </c>
      <c r="C1100" s="10">
        <v>2073</v>
      </c>
      <c r="D1100" s="10">
        <v>312</v>
      </c>
      <c r="E1100" s="1" t="s">
        <v>255</v>
      </c>
      <c r="F1100" s="1" t="s">
        <v>194</v>
      </c>
      <c r="G1100" s="10">
        <v>80</v>
      </c>
      <c r="H1100" s="1" t="s">
        <v>78</v>
      </c>
    </row>
    <row r="1101" spans="1:8" ht="15.75" customHeight="1" x14ac:dyDescent="0.3">
      <c r="A1101" s="10">
        <v>11100</v>
      </c>
      <c r="B1101" s="10">
        <v>671</v>
      </c>
      <c r="C1101" s="10">
        <v>2025</v>
      </c>
      <c r="D1101" s="10">
        <v>308</v>
      </c>
      <c r="E1101" s="1" t="s">
        <v>328</v>
      </c>
      <c r="F1101" s="1" t="s">
        <v>326</v>
      </c>
      <c r="G1101" s="10">
        <v>77</v>
      </c>
      <c r="H1101" s="1" t="s">
        <v>42</v>
      </c>
    </row>
    <row r="1102" spans="1:8" ht="15.75" customHeight="1" x14ac:dyDescent="0.3">
      <c r="A1102" s="10">
        <v>11101</v>
      </c>
      <c r="B1102" s="10">
        <v>701</v>
      </c>
      <c r="C1102" s="10">
        <v>2047</v>
      </c>
      <c r="D1102" s="10">
        <v>305</v>
      </c>
      <c r="E1102" s="1" t="s">
        <v>144</v>
      </c>
      <c r="F1102" s="1" t="s">
        <v>255</v>
      </c>
      <c r="G1102" s="10">
        <v>89</v>
      </c>
      <c r="H1102" s="1" t="s">
        <v>36</v>
      </c>
    </row>
    <row r="1103" spans="1:8" ht="15.75" customHeight="1" x14ac:dyDescent="0.3">
      <c r="A1103" s="10">
        <v>11102</v>
      </c>
      <c r="B1103" s="10">
        <v>539</v>
      </c>
      <c r="C1103" s="10">
        <v>2087</v>
      </c>
      <c r="D1103" s="10">
        <v>309</v>
      </c>
      <c r="E1103" s="1" t="s">
        <v>193</v>
      </c>
      <c r="F1103" s="1" t="s">
        <v>304</v>
      </c>
      <c r="G1103" s="10">
        <v>88</v>
      </c>
      <c r="H1103" s="1" t="s">
        <v>39</v>
      </c>
    </row>
    <row r="1104" spans="1:8" ht="15.75" customHeight="1" x14ac:dyDescent="0.3">
      <c r="A1104" s="10">
        <v>11103</v>
      </c>
      <c r="B1104" s="10">
        <v>575</v>
      </c>
      <c r="C1104" s="10">
        <v>2062</v>
      </c>
      <c r="D1104" s="10">
        <v>313</v>
      </c>
      <c r="E1104" s="1" t="s">
        <v>406</v>
      </c>
      <c r="F1104" s="1" t="s">
        <v>159</v>
      </c>
      <c r="G1104" s="10">
        <v>68</v>
      </c>
      <c r="H1104" s="1" t="s">
        <v>42</v>
      </c>
    </row>
    <row r="1105" spans="1:8" ht="15.75" customHeight="1" x14ac:dyDescent="0.3">
      <c r="A1105" s="10">
        <v>11104</v>
      </c>
      <c r="B1105" s="10">
        <v>579</v>
      </c>
      <c r="C1105" s="10">
        <v>2030</v>
      </c>
      <c r="D1105" s="10">
        <v>319</v>
      </c>
      <c r="E1105" s="1" t="s">
        <v>115</v>
      </c>
      <c r="F1105" s="1" t="s">
        <v>305</v>
      </c>
      <c r="G1105" s="10">
        <v>26</v>
      </c>
      <c r="H1105" s="1" t="s">
        <v>36</v>
      </c>
    </row>
    <row r="1106" spans="1:8" ht="15.75" customHeight="1" x14ac:dyDescent="0.3">
      <c r="A1106" s="10">
        <v>11105</v>
      </c>
      <c r="B1106" s="10">
        <v>731</v>
      </c>
      <c r="C1106" s="10">
        <v>2026</v>
      </c>
      <c r="D1106" s="10">
        <v>303</v>
      </c>
      <c r="E1106" s="1" t="s">
        <v>107</v>
      </c>
      <c r="F1106" s="1" t="s">
        <v>77</v>
      </c>
      <c r="G1106" s="10">
        <v>98</v>
      </c>
      <c r="H1106" s="1" t="s">
        <v>36</v>
      </c>
    </row>
    <row r="1107" spans="1:8" ht="15.75" customHeight="1" x14ac:dyDescent="0.3">
      <c r="A1107" s="10">
        <v>11106</v>
      </c>
      <c r="B1107" s="10">
        <v>684</v>
      </c>
      <c r="C1107" s="10">
        <v>2053</v>
      </c>
      <c r="D1107" s="10">
        <v>308</v>
      </c>
      <c r="E1107" s="1" t="s">
        <v>136</v>
      </c>
      <c r="F1107" s="1" t="s">
        <v>268</v>
      </c>
      <c r="G1107" s="10">
        <v>5</v>
      </c>
      <c r="H1107" s="1" t="s">
        <v>39</v>
      </c>
    </row>
    <row r="1108" spans="1:8" ht="15.75" customHeight="1" x14ac:dyDescent="0.3">
      <c r="A1108" s="10">
        <v>11107</v>
      </c>
      <c r="B1108" s="10">
        <v>724</v>
      </c>
      <c r="C1108" s="10">
        <v>2060</v>
      </c>
      <c r="D1108" s="10">
        <v>314</v>
      </c>
      <c r="E1108" s="1" t="s">
        <v>250</v>
      </c>
      <c r="F1108" s="1" t="s">
        <v>343</v>
      </c>
      <c r="G1108" s="10">
        <v>93</v>
      </c>
      <c r="H1108" s="1" t="s">
        <v>78</v>
      </c>
    </row>
    <row r="1109" spans="1:8" ht="15.75" customHeight="1" x14ac:dyDescent="0.3">
      <c r="A1109" s="10">
        <v>11108</v>
      </c>
      <c r="B1109" s="10">
        <v>746</v>
      </c>
      <c r="C1109" s="10">
        <v>2021</v>
      </c>
      <c r="D1109" s="10">
        <v>311</v>
      </c>
      <c r="E1109" s="1" t="s">
        <v>309</v>
      </c>
      <c r="F1109" s="1" t="s">
        <v>229</v>
      </c>
      <c r="G1109" s="10">
        <v>44</v>
      </c>
      <c r="H1109" s="1" t="s">
        <v>36</v>
      </c>
    </row>
    <row r="1110" spans="1:8" ht="15.75" customHeight="1" x14ac:dyDescent="0.3">
      <c r="A1110" s="10">
        <v>11109</v>
      </c>
      <c r="B1110" s="10">
        <v>620</v>
      </c>
      <c r="C1110" s="10">
        <v>2028</v>
      </c>
      <c r="D1110" s="10">
        <v>317</v>
      </c>
      <c r="E1110" s="1" t="s">
        <v>291</v>
      </c>
      <c r="F1110" s="1" t="s">
        <v>166</v>
      </c>
      <c r="G1110" s="10">
        <v>56</v>
      </c>
      <c r="H1110" s="1" t="s">
        <v>36</v>
      </c>
    </row>
    <row r="1111" spans="1:8" ht="15.75" customHeight="1" x14ac:dyDescent="0.3">
      <c r="A1111" s="10">
        <v>11110</v>
      </c>
      <c r="B1111" s="10">
        <v>792</v>
      </c>
      <c r="C1111" s="10">
        <v>2098</v>
      </c>
      <c r="D1111" s="10">
        <v>307</v>
      </c>
      <c r="E1111" s="1" t="s">
        <v>292</v>
      </c>
      <c r="F1111" s="1" t="s">
        <v>404</v>
      </c>
      <c r="G1111" s="10">
        <v>99</v>
      </c>
      <c r="H1111" s="1" t="s">
        <v>39</v>
      </c>
    </row>
    <row r="1112" spans="1:8" ht="15.75" customHeight="1" x14ac:dyDescent="0.3">
      <c r="A1112" s="10">
        <v>11111</v>
      </c>
      <c r="B1112" s="10">
        <v>697</v>
      </c>
      <c r="C1112" s="10">
        <v>2058</v>
      </c>
      <c r="D1112" s="10">
        <v>307</v>
      </c>
      <c r="E1112" s="1" t="s">
        <v>361</v>
      </c>
      <c r="F1112" s="1" t="s">
        <v>355</v>
      </c>
      <c r="G1112" s="10">
        <v>15</v>
      </c>
      <c r="H1112" s="1" t="s">
        <v>39</v>
      </c>
    </row>
    <row r="1113" spans="1:8" ht="15.75" customHeight="1" x14ac:dyDescent="0.3">
      <c r="A1113" s="10">
        <v>11112</v>
      </c>
      <c r="B1113" s="10">
        <v>665</v>
      </c>
      <c r="C1113" s="10">
        <v>2080</v>
      </c>
      <c r="D1113" s="10">
        <v>312</v>
      </c>
      <c r="E1113" s="1" t="s">
        <v>317</v>
      </c>
      <c r="F1113" s="1" t="s">
        <v>204</v>
      </c>
      <c r="G1113" s="10">
        <v>90</v>
      </c>
      <c r="H1113" s="1" t="s">
        <v>42</v>
      </c>
    </row>
    <row r="1114" spans="1:8" ht="15.75" customHeight="1" x14ac:dyDescent="0.3">
      <c r="A1114" s="10">
        <v>11113</v>
      </c>
      <c r="B1114" s="10">
        <v>840</v>
      </c>
      <c r="C1114" s="10">
        <v>2053</v>
      </c>
      <c r="D1114" s="10">
        <v>306</v>
      </c>
      <c r="E1114" s="1" t="s">
        <v>69</v>
      </c>
      <c r="F1114" s="1" t="s">
        <v>180</v>
      </c>
      <c r="G1114" s="10">
        <v>73</v>
      </c>
      <c r="H1114" s="1" t="s">
        <v>36</v>
      </c>
    </row>
    <row r="1115" spans="1:8" ht="15.75" customHeight="1" x14ac:dyDescent="0.3">
      <c r="A1115" s="10">
        <v>11114</v>
      </c>
      <c r="B1115" s="10">
        <v>883</v>
      </c>
      <c r="C1115" s="10">
        <v>2004</v>
      </c>
      <c r="D1115" s="10">
        <v>309</v>
      </c>
      <c r="E1115" s="1" t="s">
        <v>180</v>
      </c>
      <c r="F1115" s="1" t="s">
        <v>130</v>
      </c>
      <c r="G1115" s="10">
        <v>47</v>
      </c>
      <c r="H1115" s="1" t="s">
        <v>42</v>
      </c>
    </row>
    <row r="1116" spans="1:8" ht="15.75" customHeight="1" x14ac:dyDescent="0.3">
      <c r="A1116" s="10">
        <v>11115</v>
      </c>
      <c r="B1116" s="10">
        <v>763</v>
      </c>
      <c r="C1116" s="10">
        <v>2031</v>
      </c>
      <c r="D1116" s="10">
        <v>315</v>
      </c>
      <c r="E1116" s="1" t="s">
        <v>199</v>
      </c>
      <c r="F1116" s="1" t="s">
        <v>177</v>
      </c>
      <c r="G1116" s="10">
        <v>10</v>
      </c>
      <c r="H1116" s="1" t="s">
        <v>78</v>
      </c>
    </row>
    <row r="1117" spans="1:8" ht="15.75" customHeight="1" x14ac:dyDescent="0.3">
      <c r="A1117" s="10">
        <v>11116</v>
      </c>
      <c r="B1117" s="10">
        <v>810</v>
      </c>
      <c r="C1117" s="10">
        <v>2008</v>
      </c>
      <c r="D1117" s="10">
        <v>316</v>
      </c>
      <c r="E1117" s="1" t="s">
        <v>226</v>
      </c>
      <c r="F1117" s="1" t="s">
        <v>366</v>
      </c>
      <c r="G1117" s="10">
        <v>6</v>
      </c>
      <c r="H1117" s="1" t="s">
        <v>36</v>
      </c>
    </row>
    <row r="1118" spans="1:8" ht="15.75" customHeight="1" x14ac:dyDescent="0.3">
      <c r="A1118" s="10">
        <v>11117</v>
      </c>
      <c r="B1118" s="10">
        <v>613</v>
      </c>
      <c r="C1118" s="10">
        <v>2094</v>
      </c>
      <c r="D1118" s="10">
        <v>311</v>
      </c>
      <c r="E1118" s="1" t="s">
        <v>106</v>
      </c>
      <c r="F1118" s="1" t="s">
        <v>217</v>
      </c>
      <c r="G1118" s="10">
        <v>51</v>
      </c>
      <c r="H1118" s="1" t="s">
        <v>39</v>
      </c>
    </row>
    <row r="1119" spans="1:8" ht="15.75" customHeight="1" x14ac:dyDescent="0.3">
      <c r="A1119" s="10">
        <v>11118</v>
      </c>
      <c r="B1119" s="10">
        <v>725</v>
      </c>
      <c r="C1119" s="10">
        <v>2030</v>
      </c>
      <c r="D1119" s="10">
        <v>306</v>
      </c>
      <c r="E1119" s="1" t="s">
        <v>64</v>
      </c>
      <c r="F1119" s="1" t="s">
        <v>112</v>
      </c>
      <c r="G1119" s="10">
        <v>89</v>
      </c>
      <c r="H1119" s="1" t="s">
        <v>42</v>
      </c>
    </row>
    <row r="1120" spans="1:8" ht="15.75" customHeight="1" x14ac:dyDescent="0.3">
      <c r="A1120" s="10">
        <v>11119</v>
      </c>
      <c r="B1120" s="10">
        <v>823</v>
      </c>
      <c r="C1120" s="10">
        <v>2010</v>
      </c>
      <c r="D1120" s="10">
        <v>309</v>
      </c>
      <c r="E1120" s="1" t="s">
        <v>311</v>
      </c>
      <c r="F1120" s="1" t="s">
        <v>319</v>
      </c>
      <c r="G1120" s="10">
        <v>63</v>
      </c>
      <c r="H1120" s="1" t="s">
        <v>78</v>
      </c>
    </row>
    <row r="1121" spans="1:8" ht="15.75" customHeight="1" x14ac:dyDescent="0.3">
      <c r="A1121" s="10">
        <v>11120</v>
      </c>
      <c r="B1121" s="10">
        <v>717</v>
      </c>
      <c r="C1121" s="10">
        <v>2064</v>
      </c>
      <c r="D1121" s="10">
        <v>317</v>
      </c>
      <c r="E1121" s="1" t="s">
        <v>112</v>
      </c>
      <c r="F1121" s="1" t="s">
        <v>231</v>
      </c>
      <c r="G1121" s="10">
        <v>10</v>
      </c>
      <c r="H1121" s="1" t="s">
        <v>39</v>
      </c>
    </row>
    <row r="1122" spans="1:8" ht="15.75" customHeight="1" x14ac:dyDescent="0.3">
      <c r="A1122" s="10">
        <v>11121</v>
      </c>
      <c r="B1122" s="10">
        <v>865</v>
      </c>
      <c r="C1122" s="10">
        <v>2084</v>
      </c>
      <c r="D1122" s="10">
        <v>312</v>
      </c>
      <c r="E1122" s="1" t="s">
        <v>267</v>
      </c>
      <c r="F1122" s="1" t="s">
        <v>350</v>
      </c>
      <c r="G1122" s="10">
        <v>83</v>
      </c>
      <c r="H1122" s="1" t="s">
        <v>36</v>
      </c>
    </row>
    <row r="1123" spans="1:8" ht="15.75" customHeight="1" x14ac:dyDescent="0.3">
      <c r="A1123" s="10">
        <v>11122</v>
      </c>
      <c r="B1123" s="10">
        <v>686</v>
      </c>
      <c r="C1123" s="10">
        <v>2085</v>
      </c>
      <c r="D1123" s="10">
        <v>313</v>
      </c>
      <c r="E1123" s="1" t="s">
        <v>98</v>
      </c>
      <c r="F1123" s="1" t="s">
        <v>113</v>
      </c>
      <c r="G1123" s="10">
        <v>18</v>
      </c>
      <c r="H1123" s="1" t="s">
        <v>39</v>
      </c>
    </row>
    <row r="1124" spans="1:8" ht="15.75" customHeight="1" x14ac:dyDescent="0.3">
      <c r="A1124" s="10">
        <v>11123</v>
      </c>
      <c r="B1124" s="10">
        <v>723</v>
      </c>
      <c r="C1124" s="10">
        <v>2064</v>
      </c>
      <c r="D1124" s="10">
        <v>306</v>
      </c>
      <c r="E1124" s="1" t="s">
        <v>103</v>
      </c>
      <c r="F1124" s="1" t="s">
        <v>106</v>
      </c>
      <c r="G1124" s="10">
        <v>66</v>
      </c>
      <c r="H1124" s="1" t="s">
        <v>78</v>
      </c>
    </row>
    <row r="1125" spans="1:8" ht="15.75" customHeight="1" x14ac:dyDescent="0.3">
      <c r="A1125" s="10">
        <v>11124</v>
      </c>
      <c r="B1125" s="10">
        <v>890</v>
      </c>
      <c r="C1125" s="10">
        <v>2031</v>
      </c>
      <c r="D1125" s="10">
        <v>318</v>
      </c>
      <c r="E1125" s="1" t="s">
        <v>348</v>
      </c>
      <c r="F1125" s="1" t="s">
        <v>349</v>
      </c>
      <c r="G1125" s="10">
        <v>48</v>
      </c>
      <c r="H1125" s="1" t="s">
        <v>36</v>
      </c>
    </row>
    <row r="1126" spans="1:8" ht="15.75" customHeight="1" x14ac:dyDescent="0.3">
      <c r="A1126" s="10">
        <v>11125</v>
      </c>
      <c r="B1126" s="10">
        <v>768</v>
      </c>
      <c r="C1126" s="10">
        <v>2048</v>
      </c>
      <c r="D1126" s="10">
        <v>313</v>
      </c>
      <c r="E1126" s="1" t="s">
        <v>98</v>
      </c>
      <c r="F1126" s="1" t="s">
        <v>174</v>
      </c>
      <c r="G1126" s="10">
        <v>20</v>
      </c>
      <c r="H1126" s="1" t="s">
        <v>39</v>
      </c>
    </row>
    <row r="1127" spans="1:8" ht="15.75" customHeight="1" x14ac:dyDescent="0.3">
      <c r="A1127" s="10">
        <v>11126</v>
      </c>
      <c r="B1127" s="10">
        <v>505</v>
      </c>
      <c r="C1127" s="10">
        <v>2095</v>
      </c>
      <c r="D1127" s="10">
        <v>305</v>
      </c>
      <c r="E1127" s="1" t="s">
        <v>94</v>
      </c>
      <c r="F1127" s="1" t="s">
        <v>269</v>
      </c>
      <c r="G1127" s="10">
        <v>96</v>
      </c>
      <c r="H1127" s="1" t="s">
        <v>42</v>
      </c>
    </row>
    <row r="1128" spans="1:8" ht="15.75" customHeight="1" x14ac:dyDescent="0.3">
      <c r="A1128" s="10">
        <v>11127</v>
      </c>
      <c r="B1128" s="10">
        <v>879</v>
      </c>
      <c r="C1128" s="10">
        <v>2063</v>
      </c>
      <c r="D1128" s="10">
        <v>311</v>
      </c>
      <c r="E1128" s="1" t="s">
        <v>332</v>
      </c>
      <c r="F1128" s="1" t="s">
        <v>44</v>
      </c>
      <c r="G1128" s="10">
        <v>97</v>
      </c>
      <c r="H1128" s="1" t="s">
        <v>42</v>
      </c>
    </row>
    <row r="1129" spans="1:8" ht="15.75" customHeight="1" x14ac:dyDescent="0.3">
      <c r="A1129" s="10">
        <v>11128</v>
      </c>
      <c r="B1129" s="10">
        <v>675</v>
      </c>
      <c r="C1129" s="10">
        <v>2082</v>
      </c>
      <c r="D1129" s="10">
        <v>308</v>
      </c>
      <c r="E1129" s="1" t="s">
        <v>320</v>
      </c>
      <c r="F1129" s="1" t="s">
        <v>359</v>
      </c>
      <c r="G1129" s="10">
        <v>73</v>
      </c>
      <c r="H1129" s="1" t="s">
        <v>36</v>
      </c>
    </row>
    <row r="1130" spans="1:8" ht="15.75" customHeight="1" x14ac:dyDescent="0.3">
      <c r="A1130" s="10">
        <v>11129</v>
      </c>
      <c r="B1130" s="10">
        <v>865</v>
      </c>
      <c r="C1130" s="10">
        <v>2044</v>
      </c>
      <c r="D1130" s="10">
        <v>303</v>
      </c>
      <c r="E1130" s="1" t="s">
        <v>54</v>
      </c>
      <c r="F1130" s="1" t="s">
        <v>356</v>
      </c>
      <c r="G1130" s="10">
        <v>22</v>
      </c>
      <c r="H1130" s="1" t="s">
        <v>42</v>
      </c>
    </row>
    <row r="1131" spans="1:8" ht="15.75" customHeight="1" x14ac:dyDescent="0.3">
      <c r="A1131" s="10">
        <v>11130</v>
      </c>
      <c r="B1131" s="10">
        <v>716</v>
      </c>
      <c r="C1131" s="10">
        <v>2006</v>
      </c>
      <c r="D1131" s="10">
        <v>307</v>
      </c>
      <c r="E1131" s="1" t="s">
        <v>317</v>
      </c>
      <c r="F1131" s="1" t="s">
        <v>74</v>
      </c>
      <c r="G1131" s="10">
        <v>92</v>
      </c>
      <c r="H1131" s="1" t="s">
        <v>39</v>
      </c>
    </row>
    <row r="1132" spans="1:8" ht="15.75" customHeight="1" x14ac:dyDescent="0.3">
      <c r="A1132" s="10">
        <v>11131</v>
      </c>
      <c r="B1132" s="10">
        <v>625</v>
      </c>
      <c r="C1132" s="10">
        <v>2042</v>
      </c>
      <c r="D1132" s="10">
        <v>312</v>
      </c>
      <c r="E1132" s="1" t="s">
        <v>132</v>
      </c>
      <c r="F1132" s="1" t="s">
        <v>103</v>
      </c>
      <c r="G1132" s="10">
        <v>20</v>
      </c>
      <c r="H1132" s="1" t="s">
        <v>78</v>
      </c>
    </row>
    <row r="1133" spans="1:8" ht="15.75" customHeight="1" x14ac:dyDescent="0.3">
      <c r="A1133" s="10">
        <v>11132</v>
      </c>
      <c r="B1133" s="10">
        <v>866</v>
      </c>
      <c r="C1133" s="10">
        <v>2041</v>
      </c>
      <c r="D1133" s="10">
        <v>317</v>
      </c>
      <c r="E1133" s="1" t="s">
        <v>122</v>
      </c>
      <c r="F1133" s="1" t="s">
        <v>357</v>
      </c>
      <c r="G1133" s="10">
        <v>44</v>
      </c>
      <c r="H1133" s="1" t="s">
        <v>42</v>
      </c>
    </row>
    <row r="1134" spans="1:8" ht="15.75" customHeight="1" x14ac:dyDescent="0.3">
      <c r="A1134" s="10">
        <v>11133</v>
      </c>
      <c r="B1134" s="10">
        <v>608</v>
      </c>
      <c r="C1134" s="10">
        <v>2073</v>
      </c>
      <c r="D1134" s="10">
        <v>311</v>
      </c>
      <c r="E1134" s="1" t="s">
        <v>132</v>
      </c>
      <c r="F1134" s="1" t="s">
        <v>134</v>
      </c>
      <c r="G1134" s="10">
        <v>51</v>
      </c>
      <c r="H1134" s="1" t="s">
        <v>36</v>
      </c>
    </row>
    <row r="1135" spans="1:8" ht="15.75" customHeight="1" x14ac:dyDescent="0.3">
      <c r="A1135" s="10">
        <v>11134</v>
      </c>
      <c r="B1135" s="10">
        <v>555</v>
      </c>
      <c r="C1135" s="10">
        <v>2055</v>
      </c>
      <c r="D1135" s="10">
        <v>307</v>
      </c>
      <c r="E1135" s="1" t="s">
        <v>105</v>
      </c>
      <c r="F1135" s="1" t="s">
        <v>327</v>
      </c>
      <c r="G1135" s="10">
        <v>20</v>
      </c>
      <c r="H1135" s="1" t="s">
        <v>78</v>
      </c>
    </row>
    <row r="1136" spans="1:8" ht="15.75" customHeight="1" x14ac:dyDescent="0.3">
      <c r="A1136" s="10">
        <v>11135</v>
      </c>
      <c r="B1136" s="10">
        <v>652</v>
      </c>
      <c r="C1136" s="10">
        <v>2072</v>
      </c>
      <c r="D1136" s="10">
        <v>308</v>
      </c>
      <c r="E1136" s="1" t="s">
        <v>271</v>
      </c>
      <c r="F1136" s="1" t="s">
        <v>408</v>
      </c>
      <c r="G1136" s="10">
        <v>82</v>
      </c>
      <c r="H1136" s="1" t="s">
        <v>39</v>
      </c>
    </row>
    <row r="1137" spans="1:8" ht="15.75" customHeight="1" x14ac:dyDescent="0.3">
      <c r="A1137" s="10">
        <v>11136</v>
      </c>
      <c r="B1137" s="10">
        <v>524</v>
      </c>
      <c r="C1137" s="10">
        <v>2083</v>
      </c>
      <c r="D1137" s="10">
        <v>310</v>
      </c>
      <c r="E1137" s="1" t="s">
        <v>346</v>
      </c>
      <c r="F1137" s="1" t="s">
        <v>253</v>
      </c>
      <c r="G1137" s="10">
        <v>12</v>
      </c>
      <c r="H1137" s="1" t="s">
        <v>78</v>
      </c>
    </row>
    <row r="1138" spans="1:8" ht="15.75" customHeight="1" x14ac:dyDescent="0.3">
      <c r="A1138" s="10">
        <v>11137</v>
      </c>
      <c r="B1138" s="10">
        <v>805</v>
      </c>
      <c r="C1138" s="10">
        <v>2061</v>
      </c>
      <c r="D1138" s="10">
        <v>310</v>
      </c>
      <c r="E1138" s="1" t="s">
        <v>222</v>
      </c>
      <c r="F1138" s="1" t="s">
        <v>386</v>
      </c>
      <c r="G1138" s="10">
        <v>52</v>
      </c>
      <c r="H1138" s="1" t="s">
        <v>39</v>
      </c>
    </row>
    <row r="1139" spans="1:8" ht="15.75" customHeight="1" x14ac:dyDescent="0.3">
      <c r="A1139" s="10">
        <v>11138</v>
      </c>
      <c r="B1139" s="10">
        <v>845</v>
      </c>
      <c r="C1139" s="10">
        <v>2018</v>
      </c>
      <c r="D1139" s="10">
        <v>315</v>
      </c>
      <c r="E1139" s="1" t="s">
        <v>359</v>
      </c>
      <c r="F1139" s="1" t="s">
        <v>106</v>
      </c>
      <c r="G1139" s="10">
        <v>16</v>
      </c>
      <c r="H1139" s="1" t="s">
        <v>36</v>
      </c>
    </row>
    <row r="1140" spans="1:8" ht="15.75" customHeight="1" x14ac:dyDescent="0.3">
      <c r="A1140" s="10">
        <v>11139</v>
      </c>
      <c r="B1140" s="10">
        <v>828</v>
      </c>
      <c r="C1140" s="10">
        <v>2083</v>
      </c>
      <c r="D1140" s="10">
        <v>306</v>
      </c>
      <c r="E1140" s="1" t="s">
        <v>234</v>
      </c>
      <c r="F1140" s="1" t="s">
        <v>282</v>
      </c>
      <c r="G1140" s="10">
        <v>12</v>
      </c>
      <c r="H1140" s="1" t="s">
        <v>42</v>
      </c>
    </row>
    <row r="1141" spans="1:8" ht="15.75" customHeight="1" x14ac:dyDescent="0.3">
      <c r="A1141" s="10">
        <v>11140</v>
      </c>
      <c r="B1141" s="10">
        <v>843</v>
      </c>
      <c r="C1141" s="10">
        <v>2038</v>
      </c>
      <c r="D1141" s="10">
        <v>309</v>
      </c>
      <c r="E1141" s="1" t="s">
        <v>266</v>
      </c>
      <c r="F1141" s="1" t="s">
        <v>267</v>
      </c>
      <c r="G1141" s="10">
        <v>63</v>
      </c>
      <c r="H1141" s="1" t="s">
        <v>78</v>
      </c>
    </row>
    <row r="1142" spans="1:8" ht="15.75" customHeight="1" x14ac:dyDescent="0.3">
      <c r="A1142" s="10">
        <v>11141</v>
      </c>
      <c r="B1142" s="10">
        <v>522</v>
      </c>
      <c r="C1142" s="10">
        <v>2083</v>
      </c>
      <c r="D1142" s="10">
        <v>318</v>
      </c>
      <c r="E1142" s="1" t="s">
        <v>133</v>
      </c>
      <c r="F1142" s="1" t="s">
        <v>82</v>
      </c>
      <c r="G1142" s="10">
        <v>12</v>
      </c>
      <c r="H1142" s="1" t="s">
        <v>78</v>
      </c>
    </row>
    <row r="1143" spans="1:8" ht="15.75" customHeight="1" x14ac:dyDescent="0.3">
      <c r="A1143" s="10">
        <v>11142</v>
      </c>
      <c r="B1143" s="10">
        <v>757</v>
      </c>
      <c r="C1143" s="10">
        <v>2095</v>
      </c>
      <c r="D1143" s="10">
        <v>320</v>
      </c>
      <c r="E1143" s="1" t="s">
        <v>360</v>
      </c>
      <c r="F1143" s="1" t="s">
        <v>292</v>
      </c>
      <c r="G1143" s="10">
        <v>18</v>
      </c>
      <c r="H1143" s="1" t="s">
        <v>36</v>
      </c>
    </row>
    <row r="1144" spans="1:8" ht="15.75" customHeight="1" x14ac:dyDescent="0.3">
      <c r="A1144" s="10">
        <v>11143</v>
      </c>
      <c r="B1144" s="10">
        <v>813</v>
      </c>
      <c r="C1144" s="10">
        <v>2087</v>
      </c>
      <c r="D1144" s="10">
        <v>316</v>
      </c>
      <c r="E1144" s="1" t="s">
        <v>324</v>
      </c>
      <c r="F1144" s="1" t="s">
        <v>113</v>
      </c>
      <c r="G1144" s="10">
        <v>4</v>
      </c>
      <c r="H1144" s="1" t="s">
        <v>36</v>
      </c>
    </row>
    <row r="1145" spans="1:8" ht="15.75" customHeight="1" x14ac:dyDescent="0.3">
      <c r="A1145" s="10">
        <v>11144</v>
      </c>
      <c r="B1145" s="10">
        <v>636</v>
      </c>
      <c r="C1145" s="10">
        <v>2078</v>
      </c>
      <c r="D1145" s="10">
        <v>307</v>
      </c>
      <c r="E1145" s="1" t="s">
        <v>182</v>
      </c>
      <c r="F1145" s="1" t="s">
        <v>135</v>
      </c>
      <c r="G1145" s="10">
        <v>41</v>
      </c>
      <c r="H1145" s="1" t="s">
        <v>42</v>
      </c>
    </row>
    <row r="1146" spans="1:8" ht="15.75" customHeight="1" x14ac:dyDescent="0.3">
      <c r="A1146" s="10">
        <v>11145</v>
      </c>
      <c r="B1146" s="10">
        <v>853</v>
      </c>
      <c r="C1146" s="10">
        <v>2040</v>
      </c>
      <c r="D1146" s="10">
        <v>302</v>
      </c>
      <c r="E1146" s="1" t="s">
        <v>270</v>
      </c>
      <c r="F1146" s="1" t="s">
        <v>287</v>
      </c>
      <c r="G1146" s="10">
        <v>32</v>
      </c>
      <c r="H1146" s="1" t="s">
        <v>39</v>
      </c>
    </row>
    <row r="1147" spans="1:8" ht="15.75" customHeight="1" x14ac:dyDescent="0.3">
      <c r="A1147" s="10">
        <v>11146</v>
      </c>
      <c r="B1147" s="10">
        <v>586</v>
      </c>
      <c r="C1147" s="10">
        <v>2029</v>
      </c>
      <c r="D1147" s="10">
        <v>317</v>
      </c>
      <c r="E1147" s="1" t="s">
        <v>38</v>
      </c>
      <c r="F1147" s="1" t="s">
        <v>336</v>
      </c>
      <c r="G1147" s="10">
        <v>27</v>
      </c>
      <c r="H1147" s="1" t="s">
        <v>36</v>
      </c>
    </row>
    <row r="1148" spans="1:8" ht="15.75" customHeight="1" x14ac:dyDescent="0.3">
      <c r="A1148" s="10">
        <v>11147</v>
      </c>
      <c r="B1148" s="10">
        <v>543</v>
      </c>
      <c r="C1148" s="10">
        <v>2095</v>
      </c>
      <c r="D1148" s="10">
        <v>303</v>
      </c>
      <c r="E1148" s="1" t="s">
        <v>354</v>
      </c>
      <c r="F1148" s="1" t="s">
        <v>281</v>
      </c>
      <c r="G1148" s="10">
        <v>8</v>
      </c>
      <c r="H1148" s="1" t="s">
        <v>36</v>
      </c>
    </row>
    <row r="1149" spans="1:8" ht="15.75" customHeight="1" x14ac:dyDescent="0.3">
      <c r="A1149" s="10">
        <v>11148</v>
      </c>
      <c r="B1149" s="10">
        <v>851</v>
      </c>
      <c r="C1149" s="10">
        <v>2036</v>
      </c>
      <c r="D1149" s="10">
        <v>313</v>
      </c>
      <c r="E1149" s="1" t="s">
        <v>95</v>
      </c>
      <c r="F1149" s="1" t="s">
        <v>380</v>
      </c>
      <c r="G1149" s="10">
        <v>39</v>
      </c>
      <c r="H1149" s="1" t="s">
        <v>36</v>
      </c>
    </row>
    <row r="1150" spans="1:8" ht="15.75" customHeight="1" x14ac:dyDescent="0.3">
      <c r="A1150" s="10">
        <v>11149</v>
      </c>
      <c r="B1150" s="10">
        <v>800</v>
      </c>
      <c r="C1150" s="10">
        <v>2071</v>
      </c>
      <c r="D1150" s="10">
        <v>319</v>
      </c>
      <c r="E1150" s="1" t="s">
        <v>334</v>
      </c>
      <c r="F1150" s="1" t="s">
        <v>239</v>
      </c>
      <c r="G1150" s="10">
        <v>63</v>
      </c>
      <c r="H1150" s="1" t="s">
        <v>36</v>
      </c>
    </row>
    <row r="1151" spans="1:8" ht="15.75" customHeight="1" x14ac:dyDescent="0.3">
      <c r="A1151" s="10">
        <v>11150</v>
      </c>
      <c r="B1151" s="10">
        <v>531</v>
      </c>
      <c r="C1151" s="10">
        <v>2047</v>
      </c>
      <c r="D1151" s="10">
        <v>307</v>
      </c>
      <c r="E1151" s="1" t="s">
        <v>183</v>
      </c>
      <c r="F1151" s="1" t="s">
        <v>137</v>
      </c>
      <c r="G1151" s="10">
        <v>61</v>
      </c>
      <c r="H1151" s="1" t="s">
        <v>36</v>
      </c>
    </row>
    <row r="1152" spans="1:8" ht="15.75" customHeight="1" x14ac:dyDescent="0.3">
      <c r="A1152" s="10">
        <v>11151</v>
      </c>
      <c r="B1152" s="10">
        <v>746</v>
      </c>
      <c r="C1152" s="10">
        <v>2084</v>
      </c>
      <c r="D1152" s="10">
        <v>304</v>
      </c>
      <c r="E1152" s="1" t="s">
        <v>295</v>
      </c>
      <c r="F1152" s="1" t="s">
        <v>84</v>
      </c>
      <c r="G1152" s="10">
        <v>29</v>
      </c>
      <c r="H1152" s="1" t="s">
        <v>36</v>
      </c>
    </row>
    <row r="1153" spans="1:8" ht="15.75" customHeight="1" x14ac:dyDescent="0.3">
      <c r="A1153" s="10">
        <v>11152</v>
      </c>
      <c r="B1153" s="10">
        <v>597</v>
      </c>
      <c r="C1153" s="10">
        <v>2075</v>
      </c>
      <c r="D1153" s="10">
        <v>306</v>
      </c>
      <c r="E1153" s="1" t="s">
        <v>293</v>
      </c>
      <c r="F1153" s="1" t="s">
        <v>262</v>
      </c>
      <c r="G1153" s="10">
        <v>18</v>
      </c>
      <c r="H1153" s="1" t="s">
        <v>42</v>
      </c>
    </row>
    <row r="1154" spans="1:8" ht="15.75" customHeight="1" x14ac:dyDescent="0.3">
      <c r="A1154" s="10">
        <v>11153</v>
      </c>
      <c r="B1154" s="10">
        <v>650</v>
      </c>
      <c r="C1154" s="10">
        <v>2069</v>
      </c>
      <c r="D1154" s="10">
        <v>315</v>
      </c>
      <c r="E1154" s="1" t="s">
        <v>113</v>
      </c>
      <c r="F1154" s="1" t="s">
        <v>64</v>
      </c>
      <c r="G1154" s="10">
        <v>38</v>
      </c>
      <c r="H1154" s="1" t="s">
        <v>42</v>
      </c>
    </row>
    <row r="1155" spans="1:8" ht="15.75" customHeight="1" x14ac:dyDescent="0.3">
      <c r="A1155" s="10">
        <v>11154</v>
      </c>
      <c r="B1155" s="10">
        <v>540</v>
      </c>
      <c r="C1155" s="10">
        <v>2056</v>
      </c>
      <c r="D1155" s="10">
        <v>313</v>
      </c>
      <c r="E1155" s="1" t="s">
        <v>357</v>
      </c>
      <c r="F1155" s="1" t="s">
        <v>222</v>
      </c>
      <c r="G1155" s="10">
        <v>41</v>
      </c>
      <c r="H1155" s="1" t="s">
        <v>36</v>
      </c>
    </row>
    <row r="1156" spans="1:8" ht="15.75" customHeight="1" x14ac:dyDescent="0.3">
      <c r="A1156" s="10">
        <v>11155</v>
      </c>
      <c r="B1156" s="10">
        <v>838</v>
      </c>
      <c r="C1156" s="10">
        <v>2025</v>
      </c>
      <c r="D1156" s="10">
        <v>320</v>
      </c>
      <c r="E1156" s="1" t="s">
        <v>265</v>
      </c>
      <c r="F1156" s="1" t="s">
        <v>245</v>
      </c>
      <c r="G1156" s="10">
        <v>55</v>
      </c>
      <c r="H1156" s="1" t="s">
        <v>39</v>
      </c>
    </row>
    <row r="1157" spans="1:8" ht="15.75" customHeight="1" x14ac:dyDescent="0.3">
      <c r="A1157" s="10">
        <v>11156</v>
      </c>
      <c r="B1157" s="10">
        <v>626</v>
      </c>
      <c r="C1157" s="10">
        <v>2025</v>
      </c>
      <c r="D1157" s="10">
        <v>303</v>
      </c>
      <c r="E1157" s="1" t="s">
        <v>69</v>
      </c>
      <c r="F1157" s="1" t="s">
        <v>44</v>
      </c>
      <c r="G1157" s="10">
        <v>12</v>
      </c>
      <c r="H1157" s="1" t="s">
        <v>42</v>
      </c>
    </row>
    <row r="1158" spans="1:8" ht="15.75" customHeight="1" x14ac:dyDescent="0.3">
      <c r="A1158" s="10">
        <v>11157</v>
      </c>
      <c r="B1158" s="10">
        <v>699</v>
      </c>
      <c r="C1158" s="10">
        <v>2006</v>
      </c>
      <c r="D1158" s="10">
        <v>319</v>
      </c>
      <c r="E1158" s="1" t="s">
        <v>198</v>
      </c>
      <c r="F1158" s="1" t="s">
        <v>374</v>
      </c>
      <c r="G1158" s="10">
        <v>58</v>
      </c>
      <c r="H1158" s="1" t="s">
        <v>39</v>
      </c>
    </row>
    <row r="1159" spans="1:8" ht="15.75" customHeight="1" x14ac:dyDescent="0.3">
      <c r="A1159" s="10">
        <v>11158</v>
      </c>
      <c r="B1159" s="10">
        <v>726</v>
      </c>
      <c r="C1159" s="10">
        <v>2017</v>
      </c>
      <c r="D1159" s="10">
        <v>302</v>
      </c>
      <c r="E1159" s="1" t="s">
        <v>232</v>
      </c>
      <c r="F1159" s="1" t="s">
        <v>211</v>
      </c>
      <c r="G1159" s="10">
        <v>13</v>
      </c>
      <c r="H1159" s="1" t="s">
        <v>39</v>
      </c>
    </row>
    <row r="1160" spans="1:8" ht="15.75" customHeight="1" x14ac:dyDescent="0.3">
      <c r="A1160" s="10">
        <v>11159</v>
      </c>
      <c r="B1160" s="10">
        <v>838</v>
      </c>
      <c r="C1160" s="10">
        <v>2062</v>
      </c>
      <c r="D1160" s="10">
        <v>319</v>
      </c>
      <c r="E1160" s="1" t="s">
        <v>248</v>
      </c>
      <c r="F1160" s="1" t="s">
        <v>268</v>
      </c>
      <c r="G1160" s="10">
        <v>75</v>
      </c>
      <c r="H1160" s="1" t="s">
        <v>39</v>
      </c>
    </row>
    <row r="1161" spans="1:8" ht="15.75" customHeight="1" x14ac:dyDescent="0.3">
      <c r="A1161" s="10">
        <v>11160</v>
      </c>
      <c r="B1161" s="10">
        <v>744</v>
      </c>
      <c r="C1161" s="10">
        <v>2051</v>
      </c>
      <c r="D1161" s="10">
        <v>311</v>
      </c>
      <c r="E1161" s="1" t="s">
        <v>89</v>
      </c>
      <c r="F1161" s="1" t="s">
        <v>332</v>
      </c>
      <c r="G1161" s="10">
        <v>86</v>
      </c>
      <c r="H1161" s="1" t="s">
        <v>78</v>
      </c>
    </row>
    <row r="1162" spans="1:8" ht="15.75" customHeight="1" x14ac:dyDescent="0.3">
      <c r="A1162" s="10">
        <v>11161</v>
      </c>
      <c r="B1162" s="10">
        <v>855</v>
      </c>
      <c r="C1162" s="10">
        <v>2011</v>
      </c>
      <c r="D1162" s="10">
        <v>304</v>
      </c>
      <c r="E1162" s="1" t="s">
        <v>225</v>
      </c>
      <c r="F1162" s="1" t="s">
        <v>196</v>
      </c>
      <c r="G1162" s="10">
        <v>36</v>
      </c>
      <c r="H1162" s="1" t="s">
        <v>78</v>
      </c>
    </row>
    <row r="1163" spans="1:8" ht="15.75" customHeight="1" x14ac:dyDescent="0.3">
      <c r="A1163" s="10">
        <v>11162</v>
      </c>
      <c r="B1163" s="10">
        <v>657</v>
      </c>
      <c r="C1163" s="10">
        <v>2066</v>
      </c>
      <c r="D1163" s="10">
        <v>308</v>
      </c>
      <c r="E1163" s="1" t="s">
        <v>47</v>
      </c>
      <c r="F1163" s="1" t="s">
        <v>316</v>
      </c>
      <c r="G1163" s="10">
        <v>64</v>
      </c>
      <c r="H1163" s="1" t="s">
        <v>42</v>
      </c>
    </row>
    <row r="1164" spans="1:8" ht="15.75" customHeight="1" x14ac:dyDescent="0.3">
      <c r="A1164" s="10">
        <v>11163</v>
      </c>
      <c r="B1164" s="10">
        <v>887</v>
      </c>
      <c r="C1164" s="10">
        <v>2093</v>
      </c>
      <c r="D1164" s="10">
        <v>306</v>
      </c>
      <c r="E1164" s="1" t="s">
        <v>106</v>
      </c>
      <c r="F1164" s="1" t="s">
        <v>348</v>
      </c>
      <c r="G1164" s="10">
        <v>79</v>
      </c>
      <c r="H1164" s="1" t="s">
        <v>39</v>
      </c>
    </row>
    <row r="1165" spans="1:8" ht="15.75" customHeight="1" x14ac:dyDescent="0.3">
      <c r="A1165" s="10">
        <v>11164</v>
      </c>
      <c r="B1165" s="10">
        <v>525</v>
      </c>
      <c r="C1165" s="10">
        <v>2094</v>
      </c>
      <c r="D1165" s="10">
        <v>302</v>
      </c>
      <c r="E1165" s="1" t="s">
        <v>75</v>
      </c>
      <c r="F1165" s="1" t="s">
        <v>402</v>
      </c>
      <c r="G1165" s="10">
        <v>59</v>
      </c>
      <c r="H1165" s="1" t="s">
        <v>42</v>
      </c>
    </row>
    <row r="1166" spans="1:8" ht="15.75" customHeight="1" x14ac:dyDescent="0.3">
      <c r="A1166" s="10">
        <v>11165</v>
      </c>
      <c r="B1166" s="10">
        <v>579</v>
      </c>
      <c r="C1166" s="10">
        <v>2064</v>
      </c>
      <c r="D1166" s="10">
        <v>310</v>
      </c>
      <c r="E1166" s="1" t="s">
        <v>119</v>
      </c>
      <c r="F1166" s="1" t="s">
        <v>285</v>
      </c>
      <c r="G1166" s="10">
        <v>47</v>
      </c>
      <c r="H1166" s="1" t="s">
        <v>42</v>
      </c>
    </row>
    <row r="1167" spans="1:8" ht="15.75" customHeight="1" x14ac:dyDescent="0.3">
      <c r="A1167" s="10">
        <v>11166</v>
      </c>
      <c r="B1167" s="10">
        <v>754</v>
      </c>
      <c r="C1167" s="10">
        <v>2011</v>
      </c>
      <c r="D1167" s="10">
        <v>304</v>
      </c>
      <c r="E1167" s="1" t="s">
        <v>66</v>
      </c>
      <c r="F1167" s="1" t="s">
        <v>303</v>
      </c>
      <c r="G1167" s="10">
        <v>22</v>
      </c>
      <c r="H1167" s="1" t="s">
        <v>42</v>
      </c>
    </row>
    <row r="1168" spans="1:8" ht="15.75" customHeight="1" x14ac:dyDescent="0.3">
      <c r="A1168" s="10">
        <v>11167</v>
      </c>
      <c r="B1168" s="10">
        <v>557</v>
      </c>
      <c r="C1168" s="10">
        <v>2090</v>
      </c>
      <c r="D1168" s="10">
        <v>312</v>
      </c>
      <c r="E1168" s="1" t="s">
        <v>273</v>
      </c>
      <c r="F1168" s="1" t="s">
        <v>208</v>
      </c>
      <c r="G1168" s="10">
        <v>59</v>
      </c>
      <c r="H1168" s="1" t="s">
        <v>42</v>
      </c>
    </row>
    <row r="1169" spans="1:8" ht="15.75" customHeight="1" x14ac:dyDescent="0.3">
      <c r="A1169" s="10">
        <v>11168</v>
      </c>
      <c r="B1169" s="10">
        <v>712</v>
      </c>
      <c r="C1169" s="10">
        <v>2069</v>
      </c>
      <c r="D1169" s="10">
        <v>305</v>
      </c>
      <c r="E1169" s="1" t="s">
        <v>233</v>
      </c>
      <c r="F1169" s="1" t="s">
        <v>76</v>
      </c>
      <c r="G1169" s="10">
        <v>42</v>
      </c>
      <c r="H1169" s="1" t="s">
        <v>39</v>
      </c>
    </row>
    <row r="1170" spans="1:8" ht="15.75" customHeight="1" x14ac:dyDescent="0.3">
      <c r="A1170" s="10">
        <v>11169</v>
      </c>
      <c r="B1170" s="10">
        <v>710</v>
      </c>
      <c r="C1170" s="10">
        <v>2009</v>
      </c>
      <c r="D1170" s="10">
        <v>307</v>
      </c>
      <c r="E1170" s="1" t="s">
        <v>131</v>
      </c>
      <c r="F1170" s="1" t="s">
        <v>384</v>
      </c>
      <c r="G1170" s="10">
        <v>15</v>
      </c>
      <c r="H1170" s="1" t="s">
        <v>36</v>
      </c>
    </row>
    <row r="1171" spans="1:8" ht="15.75" customHeight="1" x14ac:dyDescent="0.3">
      <c r="A1171" s="10">
        <v>11170</v>
      </c>
      <c r="B1171" s="10">
        <v>619</v>
      </c>
      <c r="C1171" s="10">
        <v>2030</v>
      </c>
      <c r="D1171" s="10">
        <v>312</v>
      </c>
      <c r="E1171" s="1" t="s">
        <v>391</v>
      </c>
      <c r="F1171" s="1" t="s">
        <v>119</v>
      </c>
      <c r="G1171" s="10">
        <v>31</v>
      </c>
      <c r="H1171" s="1" t="s">
        <v>42</v>
      </c>
    </row>
    <row r="1172" spans="1:8" ht="15.75" customHeight="1" x14ac:dyDescent="0.3">
      <c r="A1172" s="10">
        <v>11171</v>
      </c>
      <c r="B1172" s="10">
        <v>777</v>
      </c>
      <c r="C1172" s="10">
        <v>2080</v>
      </c>
      <c r="D1172" s="10">
        <v>302</v>
      </c>
      <c r="E1172" s="1" t="s">
        <v>210</v>
      </c>
      <c r="F1172" s="1" t="s">
        <v>186</v>
      </c>
      <c r="G1172" s="10">
        <v>85</v>
      </c>
      <c r="H1172" s="1" t="s">
        <v>39</v>
      </c>
    </row>
    <row r="1173" spans="1:8" ht="15.75" customHeight="1" x14ac:dyDescent="0.3">
      <c r="A1173" s="10">
        <v>11172</v>
      </c>
      <c r="B1173" s="10">
        <v>878</v>
      </c>
      <c r="C1173" s="10">
        <v>2042</v>
      </c>
      <c r="D1173" s="10">
        <v>320</v>
      </c>
      <c r="E1173" s="1" t="s">
        <v>198</v>
      </c>
      <c r="F1173" s="1" t="s">
        <v>382</v>
      </c>
      <c r="G1173" s="10">
        <v>97</v>
      </c>
      <c r="H1173" s="1" t="s">
        <v>39</v>
      </c>
    </row>
    <row r="1174" spans="1:8" ht="15.75" customHeight="1" x14ac:dyDescent="0.3">
      <c r="A1174" s="10">
        <v>11173</v>
      </c>
      <c r="B1174" s="10">
        <v>678</v>
      </c>
      <c r="C1174" s="10">
        <v>2031</v>
      </c>
      <c r="D1174" s="10">
        <v>320</v>
      </c>
      <c r="E1174" s="1" t="s">
        <v>250</v>
      </c>
      <c r="F1174" s="1" t="s">
        <v>403</v>
      </c>
      <c r="G1174" s="10">
        <v>29</v>
      </c>
      <c r="H1174" s="1" t="s">
        <v>39</v>
      </c>
    </row>
    <row r="1175" spans="1:8" ht="15.75" customHeight="1" x14ac:dyDescent="0.3">
      <c r="A1175" s="10">
        <v>11174</v>
      </c>
      <c r="B1175" s="10">
        <v>830</v>
      </c>
      <c r="C1175" s="10">
        <v>2096</v>
      </c>
      <c r="D1175" s="10">
        <v>315</v>
      </c>
      <c r="E1175" s="1" t="s">
        <v>96</v>
      </c>
      <c r="F1175" s="1" t="s">
        <v>129</v>
      </c>
      <c r="G1175" s="10">
        <v>54</v>
      </c>
      <c r="H1175" s="1" t="s">
        <v>39</v>
      </c>
    </row>
    <row r="1176" spans="1:8" ht="15.75" customHeight="1" x14ac:dyDescent="0.3">
      <c r="A1176" s="10">
        <v>11175</v>
      </c>
      <c r="B1176" s="10">
        <v>539</v>
      </c>
      <c r="C1176" s="10">
        <v>2098</v>
      </c>
      <c r="D1176" s="10">
        <v>308</v>
      </c>
      <c r="E1176" s="1" t="s">
        <v>311</v>
      </c>
      <c r="F1176" s="1" t="s">
        <v>392</v>
      </c>
      <c r="G1176" s="10">
        <v>100</v>
      </c>
      <c r="H1176" s="1" t="s">
        <v>36</v>
      </c>
    </row>
    <row r="1177" spans="1:8" ht="15.75" customHeight="1" x14ac:dyDescent="0.3">
      <c r="A1177" s="10">
        <v>11176</v>
      </c>
      <c r="B1177" s="10">
        <v>547</v>
      </c>
      <c r="C1177" s="10">
        <v>2017</v>
      </c>
      <c r="D1177" s="10">
        <v>315</v>
      </c>
      <c r="E1177" s="1" t="s">
        <v>94</v>
      </c>
      <c r="F1177" s="1" t="s">
        <v>369</v>
      </c>
      <c r="G1177" s="10">
        <v>33</v>
      </c>
      <c r="H1177" s="1" t="s">
        <v>39</v>
      </c>
    </row>
    <row r="1178" spans="1:8" ht="15.75" customHeight="1" x14ac:dyDescent="0.3">
      <c r="A1178" s="10">
        <v>11177</v>
      </c>
      <c r="B1178" s="10">
        <v>522</v>
      </c>
      <c r="C1178" s="10">
        <v>2048</v>
      </c>
      <c r="D1178" s="10">
        <v>310</v>
      </c>
      <c r="E1178" s="1" t="s">
        <v>208</v>
      </c>
      <c r="F1178" s="1" t="s">
        <v>246</v>
      </c>
      <c r="G1178" s="10">
        <v>68</v>
      </c>
      <c r="H1178" s="1" t="s">
        <v>39</v>
      </c>
    </row>
    <row r="1179" spans="1:8" ht="15.75" customHeight="1" x14ac:dyDescent="0.3">
      <c r="A1179" s="10">
        <v>11178</v>
      </c>
      <c r="B1179" s="10">
        <v>670</v>
      </c>
      <c r="C1179" s="10">
        <v>2022</v>
      </c>
      <c r="D1179" s="10">
        <v>307</v>
      </c>
      <c r="E1179" s="1" t="s">
        <v>86</v>
      </c>
      <c r="F1179" s="1" t="s">
        <v>256</v>
      </c>
      <c r="G1179" s="10">
        <v>32</v>
      </c>
      <c r="H1179" s="1" t="s">
        <v>39</v>
      </c>
    </row>
    <row r="1180" spans="1:8" ht="15.75" customHeight="1" x14ac:dyDescent="0.3">
      <c r="A1180" s="10">
        <v>11179</v>
      </c>
      <c r="B1180" s="10">
        <v>579</v>
      </c>
      <c r="C1180" s="10">
        <v>2042</v>
      </c>
      <c r="D1180" s="10">
        <v>316</v>
      </c>
      <c r="E1180" s="1" t="s">
        <v>86</v>
      </c>
      <c r="F1180" s="1" t="s">
        <v>194</v>
      </c>
      <c r="G1180" s="10">
        <v>14</v>
      </c>
      <c r="H1180" s="1" t="s">
        <v>36</v>
      </c>
    </row>
    <row r="1181" spans="1:8" ht="15.75" customHeight="1" x14ac:dyDescent="0.3">
      <c r="A1181" s="10">
        <v>11180</v>
      </c>
      <c r="B1181" s="10">
        <v>867</v>
      </c>
      <c r="C1181" s="10">
        <v>2025</v>
      </c>
      <c r="D1181" s="10">
        <v>309</v>
      </c>
      <c r="E1181" s="1" t="s">
        <v>160</v>
      </c>
      <c r="F1181" s="1" t="s">
        <v>80</v>
      </c>
      <c r="G1181" s="10">
        <v>81</v>
      </c>
      <c r="H1181" s="1" t="s">
        <v>78</v>
      </c>
    </row>
    <row r="1182" spans="1:8" ht="15.75" customHeight="1" x14ac:dyDescent="0.3">
      <c r="A1182" s="10">
        <v>11181</v>
      </c>
      <c r="B1182" s="10">
        <v>661</v>
      </c>
      <c r="C1182" s="10">
        <v>2065</v>
      </c>
      <c r="D1182" s="10">
        <v>305</v>
      </c>
      <c r="E1182" s="1" t="s">
        <v>258</v>
      </c>
      <c r="F1182" s="1" t="s">
        <v>141</v>
      </c>
      <c r="G1182" s="10">
        <v>68</v>
      </c>
      <c r="H1182" s="1" t="s">
        <v>36</v>
      </c>
    </row>
    <row r="1183" spans="1:8" ht="15.75" customHeight="1" x14ac:dyDescent="0.3">
      <c r="A1183" s="10">
        <v>11182</v>
      </c>
      <c r="B1183" s="10">
        <v>619</v>
      </c>
      <c r="C1183" s="10">
        <v>2034</v>
      </c>
      <c r="D1183" s="10">
        <v>301</v>
      </c>
      <c r="E1183" s="1" t="s">
        <v>297</v>
      </c>
      <c r="F1183" s="1" t="s">
        <v>128</v>
      </c>
      <c r="G1183" s="10">
        <v>87</v>
      </c>
      <c r="H1183" s="1" t="s">
        <v>78</v>
      </c>
    </row>
    <row r="1184" spans="1:8" ht="15.75" customHeight="1" x14ac:dyDescent="0.3">
      <c r="A1184" s="10">
        <v>11183</v>
      </c>
      <c r="B1184" s="10">
        <v>527</v>
      </c>
      <c r="C1184" s="10">
        <v>2080</v>
      </c>
      <c r="D1184" s="10">
        <v>318</v>
      </c>
      <c r="E1184" s="1" t="s">
        <v>349</v>
      </c>
      <c r="F1184" s="1" t="s">
        <v>130</v>
      </c>
      <c r="G1184" s="10">
        <v>71</v>
      </c>
      <c r="H1184" s="1" t="s">
        <v>42</v>
      </c>
    </row>
    <row r="1185" spans="1:8" ht="15.75" customHeight="1" x14ac:dyDescent="0.3">
      <c r="A1185" s="10">
        <v>11184</v>
      </c>
      <c r="B1185" s="10">
        <v>896</v>
      </c>
      <c r="C1185" s="10">
        <v>2003</v>
      </c>
      <c r="D1185" s="10">
        <v>314</v>
      </c>
      <c r="E1185" s="1" t="s">
        <v>300</v>
      </c>
      <c r="F1185" s="1" t="s">
        <v>75</v>
      </c>
      <c r="G1185" s="10">
        <v>49</v>
      </c>
      <c r="H1185" s="1" t="s">
        <v>36</v>
      </c>
    </row>
    <row r="1186" spans="1:8" ht="15.75" customHeight="1" x14ac:dyDescent="0.3">
      <c r="A1186" s="10">
        <v>11185</v>
      </c>
      <c r="B1186" s="10">
        <v>769</v>
      </c>
      <c r="C1186" s="10">
        <v>2030</v>
      </c>
      <c r="D1186" s="10">
        <v>315</v>
      </c>
      <c r="E1186" s="1" t="s">
        <v>140</v>
      </c>
      <c r="F1186" s="1" t="s">
        <v>147</v>
      </c>
      <c r="G1186" s="10">
        <v>62</v>
      </c>
      <c r="H1186" s="1" t="s">
        <v>36</v>
      </c>
    </row>
    <row r="1187" spans="1:8" ht="15.75" customHeight="1" x14ac:dyDescent="0.3">
      <c r="A1187" s="10">
        <v>11186</v>
      </c>
      <c r="B1187" s="10">
        <v>739</v>
      </c>
      <c r="C1187" s="10">
        <v>2078</v>
      </c>
      <c r="D1187" s="10">
        <v>314</v>
      </c>
      <c r="E1187" s="1" t="s">
        <v>206</v>
      </c>
      <c r="F1187" s="1" t="s">
        <v>368</v>
      </c>
      <c r="G1187" s="10">
        <v>59</v>
      </c>
      <c r="H1187" s="1" t="s">
        <v>36</v>
      </c>
    </row>
    <row r="1188" spans="1:8" ht="15.75" customHeight="1" x14ac:dyDescent="0.3">
      <c r="A1188" s="10">
        <v>11187</v>
      </c>
      <c r="B1188" s="10">
        <v>897</v>
      </c>
      <c r="C1188" s="10">
        <v>2002</v>
      </c>
      <c r="D1188" s="10">
        <v>316</v>
      </c>
      <c r="E1188" s="1" t="s">
        <v>301</v>
      </c>
      <c r="F1188" s="1" t="s">
        <v>161</v>
      </c>
      <c r="G1188" s="10">
        <v>70</v>
      </c>
      <c r="H1188" s="1" t="s">
        <v>39</v>
      </c>
    </row>
    <row r="1189" spans="1:8" ht="15.75" customHeight="1" x14ac:dyDescent="0.3">
      <c r="A1189" s="10">
        <v>11188</v>
      </c>
      <c r="B1189" s="10">
        <v>767</v>
      </c>
      <c r="C1189" s="10">
        <v>2025</v>
      </c>
      <c r="D1189" s="10">
        <v>314</v>
      </c>
      <c r="E1189" s="1" t="s">
        <v>43</v>
      </c>
      <c r="F1189" s="1" t="s">
        <v>89</v>
      </c>
      <c r="G1189" s="10">
        <v>44</v>
      </c>
      <c r="H1189" s="1" t="s">
        <v>78</v>
      </c>
    </row>
    <row r="1190" spans="1:8" ht="15.75" customHeight="1" x14ac:dyDescent="0.3">
      <c r="A1190" s="10">
        <v>11189</v>
      </c>
      <c r="B1190" s="10">
        <v>557</v>
      </c>
      <c r="C1190" s="10">
        <v>2019</v>
      </c>
      <c r="D1190" s="10">
        <v>301</v>
      </c>
      <c r="E1190" s="1" t="s">
        <v>312</v>
      </c>
      <c r="F1190" s="1" t="s">
        <v>355</v>
      </c>
      <c r="G1190" s="10">
        <v>46</v>
      </c>
      <c r="H1190" s="1" t="s">
        <v>39</v>
      </c>
    </row>
    <row r="1191" spans="1:8" ht="15.75" customHeight="1" x14ac:dyDescent="0.3">
      <c r="A1191" s="10">
        <v>11190</v>
      </c>
      <c r="B1191" s="10">
        <v>598</v>
      </c>
      <c r="C1191" s="10">
        <v>2094</v>
      </c>
      <c r="D1191" s="10">
        <v>316</v>
      </c>
      <c r="E1191" s="1" t="s">
        <v>278</v>
      </c>
      <c r="F1191" s="1" t="s">
        <v>326</v>
      </c>
      <c r="G1191" s="10">
        <v>18</v>
      </c>
      <c r="H1191" s="1" t="s">
        <v>39</v>
      </c>
    </row>
    <row r="1192" spans="1:8" ht="15.75" customHeight="1" x14ac:dyDescent="0.3">
      <c r="A1192" s="10">
        <v>11191</v>
      </c>
      <c r="B1192" s="10">
        <v>824</v>
      </c>
      <c r="C1192" s="10">
        <v>2044</v>
      </c>
      <c r="D1192" s="10">
        <v>310</v>
      </c>
      <c r="E1192" s="1" t="s">
        <v>84</v>
      </c>
      <c r="F1192" s="1" t="s">
        <v>58</v>
      </c>
      <c r="G1192" s="10">
        <v>72</v>
      </c>
      <c r="H1192" s="1" t="s">
        <v>42</v>
      </c>
    </row>
    <row r="1193" spans="1:8" ht="15.75" customHeight="1" x14ac:dyDescent="0.3">
      <c r="A1193" s="10">
        <v>11192</v>
      </c>
      <c r="B1193" s="10">
        <v>535</v>
      </c>
      <c r="C1193" s="10">
        <v>2033</v>
      </c>
      <c r="D1193" s="10">
        <v>308</v>
      </c>
      <c r="E1193" s="1" t="s">
        <v>301</v>
      </c>
      <c r="F1193" s="1" t="s">
        <v>353</v>
      </c>
      <c r="G1193" s="10">
        <v>25</v>
      </c>
      <c r="H1193" s="1" t="s">
        <v>78</v>
      </c>
    </row>
    <row r="1194" spans="1:8" ht="15.75" customHeight="1" x14ac:dyDescent="0.3">
      <c r="A1194" s="10">
        <v>11193</v>
      </c>
      <c r="B1194" s="10">
        <v>717</v>
      </c>
      <c r="C1194" s="10">
        <v>2055</v>
      </c>
      <c r="D1194" s="10">
        <v>315</v>
      </c>
      <c r="E1194" s="1" t="s">
        <v>334</v>
      </c>
      <c r="F1194" s="1" t="s">
        <v>129</v>
      </c>
      <c r="G1194" s="10">
        <v>50</v>
      </c>
      <c r="H1194" s="1" t="s">
        <v>39</v>
      </c>
    </row>
    <row r="1195" spans="1:8" ht="15.75" customHeight="1" x14ac:dyDescent="0.3">
      <c r="A1195" s="10">
        <v>11194</v>
      </c>
      <c r="B1195" s="10">
        <v>521</v>
      </c>
      <c r="C1195" s="10">
        <v>2086</v>
      </c>
      <c r="D1195" s="10">
        <v>313</v>
      </c>
      <c r="E1195" s="1" t="s">
        <v>253</v>
      </c>
      <c r="F1195" s="1" t="s">
        <v>272</v>
      </c>
      <c r="G1195" s="10">
        <v>61</v>
      </c>
      <c r="H1195" s="1" t="s">
        <v>36</v>
      </c>
    </row>
    <row r="1196" spans="1:8" ht="15.75" customHeight="1" x14ac:dyDescent="0.3">
      <c r="A1196" s="10">
        <v>11195</v>
      </c>
      <c r="B1196" s="10">
        <v>666</v>
      </c>
      <c r="C1196" s="10">
        <v>2057</v>
      </c>
      <c r="D1196" s="10">
        <v>318</v>
      </c>
      <c r="E1196" s="1" t="s">
        <v>278</v>
      </c>
      <c r="F1196" s="1" t="s">
        <v>279</v>
      </c>
      <c r="G1196" s="10">
        <v>84</v>
      </c>
      <c r="H1196" s="1" t="s">
        <v>78</v>
      </c>
    </row>
    <row r="1197" spans="1:8" ht="15.75" customHeight="1" x14ac:dyDescent="0.3">
      <c r="A1197" s="10">
        <v>11196</v>
      </c>
      <c r="B1197" s="10">
        <v>582</v>
      </c>
      <c r="C1197" s="10">
        <v>2003</v>
      </c>
      <c r="D1197" s="10">
        <v>306</v>
      </c>
      <c r="E1197" s="1" t="s">
        <v>183</v>
      </c>
      <c r="F1197" s="1" t="s">
        <v>43</v>
      </c>
      <c r="G1197" s="10">
        <v>17</v>
      </c>
      <c r="H1197" s="1" t="s">
        <v>36</v>
      </c>
    </row>
    <row r="1198" spans="1:8" ht="15.75" customHeight="1" x14ac:dyDescent="0.3">
      <c r="A1198" s="10">
        <v>11197</v>
      </c>
      <c r="B1198" s="10">
        <v>771</v>
      </c>
      <c r="C1198" s="10">
        <v>2099</v>
      </c>
      <c r="D1198" s="10">
        <v>307</v>
      </c>
      <c r="E1198" s="1" t="s">
        <v>216</v>
      </c>
      <c r="F1198" s="1" t="s">
        <v>325</v>
      </c>
      <c r="G1198" s="10">
        <v>9</v>
      </c>
      <c r="H1198" s="1" t="s">
        <v>36</v>
      </c>
    </row>
    <row r="1199" spans="1:8" ht="15.75" customHeight="1" x14ac:dyDescent="0.3">
      <c r="A1199" s="10">
        <v>11198</v>
      </c>
      <c r="B1199" s="10">
        <v>554</v>
      </c>
      <c r="C1199" s="10">
        <v>2026</v>
      </c>
      <c r="D1199" s="10">
        <v>317</v>
      </c>
      <c r="E1199" s="1" t="s">
        <v>390</v>
      </c>
      <c r="F1199" s="1" t="s">
        <v>363</v>
      </c>
      <c r="G1199" s="10">
        <v>72</v>
      </c>
      <c r="H1199" s="1" t="s">
        <v>42</v>
      </c>
    </row>
    <row r="1200" spans="1:8" ht="15.75" customHeight="1" x14ac:dyDescent="0.3">
      <c r="A1200" s="10">
        <v>11199</v>
      </c>
      <c r="B1200" s="10">
        <v>817</v>
      </c>
      <c r="C1200" s="10">
        <v>2064</v>
      </c>
      <c r="D1200" s="10">
        <v>301</v>
      </c>
      <c r="E1200" s="1" t="s">
        <v>56</v>
      </c>
      <c r="F1200" s="1" t="s">
        <v>295</v>
      </c>
      <c r="G1200" s="10">
        <v>61</v>
      </c>
      <c r="H1200" s="1" t="s">
        <v>36</v>
      </c>
    </row>
    <row r="1201" spans="1:8" ht="15.75" customHeight="1" x14ac:dyDescent="0.3">
      <c r="A1201" s="10">
        <v>11200</v>
      </c>
      <c r="B1201" s="10">
        <v>503</v>
      </c>
      <c r="C1201" s="10">
        <v>2063</v>
      </c>
      <c r="D1201" s="10">
        <v>308</v>
      </c>
      <c r="E1201" s="1" t="s">
        <v>142</v>
      </c>
      <c r="F1201" s="1" t="s">
        <v>364</v>
      </c>
      <c r="G1201" s="10">
        <v>93</v>
      </c>
      <c r="H1201" s="1" t="s">
        <v>78</v>
      </c>
    </row>
    <row r="1202" spans="1:8" ht="15.75" customHeight="1" x14ac:dyDescent="0.3">
      <c r="A1202" s="10">
        <v>11201</v>
      </c>
      <c r="B1202" s="10">
        <v>600</v>
      </c>
      <c r="C1202" s="10">
        <v>2021</v>
      </c>
      <c r="D1202" s="10">
        <v>302</v>
      </c>
      <c r="E1202" s="1" t="s">
        <v>320</v>
      </c>
      <c r="F1202" s="1" t="s">
        <v>68</v>
      </c>
      <c r="G1202" s="10">
        <v>4</v>
      </c>
      <c r="H1202" s="1" t="s">
        <v>39</v>
      </c>
    </row>
    <row r="1203" spans="1:8" ht="15.75" customHeight="1" x14ac:dyDescent="0.3">
      <c r="A1203" s="10">
        <v>11202</v>
      </c>
      <c r="B1203" s="10">
        <v>819</v>
      </c>
      <c r="C1203" s="10">
        <v>2008</v>
      </c>
      <c r="D1203" s="10">
        <v>309</v>
      </c>
      <c r="E1203" s="1" t="s">
        <v>274</v>
      </c>
      <c r="F1203" s="1" t="s">
        <v>320</v>
      </c>
      <c r="G1203" s="10">
        <v>62</v>
      </c>
      <c r="H1203" s="1" t="s">
        <v>42</v>
      </c>
    </row>
    <row r="1204" spans="1:8" ht="15.75" customHeight="1" x14ac:dyDescent="0.3">
      <c r="A1204" s="10">
        <v>11203</v>
      </c>
      <c r="B1204" s="10">
        <v>546</v>
      </c>
      <c r="C1204" s="10">
        <v>2045</v>
      </c>
      <c r="D1204" s="10">
        <v>310</v>
      </c>
      <c r="E1204" s="1" t="s">
        <v>149</v>
      </c>
      <c r="F1204" s="1" t="s">
        <v>156</v>
      </c>
      <c r="G1204" s="10">
        <v>41</v>
      </c>
      <c r="H1204" s="1" t="s">
        <v>36</v>
      </c>
    </row>
    <row r="1205" spans="1:8" ht="15.75" customHeight="1" x14ac:dyDescent="0.3">
      <c r="A1205" s="10">
        <v>11204</v>
      </c>
      <c r="B1205" s="10">
        <v>560</v>
      </c>
      <c r="C1205" s="10">
        <v>2091</v>
      </c>
      <c r="D1205" s="10">
        <v>304</v>
      </c>
      <c r="E1205" s="1" t="s">
        <v>365</v>
      </c>
      <c r="F1205" s="1" t="s">
        <v>140</v>
      </c>
      <c r="G1205" s="10">
        <v>12</v>
      </c>
      <c r="H1205" s="1" t="s">
        <v>36</v>
      </c>
    </row>
    <row r="1206" spans="1:8" ht="15.75" customHeight="1" x14ac:dyDescent="0.3">
      <c r="A1206" s="10">
        <v>11205</v>
      </c>
      <c r="B1206" s="10">
        <v>807</v>
      </c>
      <c r="C1206" s="10">
        <v>2039</v>
      </c>
      <c r="D1206" s="10">
        <v>320</v>
      </c>
      <c r="E1206" s="1" t="s">
        <v>268</v>
      </c>
      <c r="F1206" s="1" t="s">
        <v>299</v>
      </c>
      <c r="G1206" s="10">
        <v>97</v>
      </c>
      <c r="H1206" s="1" t="s">
        <v>78</v>
      </c>
    </row>
    <row r="1207" spans="1:8" ht="15.75" customHeight="1" x14ac:dyDescent="0.3">
      <c r="A1207" s="10">
        <v>11206</v>
      </c>
      <c r="B1207" s="10">
        <v>841</v>
      </c>
      <c r="C1207" s="10">
        <v>2054</v>
      </c>
      <c r="D1207" s="10">
        <v>320</v>
      </c>
      <c r="E1207" s="1" t="s">
        <v>398</v>
      </c>
      <c r="F1207" s="1" t="s">
        <v>329</v>
      </c>
      <c r="G1207" s="10">
        <v>52</v>
      </c>
      <c r="H1207" s="1" t="s">
        <v>39</v>
      </c>
    </row>
    <row r="1208" spans="1:8" ht="15.75" customHeight="1" x14ac:dyDescent="0.3">
      <c r="A1208" s="10">
        <v>11207</v>
      </c>
      <c r="B1208" s="10">
        <v>637</v>
      </c>
      <c r="C1208" s="10">
        <v>2086</v>
      </c>
      <c r="D1208" s="10">
        <v>318</v>
      </c>
      <c r="E1208" s="1" t="s">
        <v>196</v>
      </c>
      <c r="F1208" s="1" t="s">
        <v>366</v>
      </c>
      <c r="G1208" s="10">
        <v>74</v>
      </c>
      <c r="H1208" s="1" t="s">
        <v>42</v>
      </c>
    </row>
    <row r="1209" spans="1:8" ht="15.75" customHeight="1" x14ac:dyDescent="0.3">
      <c r="A1209" s="10">
        <v>11208</v>
      </c>
      <c r="B1209" s="10">
        <v>792</v>
      </c>
      <c r="C1209" s="10">
        <v>2058</v>
      </c>
      <c r="D1209" s="10">
        <v>315</v>
      </c>
      <c r="E1209" s="1" t="s">
        <v>108</v>
      </c>
      <c r="F1209" s="1" t="s">
        <v>280</v>
      </c>
      <c r="G1209" s="10">
        <v>41</v>
      </c>
      <c r="H1209" s="1" t="s">
        <v>42</v>
      </c>
    </row>
    <row r="1210" spans="1:8" ht="15.75" customHeight="1" x14ac:dyDescent="0.3">
      <c r="A1210" s="10">
        <v>11209</v>
      </c>
      <c r="B1210" s="10">
        <v>574</v>
      </c>
      <c r="C1210" s="10">
        <v>2063</v>
      </c>
      <c r="D1210" s="10">
        <v>309</v>
      </c>
      <c r="E1210" s="1" t="s">
        <v>117</v>
      </c>
      <c r="F1210" s="1" t="s">
        <v>175</v>
      </c>
      <c r="G1210" s="10">
        <v>86</v>
      </c>
      <c r="H1210" s="1" t="s">
        <v>36</v>
      </c>
    </row>
    <row r="1211" spans="1:8" ht="15.75" customHeight="1" x14ac:dyDescent="0.3">
      <c r="A1211" s="10">
        <v>11210</v>
      </c>
      <c r="B1211" s="10">
        <v>740</v>
      </c>
      <c r="C1211" s="10">
        <v>2083</v>
      </c>
      <c r="D1211" s="10">
        <v>311</v>
      </c>
      <c r="E1211" s="1" t="s">
        <v>154</v>
      </c>
      <c r="F1211" s="1" t="s">
        <v>181</v>
      </c>
      <c r="G1211" s="10">
        <v>21</v>
      </c>
      <c r="H1211" s="1" t="s">
        <v>78</v>
      </c>
    </row>
    <row r="1212" spans="1:8" ht="15.75" customHeight="1" x14ac:dyDescent="0.3">
      <c r="A1212" s="10">
        <v>11211</v>
      </c>
      <c r="B1212" s="10">
        <v>690</v>
      </c>
      <c r="C1212" s="10">
        <v>2044</v>
      </c>
      <c r="D1212" s="10">
        <v>302</v>
      </c>
      <c r="E1212" s="1" t="s">
        <v>61</v>
      </c>
      <c r="F1212" s="1" t="s">
        <v>199</v>
      </c>
      <c r="G1212" s="10">
        <v>75</v>
      </c>
      <c r="H1212" s="1" t="s">
        <v>42</v>
      </c>
    </row>
    <row r="1213" spans="1:8" ht="15.75" customHeight="1" x14ac:dyDescent="0.3">
      <c r="A1213" s="10">
        <v>11212</v>
      </c>
      <c r="B1213" s="10">
        <v>676</v>
      </c>
      <c r="C1213" s="10">
        <v>2033</v>
      </c>
      <c r="D1213" s="10">
        <v>306</v>
      </c>
      <c r="E1213" s="1" t="s">
        <v>111</v>
      </c>
      <c r="F1213" s="1" t="s">
        <v>371</v>
      </c>
      <c r="G1213" s="10">
        <v>58</v>
      </c>
      <c r="H1213" s="1" t="s">
        <v>36</v>
      </c>
    </row>
    <row r="1214" spans="1:8" ht="15.75" customHeight="1" x14ac:dyDescent="0.3">
      <c r="A1214" s="10">
        <v>11213</v>
      </c>
      <c r="B1214" s="10">
        <v>778</v>
      </c>
      <c r="C1214" s="10">
        <v>2048</v>
      </c>
      <c r="D1214" s="10">
        <v>310</v>
      </c>
      <c r="E1214" s="1" t="s">
        <v>139</v>
      </c>
      <c r="F1214" s="1" t="s">
        <v>134</v>
      </c>
      <c r="G1214" s="10">
        <v>12</v>
      </c>
      <c r="H1214" s="1" t="s">
        <v>42</v>
      </c>
    </row>
    <row r="1215" spans="1:8" ht="15.75" customHeight="1" x14ac:dyDescent="0.3">
      <c r="A1215" s="10">
        <v>11214</v>
      </c>
      <c r="B1215" s="10">
        <v>757</v>
      </c>
      <c r="C1215" s="10">
        <v>2013</v>
      </c>
      <c r="D1215" s="10">
        <v>317</v>
      </c>
      <c r="E1215" s="1" t="s">
        <v>80</v>
      </c>
      <c r="F1215" s="1" t="s">
        <v>282</v>
      </c>
      <c r="G1215" s="10">
        <v>1</v>
      </c>
      <c r="H1215" s="1" t="s">
        <v>42</v>
      </c>
    </row>
    <row r="1216" spans="1:8" ht="15.75" customHeight="1" x14ac:dyDescent="0.3">
      <c r="A1216" s="10">
        <v>11215</v>
      </c>
      <c r="B1216" s="10">
        <v>672</v>
      </c>
      <c r="C1216" s="10">
        <v>2088</v>
      </c>
      <c r="D1216" s="10">
        <v>310</v>
      </c>
      <c r="E1216" s="1" t="s">
        <v>367</v>
      </c>
      <c r="F1216" s="1" t="s">
        <v>329</v>
      </c>
      <c r="G1216" s="10">
        <v>80</v>
      </c>
      <c r="H1216" s="1" t="s">
        <v>78</v>
      </c>
    </row>
    <row r="1217" spans="1:8" ht="15.75" customHeight="1" x14ac:dyDescent="0.3">
      <c r="A1217" s="10">
        <v>11216</v>
      </c>
      <c r="B1217" s="10">
        <v>683</v>
      </c>
      <c r="C1217" s="10">
        <v>2030</v>
      </c>
      <c r="D1217" s="10">
        <v>318</v>
      </c>
      <c r="E1217" s="1" t="s">
        <v>383</v>
      </c>
      <c r="F1217" s="1" t="s">
        <v>80</v>
      </c>
      <c r="G1217" s="10">
        <v>34</v>
      </c>
      <c r="H1217" s="1" t="s">
        <v>36</v>
      </c>
    </row>
    <row r="1218" spans="1:8" ht="15.75" customHeight="1" x14ac:dyDescent="0.3">
      <c r="A1218" s="10">
        <v>11217</v>
      </c>
      <c r="B1218" s="10">
        <v>671</v>
      </c>
      <c r="C1218" s="10">
        <v>2087</v>
      </c>
      <c r="D1218" s="10">
        <v>315</v>
      </c>
      <c r="E1218" s="1" t="s">
        <v>344</v>
      </c>
      <c r="F1218" s="1" t="s">
        <v>337</v>
      </c>
      <c r="G1218" s="10">
        <v>16</v>
      </c>
      <c r="H1218" s="1" t="s">
        <v>78</v>
      </c>
    </row>
    <row r="1219" spans="1:8" ht="15.75" customHeight="1" x14ac:dyDescent="0.3">
      <c r="A1219" s="10">
        <v>11218</v>
      </c>
      <c r="B1219" s="10">
        <v>604</v>
      </c>
      <c r="C1219" s="10">
        <v>2066</v>
      </c>
      <c r="D1219" s="10">
        <v>310</v>
      </c>
      <c r="E1219" s="1" t="s">
        <v>244</v>
      </c>
      <c r="F1219" s="1" t="s">
        <v>361</v>
      </c>
      <c r="G1219" s="10">
        <v>15</v>
      </c>
      <c r="H1219" s="1" t="s">
        <v>36</v>
      </c>
    </row>
    <row r="1220" spans="1:8" ht="15.75" customHeight="1" x14ac:dyDescent="0.3">
      <c r="A1220" s="10">
        <v>11219</v>
      </c>
      <c r="B1220" s="10">
        <v>779</v>
      </c>
      <c r="C1220" s="10">
        <v>2019</v>
      </c>
      <c r="D1220" s="10">
        <v>320</v>
      </c>
      <c r="E1220" s="1" t="s">
        <v>158</v>
      </c>
      <c r="F1220" s="1" t="s">
        <v>262</v>
      </c>
      <c r="G1220" s="10">
        <v>27</v>
      </c>
      <c r="H1220" s="1" t="s">
        <v>78</v>
      </c>
    </row>
    <row r="1221" spans="1:8" ht="15.75" customHeight="1" x14ac:dyDescent="0.3">
      <c r="A1221" s="10">
        <v>11220</v>
      </c>
      <c r="B1221" s="10">
        <v>882</v>
      </c>
      <c r="C1221" s="10">
        <v>2098</v>
      </c>
      <c r="D1221" s="10">
        <v>318</v>
      </c>
      <c r="E1221" s="1" t="s">
        <v>59</v>
      </c>
      <c r="F1221" s="1" t="s">
        <v>60</v>
      </c>
      <c r="G1221" s="10">
        <v>92</v>
      </c>
      <c r="H1221" s="1" t="s">
        <v>42</v>
      </c>
    </row>
    <row r="1222" spans="1:8" ht="15.75" customHeight="1" x14ac:dyDescent="0.3">
      <c r="A1222" s="10">
        <v>11221</v>
      </c>
      <c r="B1222" s="10">
        <v>546</v>
      </c>
      <c r="C1222" s="10">
        <v>2011</v>
      </c>
      <c r="D1222" s="10">
        <v>307</v>
      </c>
      <c r="E1222" s="1" t="s">
        <v>208</v>
      </c>
      <c r="F1222" s="1" t="s">
        <v>229</v>
      </c>
      <c r="G1222" s="10">
        <v>17</v>
      </c>
      <c r="H1222" s="1" t="s">
        <v>39</v>
      </c>
    </row>
    <row r="1223" spans="1:8" ht="15.75" customHeight="1" x14ac:dyDescent="0.3">
      <c r="A1223" s="10">
        <v>11222</v>
      </c>
      <c r="B1223" s="10">
        <v>796</v>
      </c>
      <c r="C1223" s="10">
        <v>2044</v>
      </c>
      <c r="D1223" s="10">
        <v>303</v>
      </c>
      <c r="E1223" s="1" t="s">
        <v>344</v>
      </c>
      <c r="F1223" s="1" t="s">
        <v>46</v>
      </c>
      <c r="G1223" s="10">
        <v>24</v>
      </c>
      <c r="H1223" s="1" t="s">
        <v>42</v>
      </c>
    </row>
    <row r="1224" spans="1:8" ht="15.75" customHeight="1" x14ac:dyDescent="0.3">
      <c r="A1224" s="10">
        <v>11223</v>
      </c>
      <c r="B1224" s="10">
        <v>598</v>
      </c>
      <c r="C1224" s="10">
        <v>2057</v>
      </c>
      <c r="D1224" s="10">
        <v>320</v>
      </c>
      <c r="E1224" s="1" t="s">
        <v>308</v>
      </c>
      <c r="F1224" s="1" t="s">
        <v>359</v>
      </c>
      <c r="G1224" s="10">
        <v>52</v>
      </c>
      <c r="H1224" s="1" t="s">
        <v>39</v>
      </c>
    </row>
    <row r="1225" spans="1:8" ht="15.75" customHeight="1" x14ac:dyDescent="0.3">
      <c r="A1225" s="10">
        <v>11224</v>
      </c>
      <c r="B1225" s="10">
        <v>666</v>
      </c>
      <c r="C1225" s="10">
        <v>2001</v>
      </c>
      <c r="D1225" s="10">
        <v>319</v>
      </c>
      <c r="E1225" s="1" t="s">
        <v>254</v>
      </c>
      <c r="F1225" s="1" t="s">
        <v>214</v>
      </c>
      <c r="G1225" s="10">
        <v>78</v>
      </c>
      <c r="H1225" s="1" t="s">
        <v>42</v>
      </c>
    </row>
    <row r="1226" spans="1:8" ht="15.75" customHeight="1" x14ac:dyDescent="0.3">
      <c r="A1226" s="10">
        <v>11225</v>
      </c>
      <c r="B1226" s="10">
        <v>589</v>
      </c>
      <c r="C1226" s="10">
        <v>2005</v>
      </c>
      <c r="D1226" s="10">
        <v>316</v>
      </c>
      <c r="E1226" s="1" t="s">
        <v>352</v>
      </c>
      <c r="F1226" s="1" t="s">
        <v>371</v>
      </c>
      <c r="G1226" s="10">
        <v>31</v>
      </c>
      <c r="H1226" s="1" t="s">
        <v>78</v>
      </c>
    </row>
    <row r="1227" spans="1:8" ht="15.75" customHeight="1" x14ac:dyDescent="0.3">
      <c r="A1227" s="10">
        <v>11226</v>
      </c>
      <c r="B1227" s="10">
        <v>815</v>
      </c>
      <c r="C1227" s="10">
        <v>2008</v>
      </c>
      <c r="D1227" s="10">
        <v>316</v>
      </c>
      <c r="E1227" s="1" t="s">
        <v>231</v>
      </c>
      <c r="F1227" s="1" t="s">
        <v>54</v>
      </c>
      <c r="G1227" s="10">
        <v>86</v>
      </c>
      <c r="H1227" s="1" t="s">
        <v>39</v>
      </c>
    </row>
    <row r="1228" spans="1:8" ht="15.75" customHeight="1" x14ac:dyDescent="0.3">
      <c r="A1228" s="10">
        <v>11227</v>
      </c>
      <c r="B1228" s="10">
        <v>700</v>
      </c>
      <c r="C1228" s="10">
        <v>2054</v>
      </c>
      <c r="D1228" s="10">
        <v>320</v>
      </c>
      <c r="E1228" s="1" t="s">
        <v>82</v>
      </c>
      <c r="F1228" s="1" t="s">
        <v>220</v>
      </c>
      <c r="G1228" s="10">
        <v>99</v>
      </c>
      <c r="H1228" s="1" t="s">
        <v>78</v>
      </c>
    </row>
    <row r="1229" spans="1:8" ht="15.75" customHeight="1" x14ac:dyDescent="0.3">
      <c r="A1229" s="10">
        <v>11228</v>
      </c>
      <c r="B1229" s="10">
        <v>655</v>
      </c>
      <c r="C1229" s="10">
        <v>2043</v>
      </c>
      <c r="D1229" s="10">
        <v>306</v>
      </c>
      <c r="E1229" s="1" t="s">
        <v>193</v>
      </c>
      <c r="F1229" s="1" t="s">
        <v>295</v>
      </c>
      <c r="G1229" s="10">
        <v>93</v>
      </c>
      <c r="H1229" s="1" t="s">
        <v>78</v>
      </c>
    </row>
    <row r="1230" spans="1:8" ht="15.75" customHeight="1" x14ac:dyDescent="0.3">
      <c r="A1230" s="10">
        <v>11229</v>
      </c>
      <c r="B1230" s="10">
        <v>850</v>
      </c>
      <c r="C1230" s="10">
        <v>2058</v>
      </c>
      <c r="D1230" s="10">
        <v>305</v>
      </c>
      <c r="E1230" s="1" t="s">
        <v>357</v>
      </c>
      <c r="F1230" s="1" t="s">
        <v>287</v>
      </c>
      <c r="G1230" s="10">
        <v>21</v>
      </c>
      <c r="H1230" s="1" t="s">
        <v>78</v>
      </c>
    </row>
    <row r="1231" spans="1:8" ht="15.75" customHeight="1" x14ac:dyDescent="0.3">
      <c r="A1231" s="10">
        <v>11230</v>
      </c>
      <c r="B1231" s="10">
        <v>539</v>
      </c>
      <c r="C1231" s="10">
        <v>2031</v>
      </c>
      <c r="D1231" s="10">
        <v>309</v>
      </c>
      <c r="E1231" s="1" t="s">
        <v>270</v>
      </c>
      <c r="F1231" s="1" t="s">
        <v>287</v>
      </c>
      <c r="G1231" s="10">
        <v>78</v>
      </c>
      <c r="H1231" s="1" t="s">
        <v>42</v>
      </c>
    </row>
    <row r="1232" spans="1:8" ht="15.75" customHeight="1" x14ac:dyDescent="0.3">
      <c r="A1232" s="10">
        <v>11231</v>
      </c>
      <c r="B1232" s="10">
        <v>760</v>
      </c>
      <c r="C1232" s="10">
        <v>2039</v>
      </c>
      <c r="D1232" s="10">
        <v>302</v>
      </c>
      <c r="E1232" s="1" t="s">
        <v>401</v>
      </c>
      <c r="F1232" s="1" t="s">
        <v>358</v>
      </c>
      <c r="G1232" s="10">
        <v>10</v>
      </c>
      <c r="H1232" s="1" t="s">
        <v>39</v>
      </c>
    </row>
    <row r="1233" spans="1:8" ht="15.75" customHeight="1" x14ac:dyDescent="0.3">
      <c r="A1233" s="10">
        <v>11232</v>
      </c>
      <c r="B1233" s="10">
        <v>813</v>
      </c>
      <c r="C1233" s="10">
        <v>2079</v>
      </c>
      <c r="D1233" s="10">
        <v>316</v>
      </c>
      <c r="E1233" s="1" t="s">
        <v>341</v>
      </c>
      <c r="F1233" s="1" t="s">
        <v>301</v>
      </c>
      <c r="G1233" s="10">
        <v>2</v>
      </c>
      <c r="H1233" s="1" t="s">
        <v>42</v>
      </c>
    </row>
    <row r="1234" spans="1:8" ht="15.75" customHeight="1" x14ac:dyDescent="0.3">
      <c r="A1234" s="10">
        <v>11233</v>
      </c>
      <c r="B1234" s="10">
        <v>705</v>
      </c>
      <c r="C1234" s="10">
        <v>2080</v>
      </c>
      <c r="D1234" s="10">
        <v>305</v>
      </c>
      <c r="E1234" s="1" t="s">
        <v>141</v>
      </c>
      <c r="F1234" s="1" t="s">
        <v>405</v>
      </c>
      <c r="G1234" s="10">
        <v>74</v>
      </c>
      <c r="H1234" s="1" t="s">
        <v>36</v>
      </c>
    </row>
    <row r="1235" spans="1:8" ht="15.75" customHeight="1" x14ac:dyDescent="0.3">
      <c r="A1235" s="10">
        <v>11234</v>
      </c>
      <c r="B1235" s="10">
        <v>649</v>
      </c>
      <c r="C1235" s="10">
        <v>2040</v>
      </c>
      <c r="D1235" s="10">
        <v>318</v>
      </c>
      <c r="E1235" s="1" t="s">
        <v>197</v>
      </c>
      <c r="F1235" s="1" t="s">
        <v>67</v>
      </c>
      <c r="G1235" s="10">
        <v>59</v>
      </c>
      <c r="H1235" s="1" t="s">
        <v>36</v>
      </c>
    </row>
    <row r="1236" spans="1:8" ht="15.75" customHeight="1" x14ac:dyDescent="0.3">
      <c r="A1236" s="10">
        <v>11235</v>
      </c>
      <c r="B1236" s="10">
        <v>843</v>
      </c>
      <c r="C1236" s="10">
        <v>2034</v>
      </c>
      <c r="D1236" s="10">
        <v>318</v>
      </c>
      <c r="E1236" s="1" t="s">
        <v>56</v>
      </c>
      <c r="F1236" s="1" t="s">
        <v>295</v>
      </c>
      <c r="G1236" s="10">
        <v>42</v>
      </c>
      <c r="H1236" s="1" t="s">
        <v>78</v>
      </c>
    </row>
    <row r="1237" spans="1:8" ht="15.75" customHeight="1" x14ac:dyDescent="0.3">
      <c r="A1237" s="10">
        <v>11236</v>
      </c>
      <c r="B1237" s="10">
        <v>853</v>
      </c>
      <c r="C1237" s="10">
        <v>2069</v>
      </c>
      <c r="D1237" s="10">
        <v>307</v>
      </c>
      <c r="E1237" s="1" t="s">
        <v>219</v>
      </c>
      <c r="F1237" s="1" t="s">
        <v>181</v>
      </c>
      <c r="G1237" s="10">
        <v>75</v>
      </c>
      <c r="H1237" s="1" t="s">
        <v>36</v>
      </c>
    </row>
    <row r="1238" spans="1:8" ht="15.75" customHeight="1" x14ac:dyDescent="0.3">
      <c r="A1238" s="10">
        <v>11237</v>
      </c>
      <c r="B1238" s="10">
        <v>804</v>
      </c>
      <c r="C1238" s="10">
        <v>2044</v>
      </c>
      <c r="D1238" s="10">
        <v>316</v>
      </c>
      <c r="E1238" s="1" t="s">
        <v>273</v>
      </c>
      <c r="F1238" s="1" t="s">
        <v>208</v>
      </c>
      <c r="G1238" s="10">
        <v>60</v>
      </c>
      <c r="H1238" s="1" t="s">
        <v>36</v>
      </c>
    </row>
    <row r="1239" spans="1:8" ht="15.75" customHeight="1" x14ac:dyDescent="0.3">
      <c r="A1239" s="10">
        <v>11238</v>
      </c>
      <c r="B1239" s="10">
        <v>553</v>
      </c>
      <c r="C1239" s="10">
        <v>2074</v>
      </c>
      <c r="D1239" s="10">
        <v>318</v>
      </c>
      <c r="E1239" s="1" t="s">
        <v>400</v>
      </c>
      <c r="F1239" s="1" t="s">
        <v>38</v>
      </c>
      <c r="G1239" s="10">
        <v>89</v>
      </c>
      <c r="H1239" s="1" t="s">
        <v>42</v>
      </c>
    </row>
    <row r="1240" spans="1:8" ht="15.75" customHeight="1" x14ac:dyDescent="0.3">
      <c r="A1240" s="10">
        <v>11239</v>
      </c>
      <c r="B1240" s="10">
        <v>608</v>
      </c>
      <c r="C1240" s="10">
        <v>2013</v>
      </c>
      <c r="D1240" s="10">
        <v>302</v>
      </c>
      <c r="E1240" s="1" t="s">
        <v>113</v>
      </c>
      <c r="F1240" s="1" t="s">
        <v>34</v>
      </c>
      <c r="G1240" s="10">
        <v>1</v>
      </c>
      <c r="H1240" s="1" t="s">
        <v>78</v>
      </c>
    </row>
    <row r="1241" spans="1:8" ht="15.75" customHeight="1" x14ac:dyDescent="0.3">
      <c r="A1241" s="10">
        <v>11240</v>
      </c>
      <c r="B1241" s="10">
        <v>693</v>
      </c>
      <c r="C1241" s="10">
        <v>2050</v>
      </c>
      <c r="D1241" s="10">
        <v>320</v>
      </c>
      <c r="E1241" s="1" t="s">
        <v>410</v>
      </c>
      <c r="F1241" s="1" t="s">
        <v>334</v>
      </c>
      <c r="G1241" s="10">
        <v>15</v>
      </c>
      <c r="H1241" s="1" t="s">
        <v>78</v>
      </c>
    </row>
    <row r="1242" spans="1:8" ht="15.75" customHeight="1" x14ac:dyDescent="0.3">
      <c r="A1242" s="10">
        <v>11241</v>
      </c>
      <c r="B1242" s="10">
        <v>573</v>
      </c>
      <c r="C1242" s="10">
        <v>2063</v>
      </c>
      <c r="D1242" s="10">
        <v>318</v>
      </c>
      <c r="E1242" s="1" t="s">
        <v>340</v>
      </c>
      <c r="F1242" s="1" t="s">
        <v>41</v>
      </c>
      <c r="G1242" s="10">
        <v>6</v>
      </c>
      <c r="H1242" s="1" t="s">
        <v>78</v>
      </c>
    </row>
    <row r="1243" spans="1:8" ht="15.75" customHeight="1" x14ac:dyDescent="0.3">
      <c r="A1243" s="10">
        <v>11242</v>
      </c>
      <c r="B1243" s="10">
        <v>783</v>
      </c>
      <c r="C1243" s="10">
        <v>2072</v>
      </c>
      <c r="D1243" s="10">
        <v>308</v>
      </c>
      <c r="E1243" s="1" t="s">
        <v>272</v>
      </c>
      <c r="F1243" s="1" t="s">
        <v>135</v>
      </c>
      <c r="G1243" s="10">
        <v>26</v>
      </c>
      <c r="H1243" s="1" t="s">
        <v>78</v>
      </c>
    </row>
    <row r="1244" spans="1:8" ht="15.75" customHeight="1" x14ac:dyDescent="0.3">
      <c r="A1244" s="10">
        <v>11243</v>
      </c>
      <c r="B1244" s="10">
        <v>505</v>
      </c>
      <c r="C1244" s="10">
        <v>2045</v>
      </c>
      <c r="D1244" s="10">
        <v>320</v>
      </c>
      <c r="E1244" s="1" t="s">
        <v>217</v>
      </c>
      <c r="F1244" s="1" t="s">
        <v>218</v>
      </c>
      <c r="G1244" s="10">
        <v>17</v>
      </c>
      <c r="H1244" s="1" t="s">
        <v>42</v>
      </c>
    </row>
    <row r="1245" spans="1:8" ht="15.75" customHeight="1" x14ac:dyDescent="0.3">
      <c r="A1245" s="10">
        <v>11244</v>
      </c>
      <c r="B1245" s="10">
        <v>658</v>
      </c>
      <c r="C1245" s="10">
        <v>2019</v>
      </c>
      <c r="D1245" s="10">
        <v>311</v>
      </c>
      <c r="E1245" s="1" t="s">
        <v>257</v>
      </c>
      <c r="F1245" s="1" t="s">
        <v>140</v>
      </c>
      <c r="G1245" s="10">
        <v>14</v>
      </c>
      <c r="H1245" s="1" t="s">
        <v>78</v>
      </c>
    </row>
    <row r="1246" spans="1:8" ht="15.75" customHeight="1" x14ac:dyDescent="0.3">
      <c r="A1246" s="10">
        <v>11245</v>
      </c>
      <c r="B1246" s="10">
        <v>888</v>
      </c>
      <c r="C1246" s="10">
        <v>2020</v>
      </c>
      <c r="D1246" s="10">
        <v>301</v>
      </c>
      <c r="E1246" s="1" t="s">
        <v>209</v>
      </c>
      <c r="F1246" s="1" t="s">
        <v>255</v>
      </c>
      <c r="G1246" s="10">
        <v>9</v>
      </c>
      <c r="H1246" s="1" t="s">
        <v>39</v>
      </c>
    </row>
    <row r="1247" spans="1:8" ht="15.75" customHeight="1" x14ac:dyDescent="0.3">
      <c r="A1247" s="10">
        <v>11246</v>
      </c>
      <c r="B1247" s="10">
        <v>666</v>
      </c>
      <c r="C1247" s="10">
        <v>2040</v>
      </c>
      <c r="D1247" s="10">
        <v>311</v>
      </c>
      <c r="E1247" s="1" t="s">
        <v>147</v>
      </c>
      <c r="F1247" s="1" t="s">
        <v>173</v>
      </c>
      <c r="G1247" s="10">
        <v>8</v>
      </c>
      <c r="H1247" s="1" t="s">
        <v>78</v>
      </c>
    </row>
    <row r="1248" spans="1:8" ht="15.75" customHeight="1" x14ac:dyDescent="0.3">
      <c r="A1248" s="10">
        <v>11247</v>
      </c>
      <c r="B1248" s="10">
        <v>784</v>
      </c>
      <c r="C1248" s="10">
        <v>2078</v>
      </c>
      <c r="D1248" s="10">
        <v>311</v>
      </c>
      <c r="E1248" s="1" t="s">
        <v>164</v>
      </c>
      <c r="F1248" s="1" t="s">
        <v>155</v>
      </c>
      <c r="G1248" s="10">
        <v>76</v>
      </c>
      <c r="H1248" s="1" t="s">
        <v>42</v>
      </c>
    </row>
    <row r="1249" spans="1:8" ht="15.75" customHeight="1" x14ac:dyDescent="0.3">
      <c r="A1249" s="10">
        <v>11248</v>
      </c>
      <c r="B1249" s="10">
        <v>664</v>
      </c>
      <c r="C1249" s="10">
        <v>2068</v>
      </c>
      <c r="D1249" s="10">
        <v>320</v>
      </c>
      <c r="E1249" s="1" t="s">
        <v>178</v>
      </c>
      <c r="F1249" s="1" t="s">
        <v>71</v>
      </c>
      <c r="G1249" s="10">
        <v>3</v>
      </c>
      <c r="H1249" s="1" t="s">
        <v>78</v>
      </c>
    </row>
    <row r="1250" spans="1:8" ht="15.75" customHeight="1" x14ac:dyDescent="0.3">
      <c r="A1250" s="10">
        <v>11249</v>
      </c>
      <c r="B1250" s="10">
        <v>878</v>
      </c>
      <c r="C1250" s="10">
        <v>2022</v>
      </c>
      <c r="D1250" s="10">
        <v>309</v>
      </c>
      <c r="E1250" s="1" t="s">
        <v>222</v>
      </c>
      <c r="F1250" s="1" t="s">
        <v>318</v>
      </c>
      <c r="G1250" s="10">
        <v>88</v>
      </c>
      <c r="H1250" s="1" t="s">
        <v>39</v>
      </c>
    </row>
    <row r="1251" spans="1:8" ht="15.75" customHeight="1" x14ac:dyDescent="0.3">
      <c r="A1251" s="10">
        <v>11250</v>
      </c>
      <c r="B1251" s="10">
        <v>719</v>
      </c>
      <c r="C1251" s="10">
        <v>2001</v>
      </c>
      <c r="D1251" s="10">
        <v>303</v>
      </c>
      <c r="E1251" s="1" t="s">
        <v>384</v>
      </c>
      <c r="F1251" s="1" t="s">
        <v>79</v>
      </c>
      <c r="G1251" s="10">
        <v>94</v>
      </c>
      <c r="H1251" s="1" t="s">
        <v>36</v>
      </c>
    </row>
    <row r="1252" spans="1:8" ht="15.75" customHeight="1" x14ac:dyDescent="0.3">
      <c r="A1252" s="10">
        <v>11251</v>
      </c>
      <c r="B1252" s="10">
        <v>575</v>
      </c>
      <c r="C1252" s="10">
        <v>2096</v>
      </c>
      <c r="D1252" s="10">
        <v>303</v>
      </c>
      <c r="E1252" s="1" t="s">
        <v>408</v>
      </c>
      <c r="F1252" s="1" t="s">
        <v>140</v>
      </c>
      <c r="G1252" s="10">
        <v>90</v>
      </c>
      <c r="H1252" s="1" t="s">
        <v>78</v>
      </c>
    </row>
    <row r="1253" spans="1:8" ht="15.75" customHeight="1" x14ac:dyDescent="0.3">
      <c r="A1253" s="10">
        <v>11252</v>
      </c>
      <c r="B1253" s="10">
        <v>867</v>
      </c>
      <c r="C1253" s="10">
        <v>2073</v>
      </c>
      <c r="D1253" s="10">
        <v>314</v>
      </c>
      <c r="E1253" s="1" t="s">
        <v>50</v>
      </c>
      <c r="F1253" s="1" t="s">
        <v>333</v>
      </c>
      <c r="G1253" s="10">
        <v>78</v>
      </c>
      <c r="H1253" s="1" t="s">
        <v>36</v>
      </c>
    </row>
    <row r="1254" spans="1:8" ht="15.75" customHeight="1" x14ac:dyDescent="0.3">
      <c r="A1254" s="10">
        <v>11253</v>
      </c>
      <c r="B1254" s="10">
        <v>831</v>
      </c>
      <c r="C1254" s="10">
        <v>2043</v>
      </c>
      <c r="D1254" s="10">
        <v>302</v>
      </c>
      <c r="E1254" s="1" t="s">
        <v>59</v>
      </c>
      <c r="F1254" s="1" t="s">
        <v>165</v>
      </c>
      <c r="G1254" s="10">
        <v>6</v>
      </c>
      <c r="H1254" s="1" t="s">
        <v>42</v>
      </c>
    </row>
    <row r="1255" spans="1:8" ht="15.75" customHeight="1" x14ac:dyDescent="0.3">
      <c r="A1255" s="10">
        <v>11254</v>
      </c>
      <c r="B1255" s="10">
        <v>762</v>
      </c>
      <c r="C1255" s="10">
        <v>2044</v>
      </c>
      <c r="D1255" s="10">
        <v>302</v>
      </c>
      <c r="E1255" s="1" t="s">
        <v>386</v>
      </c>
      <c r="F1255" s="1" t="s">
        <v>223</v>
      </c>
      <c r="G1255" s="10">
        <v>4</v>
      </c>
      <c r="H1255" s="1" t="s">
        <v>36</v>
      </c>
    </row>
    <row r="1256" spans="1:8" ht="15.75" customHeight="1" x14ac:dyDescent="0.3">
      <c r="A1256" s="10">
        <v>11255</v>
      </c>
      <c r="B1256" s="10">
        <v>700</v>
      </c>
      <c r="C1256" s="10">
        <v>2068</v>
      </c>
      <c r="D1256" s="10">
        <v>317</v>
      </c>
      <c r="E1256" s="1" t="s">
        <v>64</v>
      </c>
      <c r="F1256" s="1" t="s">
        <v>175</v>
      </c>
      <c r="G1256" s="10">
        <v>99</v>
      </c>
      <c r="H1256" s="1" t="s">
        <v>78</v>
      </c>
    </row>
    <row r="1257" spans="1:8" ht="15.75" customHeight="1" x14ac:dyDescent="0.3">
      <c r="A1257" s="10">
        <v>11256</v>
      </c>
      <c r="B1257" s="10">
        <v>852</v>
      </c>
      <c r="C1257" s="10">
        <v>2050</v>
      </c>
      <c r="D1257" s="10">
        <v>314</v>
      </c>
      <c r="E1257" s="1" t="s">
        <v>216</v>
      </c>
      <c r="F1257" s="1" t="s">
        <v>255</v>
      </c>
      <c r="G1257" s="10">
        <v>47</v>
      </c>
      <c r="H1257" s="1" t="s">
        <v>42</v>
      </c>
    </row>
    <row r="1258" spans="1:8" ht="15.75" customHeight="1" x14ac:dyDescent="0.3">
      <c r="A1258" s="10">
        <v>11257</v>
      </c>
      <c r="B1258" s="10">
        <v>852</v>
      </c>
      <c r="C1258" s="10">
        <v>2051</v>
      </c>
      <c r="D1258" s="10">
        <v>301</v>
      </c>
      <c r="E1258" s="1" t="s">
        <v>339</v>
      </c>
      <c r="F1258" s="1" t="s">
        <v>354</v>
      </c>
      <c r="G1258" s="10">
        <v>89</v>
      </c>
      <c r="H1258" s="1" t="s">
        <v>78</v>
      </c>
    </row>
    <row r="1259" spans="1:8" ht="15.75" customHeight="1" x14ac:dyDescent="0.3">
      <c r="A1259" s="10">
        <v>11258</v>
      </c>
      <c r="B1259" s="10">
        <v>654</v>
      </c>
      <c r="C1259" s="10">
        <v>2033</v>
      </c>
      <c r="D1259" s="10">
        <v>311</v>
      </c>
      <c r="E1259" s="1" t="s">
        <v>250</v>
      </c>
      <c r="F1259" s="1" t="s">
        <v>152</v>
      </c>
      <c r="G1259" s="10">
        <v>70</v>
      </c>
      <c r="H1259" s="1" t="s">
        <v>42</v>
      </c>
    </row>
    <row r="1260" spans="1:8" ht="15.75" customHeight="1" x14ac:dyDescent="0.3">
      <c r="A1260" s="10">
        <v>11259</v>
      </c>
      <c r="B1260" s="10">
        <v>711</v>
      </c>
      <c r="C1260" s="10">
        <v>2069</v>
      </c>
      <c r="D1260" s="10">
        <v>318</v>
      </c>
      <c r="E1260" s="1" t="s">
        <v>69</v>
      </c>
      <c r="F1260" s="1" t="s">
        <v>349</v>
      </c>
      <c r="G1260" s="10">
        <v>44</v>
      </c>
      <c r="H1260" s="1" t="s">
        <v>36</v>
      </c>
    </row>
    <row r="1261" spans="1:8" ht="15.75" customHeight="1" x14ac:dyDescent="0.3">
      <c r="A1261" s="10">
        <v>11260</v>
      </c>
      <c r="B1261" s="10">
        <v>820</v>
      </c>
      <c r="C1261" s="10">
        <v>2019</v>
      </c>
      <c r="D1261" s="10">
        <v>320</v>
      </c>
      <c r="E1261" s="1" t="s">
        <v>184</v>
      </c>
      <c r="F1261" s="1" t="s">
        <v>137</v>
      </c>
      <c r="G1261" s="10">
        <v>78</v>
      </c>
      <c r="H1261" s="1" t="s">
        <v>36</v>
      </c>
    </row>
    <row r="1262" spans="1:8" ht="15.75" customHeight="1" x14ac:dyDescent="0.3">
      <c r="A1262" s="10">
        <v>11261</v>
      </c>
      <c r="B1262" s="10">
        <v>734</v>
      </c>
      <c r="C1262" s="10">
        <v>2080</v>
      </c>
      <c r="D1262" s="10">
        <v>315</v>
      </c>
      <c r="E1262" s="1" t="s">
        <v>234</v>
      </c>
      <c r="F1262" s="1" t="s">
        <v>79</v>
      </c>
      <c r="G1262" s="10">
        <v>34</v>
      </c>
      <c r="H1262" s="1" t="s">
        <v>39</v>
      </c>
    </row>
    <row r="1263" spans="1:8" ht="15.75" customHeight="1" x14ac:dyDescent="0.3">
      <c r="A1263" s="10">
        <v>11262</v>
      </c>
      <c r="B1263" s="10">
        <v>828</v>
      </c>
      <c r="C1263" s="10">
        <v>2042</v>
      </c>
      <c r="D1263" s="10">
        <v>309</v>
      </c>
      <c r="E1263" s="1" t="s">
        <v>209</v>
      </c>
      <c r="F1263" s="1" t="s">
        <v>304</v>
      </c>
      <c r="G1263" s="10">
        <v>44</v>
      </c>
      <c r="H1263" s="1" t="s">
        <v>42</v>
      </c>
    </row>
    <row r="1264" spans="1:8" ht="15.75" customHeight="1" x14ac:dyDescent="0.3">
      <c r="A1264" s="10">
        <v>11263</v>
      </c>
      <c r="B1264" s="10">
        <v>735</v>
      </c>
      <c r="C1264" s="10">
        <v>2042</v>
      </c>
      <c r="D1264" s="10">
        <v>318</v>
      </c>
      <c r="E1264" s="1" t="s">
        <v>266</v>
      </c>
      <c r="F1264" s="1" t="s">
        <v>402</v>
      </c>
      <c r="G1264" s="10">
        <v>29</v>
      </c>
      <c r="H1264" s="1" t="s">
        <v>42</v>
      </c>
    </row>
    <row r="1265" spans="1:8" ht="15.75" customHeight="1" x14ac:dyDescent="0.3">
      <c r="A1265" s="10">
        <v>11264</v>
      </c>
      <c r="B1265" s="10">
        <v>552</v>
      </c>
      <c r="C1265" s="10">
        <v>2026</v>
      </c>
      <c r="D1265" s="10">
        <v>312</v>
      </c>
      <c r="E1265" s="1" t="s">
        <v>186</v>
      </c>
      <c r="F1265" s="1" t="s">
        <v>67</v>
      </c>
      <c r="G1265" s="10">
        <v>11</v>
      </c>
      <c r="H1265" s="1" t="s">
        <v>42</v>
      </c>
    </row>
    <row r="1266" spans="1:8" ht="15.75" customHeight="1" x14ac:dyDescent="0.3">
      <c r="A1266" s="10">
        <v>11265</v>
      </c>
      <c r="B1266" s="10">
        <v>680</v>
      </c>
      <c r="C1266" s="10">
        <v>2084</v>
      </c>
      <c r="D1266" s="10">
        <v>305</v>
      </c>
      <c r="E1266" s="1" t="s">
        <v>164</v>
      </c>
      <c r="F1266" s="1" t="s">
        <v>303</v>
      </c>
      <c r="G1266" s="10">
        <v>33</v>
      </c>
      <c r="H1266" s="1" t="s">
        <v>39</v>
      </c>
    </row>
    <row r="1267" spans="1:8" ht="15.75" customHeight="1" x14ac:dyDescent="0.3">
      <c r="A1267" s="10">
        <v>11266</v>
      </c>
      <c r="B1267" s="10">
        <v>570</v>
      </c>
      <c r="C1267" s="10">
        <v>2003</v>
      </c>
      <c r="D1267" s="10">
        <v>302</v>
      </c>
      <c r="E1267" s="1" t="s">
        <v>257</v>
      </c>
      <c r="F1267" s="1" t="s">
        <v>287</v>
      </c>
      <c r="G1267" s="10">
        <v>66</v>
      </c>
      <c r="H1267" s="1" t="s">
        <v>42</v>
      </c>
    </row>
    <row r="1268" spans="1:8" ht="15.75" customHeight="1" x14ac:dyDescent="0.3">
      <c r="A1268" s="10">
        <v>11267</v>
      </c>
      <c r="B1268" s="10">
        <v>675</v>
      </c>
      <c r="C1268" s="10">
        <v>2098</v>
      </c>
      <c r="D1268" s="10">
        <v>319</v>
      </c>
      <c r="E1268" s="1" t="s">
        <v>65</v>
      </c>
      <c r="F1268" s="1" t="s">
        <v>129</v>
      </c>
      <c r="G1268" s="10">
        <v>7</v>
      </c>
      <c r="H1268" s="1" t="s">
        <v>78</v>
      </c>
    </row>
    <row r="1269" spans="1:8" ht="15.75" customHeight="1" x14ac:dyDescent="0.3">
      <c r="A1269" s="10">
        <v>11268</v>
      </c>
      <c r="B1269" s="10">
        <v>840</v>
      </c>
      <c r="C1269" s="10">
        <v>2056</v>
      </c>
      <c r="D1269" s="10">
        <v>304</v>
      </c>
      <c r="E1269" s="1" t="s">
        <v>187</v>
      </c>
      <c r="F1269" s="1" t="s">
        <v>182</v>
      </c>
      <c r="G1269" s="10">
        <v>62</v>
      </c>
      <c r="H1269" s="1" t="s">
        <v>39</v>
      </c>
    </row>
    <row r="1270" spans="1:8" ht="15.75" customHeight="1" x14ac:dyDescent="0.3">
      <c r="A1270" s="10">
        <v>11269</v>
      </c>
      <c r="B1270" s="10">
        <v>563</v>
      </c>
      <c r="C1270" s="10">
        <v>2050</v>
      </c>
      <c r="D1270" s="10">
        <v>311</v>
      </c>
      <c r="E1270" s="1" t="s">
        <v>181</v>
      </c>
      <c r="F1270" s="1" t="s">
        <v>338</v>
      </c>
      <c r="G1270" s="10">
        <v>48</v>
      </c>
      <c r="H1270" s="1" t="s">
        <v>39</v>
      </c>
    </row>
    <row r="1271" spans="1:8" ht="15.75" customHeight="1" x14ac:dyDescent="0.3">
      <c r="A1271" s="10">
        <v>11270</v>
      </c>
      <c r="B1271" s="10">
        <v>708</v>
      </c>
      <c r="C1271" s="10">
        <v>2063</v>
      </c>
      <c r="D1271" s="10">
        <v>303</v>
      </c>
      <c r="E1271" s="1" t="s">
        <v>111</v>
      </c>
      <c r="F1271" s="1" t="s">
        <v>352</v>
      </c>
      <c r="G1271" s="10">
        <v>8</v>
      </c>
      <c r="H1271" s="1" t="s">
        <v>78</v>
      </c>
    </row>
    <row r="1272" spans="1:8" ht="15.75" customHeight="1" x14ac:dyDescent="0.3">
      <c r="A1272" s="10">
        <v>11271</v>
      </c>
      <c r="B1272" s="10">
        <v>765</v>
      </c>
      <c r="C1272" s="10">
        <v>2087</v>
      </c>
      <c r="D1272" s="10">
        <v>307</v>
      </c>
      <c r="E1272" s="1" t="s">
        <v>118</v>
      </c>
      <c r="F1272" s="1" t="s">
        <v>190</v>
      </c>
      <c r="G1272" s="10">
        <v>75</v>
      </c>
      <c r="H1272" s="1" t="s">
        <v>39</v>
      </c>
    </row>
    <row r="1273" spans="1:8" ht="15.75" customHeight="1" x14ac:dyDescent="0.3">
      <c r="A1273" s="10">
        <v>11272</v>
      </c>
      <c r="B1273" s="10">
        <v>548</v>
      </c>
      <c r="C1273" s="10">
        <v>2067</v>
      </c>
      <c r="D1273" s="10">
        <v>319</v>
      </c>
      <c r="E1273" s="1" t="s">
        <v>144</v>
      </c>
      <c r="F1273" s="1" t="s">
        <v>347</v>
      </c>
      <c r="G1273" s="10">
        <v>42</v>
      </c>
      <c r="H1273" s="1" t="s">
        <v>78</v>
      </c>
    </row>
    <row r="1274" spans="1:8" ht="15.75" customHeight="1" x14ac:dyDescent="0.3">
      <c r="A1274" s="10">
        <v>11273</v>
      </c>
      <c r="B1274" s="10">
        <v>773</v>
      </c>
      <c r="C1274" s="10">
        <v>2010</v>
      </c>
      <c r="D1274" s="10">
        <v>307</v>
      </c>
      <c r="E1274" s="1" t="s">
        <v>402</v>
      </c>
      <c r="F1274" s="1" t="s">
        <v>404</v>
      </c>
      <c r="G1274" s="10">
        <v>2</v>
      </c>
      <c r="H1274" s="1" t="s">
        <v>36</v>
      </c>
    </row>
    <row r="1275" spans="1:8" ht="15.75" customHeight="1" x14ac:dyDescent="0.3">
      <c r="A1275" s="10">
        <v>11274</v>
      </c>
      <c r="B1275" s="10">
        <v>582</v>
      </c>
      <c r="C1275" s="10">
        <v>2056</v>
      </c>
      <c r="D1275" s="10">
        <v>309</v>
      </c>
      <c r="E1275" s="1" t="s">
        <v>187</v>
      </c>
      <c r="F1275" s="1" t="s">
        <v>253</v>
      </c>
      <c r="G1275" s="10">
        <v>93</v>
      </c>
      <c r="H1275" s="1" t="s">
        <v>78</v>
      </c>
    </row>
    <row r="1276" spans="1:8" ht="15.75" customHeight="1" x14ac:dyDescent="0.3">
      <c r="A1276" s="10">
        <v>11275</v>
      </c>
      <c r="B1276" s="10">
        <v>891</v>
      </c>
      <c r="C1276" s="10">
        <v>2003</v>
      </c>
      <c r="D1276" s="10">
        <v>305</v>
      </c>
      <c r="E1276" s="1" t="s">
        <v>114</v>
      </c>
      <c r="F1276" s="1" t="s">
        <v>104</v>
      </c>
      <c r="G1276" s="10">
        <v>80</v>
      </c>
      <c r="H1276" s="1" t="s">
        <v>36</v>
      </c>
    </row>
    <row r="1277" spans="1:8" ht="15.75" customHeight="1" x14ac:dyDescent="0.3">
      <c r="A1277" s="10">
        <v>11276</v>
      </c>
      <c r="B1277" s="10">
        <v>776</v>
      </c>
      <c r="C1277" s="10">
        <v>2095</v>
      </c>
      <c r="D1277" s="10">
        <v>311</v>
      </c>
      <c r="E1277" s="1" t="s">
        <v>406</v>
      </c>
      <c r="F1277" s="1" t="s">
        <v>292</v>
      </c>
      <c r="G1277" s="10">
        <v>71</v>
      </c>
      <c r="H1277" s="1" t="s">
        <v>42</v>
      </c>
    </row>
    <row r="1278" spans="1:8" ht="15.75" customHeight="1" x14ac:dyDescent="0.3">
      <c r="A1278" s="10">
        <v>11277</v>
      </c>
      <c r="B1278" s="10">
        <v>697</v>
      </c>
      <c r="C1278" s="10">
        <v>2073</v>
      </c>
      <c r="D1278" s="10">
        <v>310</v>
      </c>
      <c r="E1278" s="1" t="s">
        <v>291</v>
      </c>
      <c r="F1278" s="1" t="s">
        <v>150</v>
      </c>
      <c r="G1278" s="10">
        <v>79</v>
      </c>
      <c r="H1278" s="1" t="s">
        <v>42</v>
      </c>
    </row>
    <row r="1279" spans="1:8" ht="15.75" customHeight="1" x14ac:dyDescent="0.3">
      <c r="A1279" s="10">
        <v>11278</v>
      </c>
      <c r="B1279" s="10">
        <v>837</v>
      </c>
      <c r="C1279" s="10">
        <v>2074</v>
      </c>
      <c r="D1279" s="10">
        <v>305</v>
      </c>
      <c r="E1279" s="1" t="s">
        <v>307</v>
      </c>
      <c r="F1279" s="1" t="s">
        <v>55</v>
      </c>
      <c r="G1279" s="10">
        <v>48</v>
      </c>
      <c r="H1279" s="1" t="s">
        <v>39</v>
      </c>
    </row>
    <row r="1280" spans="1:8" ht="15.75" customHeight="1" x14ac:dyDescent="0.3">
      <c r="A1280" s="10">
        <v>11279</v>
      </c>
      <c r="B1280" s="10">
        <v>866</v>
      </c>
      <c r="C1280" s="10">
        <v>2094</v>
      </c>
      <c r="D1280" s="10">
        <v>309</v>
      </c>
      <c r="E1280" s="1" t="s">
        <v>264</v>
      </c>
      <c r="F1280" s="1" t="s">
        <v>342</v>
      </c>
      <c r="G1280" s="10">
        <v>54</v>
      </c>
      <c r="H1280" s="1" t="s">
        <v>78</v>
      </c>
    </row>
    <row r="1281" spans="1:8" ht="15.75" customHeight="1" x14ac:dyDescent="0.3">
      <c r="A1281" s="10">
        <v>11280</v>
      </c>
      <c r="B1281" s="10">
        <v>546</v>
      </c>
      <c r="C1281" s="10">
        <v>2046</v>
      </c>
      <c r="D1281" s="10">
        <v>315</v>
      </c>
      <c r="E1281" s="1" t="s">
        <v>49</v>
      </c>
      <c r="F1281" s="1" t="s">
        <v>140</v>
      </c>
      <c r="G1281" s="10">
        <v>54</v>
      </c>
      <c r="H1281" s="1" t="s">
        <v>39</v>
      </c>
    </row>
    <row r="1282" spans="1:8" ht="15.75" customHeight="1" x14ac:dyDescent="0.3">
      <c r="A1282" s="10">
        <v>11281</v>
      </c>
      <c r="B1282" s="10">
        <v>727</v>
      </c>
      <c r="C1282" s="10">
        <v>2041</v>
      </c>
      <c r="D1282" s="10">
        <v>318</v>
      </c>
      <c r="E1282" s="1" t="s">
        <v>313</v>
      </c>
      <c r="F1282" s="1" t="s">
        <v>406</v>
      </c>
      <c r="G1282" s="10">
        <v>9</v>
      </c>
      <c r="H1282" s="1" t="s">
        <v>42</v>
      </c>
    </row>
    <row r="1283" spans="1:8" ht="15.75" customHeight="1" x14ac:dyDescent="0.3">
      <c r="A1283" s="10">
        <v>11282</v>
      </c>
      <c r="B1283" s="10">
        <v>720</v>
      </c>
      <c r="C1283" s="10">
        <v>2079</v>
      </c>
      <c r="D1283" s="10">
        <v>320</v>
      </c>
      <c r="E1283" s="1" t="s">
        <v>69</v>
      </c>
      <c r="F1283" s="1" t="s">
        <v>180</v>
      </c>
      <c r="G1283" s="10">
        <v>61</v>
      </c>
      <c r="H1283" s="1" t="s">
        <v>39</v>
      </c>
    </row>
    <row r="1284" spans="1:8" ht="15.75" customHeight="1" x14ac:dyDescent="0.3">
      <c r="A1284" s="10">
        <v>11283</v>
      </c>
      <c r="B1284" s="10">
        <v>841</v>
      </c>
      <c r="C1284" s="10">
        <v>2095</v>
      </c>
      <c r="D1284" s="10">
        <v>315</v>
      </c>
      <c r="E1284" s="1" t="s">
        <v>162</v>
      </c>
      <c r="F1284" s="1" t="s">
        <v>381</v>
      </c>
      <c r="G1284" s="10">
        <v>70</v>
      </c>
      <c r="H1284" s="1" t="s">
        <v>36</v>
      </c>
    </row>
    <row r="1285" spans="1:8" ht="15.75" customHeight="1" x14ac:dyDescent="0.3">
      <c r="A1285" s="10">
        <v>11284</v>
      </c>
      <c r="B1285" s="10">
        <v>729</v>
      </c>
      <c r="C1285" s="10">
        <v>2040</v>
      </c>
      <c r="D1285" s="10">
        <v>316</v>
      </c>
      <c r="E1285" s="1" t="s">
        <v>400</v>
      </c>
      <c r="F1285" s="1" t="s">
        <v>342</v>
      </c>
      <c r="G1285" s="10">
        <v>80</v>
      </c>
      <c r="H1285" s="1" t="s">
        <v>78</v>
      </c>
    </row>
    <row r="1286" spans="1:8" ht="15.75" customHeight="1" x14ac:dyDescent="0.3">
      <c r="A1286" s="10">
        <v>11285</v>
      </c>
      <c r="B1286" s="10">
        <v>808</v>
      </c>
      <c r="C1286" s="10">
        <v>2026</v>
      </c>
      <c r="D1286" s="10">
        <v>319</v>
      </c>
      <c r="E1286" s="1" t="s">
        <v>340</v>
      </c>
      <c r="F1286" s="1" t="s">
        <v>254</v>
      </c>
      <c r="G1286" s="10">
        <v>31</v>
      </c>
      <c r="H1286" s="1" t="s">
        <v>78</v>
      </c>
    </row>
    <row r="1287" spans="1:8" ht="15.75" customHeight="1" x14ac:dyDescent="0.3">
      <c r="A1287" s="10">
        <v>11286</v>
      </c>
      <c r="B1287" s="10">
        <v>717</v>
      </c>
      <c r="C1287" s="10">
        <v>2021</v>
      </c>
      <c r="D1287" s="10">
        <v>315</v>
      </c>
      <c r="E1287" s="1" t="s">
        <v>199</v>
      </c>
      <c r="F1287" s="1" t="s">
        <v>330</v>
      </c>
      <c r="G1287" s="10">
        <v>50</v>
      </c>
      <c r="H1287" s="1" t="s">
        <v>39</v>
      </c>
    </row>
    <row r="1288" spans="1:8" ht="15.75" customHeight="1" x14ac:dyDescent="0.3">
      <c r="A1288" s="10">
        <v>11287</v>
      </c>
      <c r="B1288" s="10">
        <v>816</v>
      </c>
      <c r="C1288" s="10">
        <v>2097</v>
      </c>
      <c r="D1288" s="10">
        <v>318</v>
      </c>
      <c r="E1288" s="1" t="s">
        <v>254</v>
      </c>
      <c r="F1288" s="1" t="s">
        <v>346</v>
      </c>
      <c r="G1288" s="10">
        <v>89</v>
      </c>
      <c r="H1288" s="1" t="s">
        <v>39</v>
      </c>
    </row>
    <row r="1289" spans="1:8" ht="15.75" customHeight="1" x14ac:dyDescent="0.3">
      <c r="A1289" s="10">
        <v>11288</v>
      </c>
      <c r="B1289" s="10">
        <v>533</v>
      </c>
      <c r="C1289" s="10">
        <v>2038</v>
      </c>
      <c r="D1289" s="10">
        <v>306</v>
      </c>
      <c r="E1289" s="1" t="s">
        <v>266</v>
      </c>
      <c r="F1289" s="1" t="s">
        <v>399</v>
      </c>
      <c r="G1289" s="10">
        <v>61</v>
      </c>
      <c r="H1289" s="1" t="s">
        <v>36</v>
      </c>
    </row>
    <row r="1290" spans="1:8" ht="15.75" customHeight="1" x14ac:dyDescent="0.3">
      <c r="A1290" s="10">
        <v>11289</v>
      </c>
      <c r="B1290" s="10">
        <v>745</v>
      </c>
      <c r="C1290" s="10">
        <v>2014</v>
      </c>
      <c r="D1290" s="10">
        <v>304</v>
      </c>
      <c r="E1290" s="1" t="s">
        <v>271</v>
      </c>
      <c r="F1290" s="1" t="s">
        <v>336</v>
      </c>
      <c r="G1290" s="10">
        <v>52</v>
      </c>
      <c r="H1290" s="1" t="s">
        <v>78</v>
      </c>
    </row>
    <row r="1291" spans="1:8" ht="15.75" customHeight="1" x14ac:dyDescent="0.3">
      <c r="A1291" s="10">
        <v>11290</v>
      </c>
      <c r="B1291" s="10">
        <v>870</v>
      </c>
      <c r="C1291" s="10">
        <v>2086</v>
      </c>
      <c r="D1291" s="10">
        <v>309</v>
      </c>
      <c r="E1291" s="1" t="s">
        <v>317</v>
      </c>
      <c r="F1291" s="1" t="s">
        <v>211</v>
      </c>
      <c r="G1291" s="10">
        <v>85</v>
      </c>
      <c r="H1291" s="1" t="s">
        <v>36</v>
      </c>
    </row>
    <row r="1292" spans="1:8" ht="15.75" customHeight="1" x14ac:dyDescent="0.3">
      <c r="A1292" s="10">
        <v>11291</v>
      </c>
      <c r="B1292" s="10">
        <v>676</v>
      </c>
      <c r="C1292" s="10">
        <v>2082</v>
      </c>
      <c r="D1292" s="10">
        <v>305</v>
      </c>
      <c r="E1292" s="1" t="s">
        <v>86</v>
      </c>
      <c r="F1292" s="1" t="s">
        <v>325</v>
      </c>
      <c r="G1292" s="10">
        <v>66</v>
      </c>
      <c r="H1292" s="1" t="s">
        <v>39</v>
      </c>
    </row>
    <row r="1293" spans="1:8" ht="15.75" customHeight="1" x14ac:dyDescent="0.3">
      <c r="A1293" s="10">
        <v>11292</v>
      </c>
      <c r="B1293" s="10">
        <v>854</v>
      </c>
      <c r="C1293" s="10">
        <v>2076</v>
      </c>
      <c r="D1293" s="10">
        <v>314</v>
      </c>
      <c r="E1293" s="1" t="s">
        <v>58</v>
      </c>
      <c r="F1293" s="1" t="s">
        <v>189</v>
      </c>
      <c r="G1293" s="10">
        <v>68</v>
      </c>
      <c r="H1293" s="1" t="s">
        <v>36</v>
      </c>
    </row>
    <row r="1294" spans="1:8" ht="15.75" customHeight="1" x14ac:dyDescent="0.3">
      <c r="A1294" s="10">
        <v>11293</v>
      </c>
      <c r="B1294" s="10">
        <v>670</v>
      </c>
      <c r="C1294" s="10">
        <v>2007</v>
      </c>
      <c r="D1294" s="10">
        <v>310</v>
      </c>
      <c r="E1294" s="1" t="s">
        <v>82</v>
      </c>
      <c r="F1294" s="1" t="s">
        <v>168</v>
      </c>
      <c r="G1294" s="10">
        <v>70</v>
      </c>
      <c r="H1294" s="1" t="s">
        <v>42</v>
      </c>
    </row>
    <row r="1295" spans="1:8" ht="15.75" customHeight="1" x14ac:dyDescent="0.3">
      <c r="A1295" s="10">
        <v>11294</v>
      </c>
      <c r="B1295" s="10">
        <v>849</v>
      </c>
      <c r="C1295" s="10">
        <v>2070</v>
      </c>
      <c r="D1295" s="10">
        <v>318</v>
      </c>
      <c r="E1295" s="1" t="s">
        <v>196</v>
      </c>
      <c r="F1295" s="1" t="s">
        <v>262</v>
      </c>
      <c r="G1295" s="10">
        <v>56</v>
      </c>
      <c r="H1295" s="1" t="s">
        <v>39</v>
      </c>
    </row>
    <row r="1296" spans="1:8" ht="15.75" customHeight="1" x14ac:dyDescent="0.3">
      <c r="A1296" s="10">
        <v>11295</v>
      </c>
      <c r="B1296" s="10">
        <v>879</v>
      </c>
      <c r="C1296" s="10">
        <v>2048</v>
      </c>
      <c r="D1296" s="10">
        <v>320</v>
      </c>
      <c r="E1296" s="1" t="s">
        <v>109</v>
      </c>
      <c r="F1296" s="1" t="s">
        <v>210</v>
      </c>
      <c r="G1296" s="10">
        <v>10</v>
      </c>
      <c r="H1296" s="1" t="s">
        <v>39</v>
      </c>
    </row>
    <row r="1297" spans="1:8" ht="15.75" customHeight="1" x14ac:dyDescent="0.3">
      <c r="A1297" s="10">
        <v>11296</v>
      </c>
      <c r="B1297" s="10">
        <v>675</v>
      </c>
      <c r="C1297" s="10">
        <v>2092</v>
      </c>
      <c r="D1297" s="10">
        <v>307</v>
      </c>
      <c r="E1297" s="1" t="s">
        <v>222</v>
      </c>
      <c r="F1297" s="1" t="s">
        <v>172</v>
      </c>
      <c r="G1297" s="10">
        <v>59</v>
      </c>
      <c r="H1297" s="1" t="s">
        <v>42</v>
      </c>
    </row>
    <row r="1298" spans="1:8" ht="15.75" customHeight="1" x14ac:dyDescent="0.3">
      <c r="A1298" s="10">
        <v>11297</v>
      </c>
      <c r="B1298" s="10">
        <v>540</v>
      </c>
      <c r="C1298" s="10">
        <v>2009</v>
      </c>
      <c r="D1298" s="10">
        <v>309</v>
      </c>
      <c r="E1298" s="1" t="s">
        <v>196</v>
      </c>
      <c r="F1298" s="1" t="s">
        <v>125</v>
      </c>
      <c r="G1298" s="10">
        <v>87</v>
      </c>
      <c r="H1298" s="1" t="s">
        <v>39</v>
      </c>
    </row>
    <row r="1299" spans="1:8" ht="15.75" customHeight="1" x14ac:dyDescent="0.3">
      <c r="A1299" s="10">
        <v>11298</v>
      </c>
      <c r="B1299" s="10">
        <v>526</v>
      </c>
      <c r="C1299" s="10">
        <v>2012</v>
      </c>
      <c r="D1299" s="10">
        <v>312</v>
      </c>
      <c r="E1299" s="1" t="s">
        <v>77</v>
      </c>
      <c r="F1299" s="1" t="s">
        <v>69</v>
      </c>
      <c r="G1299" s="10">
        <v>57</v>
      </c>
      <c r="H1299" s="1" t="s">
        <v>78</v>
      </c>
    </row>
    <row r="1300" spans="1:8" ht="15.75" customHeight="1" x14ac:dyDescent="0.3">
      <c r="A1300" s="10">
        <v>11299</v>
      </c>
      <c r="B1300" s="10">
        <v>753</v>
      </c>
      <c r="C1300" s="10">
        <v>2098</v>
      </c>
      <c r="D1300" s="10">
        <v>308</v>
      </c>
      <c r="E1300" s="1" t="s">
        <v>100</v>
      </c>
      <c r="F1300" s="1" t="s">
        <v>366</v>
      </c>
      <c r="G1300" s="10">
        <v>41</v>
      </c>
      <c r="H1300" s="1" t="s">
        <v>78</v>
      </c>
    </row>
    <row r="1301" spans="1:8" ht="15.75" customHeight="1" x14ac:dyDescent="0.3">
      <c r="A1301" s="10">
        <v>11300</v>
      </c>
      <c r="B1301" s="10">
        <v>744</v>
      </c>
      <c r="C1301" s="10">
        <v>2045</v>
      </c>
      <c r="D1301" s="10">
        <v>306</v>
      </c>
      <c r="E1301" s="1" t="s">
        <v>99</v>
      </c>
      <c r="F1301" s="1" t="s">
        <v>174</v>
      </c>
      <c r="G1301" s="10">
        <v>86</v>
      </c>
      <c r="H1301" s="1" t="s">
        <v>42</v>
      </c>
    </row>
    <row r="1302" spans="1:8" ht="15.75" customHeight="1" x14ac:dyDescent="0.3">
      <c r="A1302" s="10">
        <v>11301</v>
      </c>
      <c r="B1302" s="10">
        <v>637</v>
      </c>
      <c r="C1302" s="10">
        <v>2041</v>
      </c>
      <c r="D1302" s="10">
        <v>313</v>
      </c>
      <c r="E1302" s="1" t="s">
        <v>70</v>
      </c>
      <c r="F1302" s="1" t="s">
        <v>93</v>
      </c>
      <c r="G1302" s="10">
        <v>22</v>
      </c>
      <c r="H1302" s="1" t="s">
        <v>36</v>
      </c>
    </row>
    <row r="1303" spans="1:8" ht="15.75" customHeight="1" x14ac:dyDescent="0.3">
      <c r="A1303" s="10">
        <v>11302</v>
      </c>
      <c r="B1303" s="10">
        <v>555</v>
      </c>
      <c r="C1303" s="10">
        <v>2097</v>
      </c>
      <c r="D1303" s="10">
        <v>307</v>
      </c>
      <c r="E1303" s="1" t="s">
        <v>190</v>
      </c>
      <c r="F1303" s="1" t="s">
        <v>91</v>
      </c>
      <c r="G1303" s="10">
        <v>31</v>
      </c>
      <c r="H1303" s="1" t="s">
        <v>78</v>
      </c>
    </row>
    <row r="1304" spans="1:8" ht="15.75" customHeight="1" x14ac:dyDescent="0.3">
      <c r="A1304" s="10">
        <v>11303</v>
      </c>
      <c r="B1304" s="10">
        <v>509</v>
      </c>
      <c r="C1304" s="10">
        <v>2027</v>
      </c>
      <c r="D1304" s="10">
        <v>315</v>
      </c>
      <c r="E1304" s="1" t="s">
        <v>111</v>
      </c>
      <c r="F1304" s="1" t="s">
        <v>192</v>
      </c>
      <c r="G1304" s="10">
        <v>11</v>
      </c>
      <c r="H1304" s="1" t="s">
        <v>42</v>
      </c>
    </row>
    <row r="1305" spans="1:8" ht="15.75" customHeight="1" x14ac:dyDescent="0.3">
      <c r="A1305" s="10">
        <v>11304</v>
      </c>
      <c r="B1305" s="10">
        <v>865</v>
      </c>
      <c r="C1305" s="10">
        <v>2030</v>
      </c>
      <c r="D1305" s="10">
        <v>309</v>
      </c>
      <c r="E1305" s="1" t="s">
        <v>367</v>
      </c>
      <c r="F1305" s="1" t="s">
        <v>351</v>
      </c>
      <c r="G1305" s="10">
        <v>32</v>
      </c>
      <c r="H1305" s="1" t="s">
        <v>36</v>
      </c>
    </row>
    <row r="1306" spans="1:8" ht="15.75" customHeight="1" x14ac:dyDescent="0.3">
      <c r="A1306" s="10">
        <v>11305</v>
      </c>
      <c r="B1306" s="10">
        <v>640</v>
      </c>
      <c r="C1306" s="10">
        <v>2079</v>
      </c>
      <c r="D1306" s="10">
        <v>318</v>
      </c>
      <c r="E1306" s="1" t="s">
        <v>72</v>
      </c>
      <c r="F1306" s="1" t="s">
        <v>246</v>
      </c>
      <c r="G1306" s="10">
        <v>65</v>
      </c>
      <c r="H1306" s="1" t="s">
        <v>36</v>
      </c>
    </row>
    <row r="1307" spans="1:8" ht="15.75" customHeight="1" x14ac:dyDescent="0.3">
      <c r="A1307" s="10">
        <v>11306</v>
      </c>
      <c r="B1307" s="10">
        <v>830</v>
      </c>
      <c r="C1307" s="10">
        <v>2002</v>
      </c>
      <c r="D1307" s="10">
        <v>307</v>
      </c>
      <c r="E1307" s="1" t="s">
        <v>214</v>
      </c>
      <c r="F1307" s="1" t="s">
        <v>248</v>
      </c>
      <c r="G1307" s="10">
        <v>46</v>
      </c>
      <c r="H1307" s="1" t="s">
        <v>42</v>
      </c>
    </row>
    <row r="1308" spans="1:8" ht="15.75" customHeight="1" x14ac:dyDescent="0.3">
      <c r="A1308" s="10">
        <v>11307</v>
      </c>
      <c r="B1308" s="10">
        <v>840</v>
      </c>
      <c r="C1308" s="10">
        <v>2007</v>
      </c>
      <c r="D1308" s="10">
        <v>317</v>
      </c>
      <c r="E1308" s="1" t="s">
        <v>178</v>
      </c>
      <c r="F1308" s="1" t="s">
        <v>181</v>
      </c>
      <c r="G1308" s="10">
        <v>3</v>
      </c>
      <c r="H1308" s="1" t="s">
        <v>36</v>
      </c>
    </row>
    <row r="1309" spans="1:8" ht="15.75" customHeight="1" x14ac:dyDescent="0.3">
      <c r="A1309" s="10">
        <v>11308</v>
      </c>
      <c r="B1309" s="10">
        <v>833</v>
      </c>
      <c r="C1309" s="10">
        <v>2012</v>
      </c>
      <c r="D1309" s="10">
        <v>304</v>
      </c>
      <c r="E1309" s="1" t="s">
        <v>284</v>
      </c>
      <c r="F1309" s="1" t="s">
        <v>323</v>
      </c>
      <c r="G1309" s="10">
        <v>67</v>
      </c>
      <c r="H1309" s="1" t="s">
        <v>42</v>
      </c>
    </row>
    <row r="1310" spans="1:8" ht="15.75" customHeight="1" x14ac:dyDescent="0.3">
      <c r="A1310" s="10">
        <v>11309</v>
      </c>
      <c r="B1310" s="10">
        <v>782</v>
      </c>
      <c r="C1310" s="10">
        <v>2009</v>
      </c>
      <c r="D1310" s="10">
        <v>310</v>
      </c>
      <c r="E1310" s="1" t="s">
        <v>314</v>
      </c>
      <c r="F1310" s="1" t="s">
        <v>374</v>
      </c>
      <c r="G1310" s="10">
        <v>52</v>
      </c>
      <c r="H1310" s="1" t="s">
        <v>39</v>
      </c>
    </row>
    <row r="1311" spans="1:8" ht="15.75" customHeight="1" x14ac:dyDescent="0.3">
      <c r="A1311" s="10">
        <v>11310</v>
      </c>
      <c r="B1311" s="10">
        <v>773</v>
      </c>
      <c r="C1311" s="10">
        <v>2083</v>
      </c>
      <c r="D1311" s="10">
        <v>304</v>
      </c>
      <c r="E1311" s="1" t="s">
        <v>92</v>
      </c>
      <c r="F1311" s="1" t="s">
        <v>296</v>
      </c>
      <c r="G1311" s="10">
        <v>79</v>
      </c>
      <c r="H1311" s="1" t="s">
        <v>36</v>
      </c>
    </row>
    <row r="1312" spans="1:8" ht="15.75" customHeight="1" x14ac:dyDescent="0.3">
      <c r="A1312" s="10">
        <v>11311</v>
      </c>
      <c r="B1312" s="10">
        <v>525</v>
      </c>
      <c r="C1312" s="10">
        <v>2004</v>
      </c>
      <c r="D1312" s="10">
        <v>308</v>
      </c>
      <c r="E1312" s="1" t="s">
        <v>121</v>
      </c>
      <c r="F1312" s="1" t="s">
        <v>384</v>
      </c>
      <c r="G1312" s="10">
        <v>87</v>
      </c>
      <c r="H1312" s="1" t="s">
        <v>78</v>
      </c>
    </row>
    <row r="1313" spans="1:8" ht="15.75" customHeight="1" x14ac:dyDescent="0.3">
      <c r="A1313" s="10">
        <v>11312</v>
      </c>
      <c r="B1313" s="10">
        <v>659</v>
      </c>
      <c r="C1313" s="10">
        <v>2094</v>
      </c>
      <c r="D1313" s="10">
        <v>308</v>
      </c>
      <c r="E1313" s="1" t="s">
        <v>310</v>
      </c>
      <c r="F1313" s="1" t="s">
        <v>124</v>
      </c>
      <c r="G1313" s="10">
        <v>15</v>
      </c>
      <c r="H1313" s="1" t="s">
        <v>42</v>
      </c>
    </row>
    <row r="1314" spans="1:8" ht="15.75" customHeight="1" x14ac:dyDescent="0.3">
      <c r="A1314" s="10">
        <v>11313</v>
      </c>
      <c r="B1314" s="10">
        <v>634</v>
      </c>
      <c r="C1314" s="10">
        <v>2047</v>
      </c>
      <c r="D1314" s="10">
        <v>314</v>
      </c>
      <c r="E1314" s="1" t="s">
        <v>250</v>
      </c>
      <c r="F1314" s="1" t="s">
        <v>251</v>
      </c>
      <c r="G1314" s="10">
        <v>90</v>
      </c>
      <c r="H1314" s="1" t="s">
        <v>42</v>
      </c>
    </row>
    <row r="1315" spans="1:8" ht="15.75" customHeight="1" x14ac:dyDescent="0.3">
      <c r="A1315" s="10">
        <v>11314</v>
      </c>
      <c r="B1315" s="10">
        <v>530</v>
      </c>
      <c r="C1315" s="10">
        <v>2063</v>
      </c>
      <c r="D1315" s="10">
        <v>315</v>
      </c>
      <c r="E1315" s="1" t="s">
        <v>389</v>
      </c>
      <c r="F1315" s="1" t="s">
        <v>137</v>
      </c>
      <c r="G1315" s="10">
        <v>86</v>
      </c>
      <c r="H1315" s="1" t="s">
        <v>36</v>
      </c>
    </row>
    <row r="1316" spans="1:8" ht="15.75" customHeight="1" x14ac:dyDescent="0.3">
      <c r="A1316" s="10">
        <v>11315</v>
      </c>
      <c r="B1316" s="10">
        <v>621</v>
      </c>
      <c r="C1316" s="10">
        <v>2050</v>
      </c>
      <c r="D1316" s="10">
        <v>311</v>
      </c>
      <c r="E1316" s="1" t="s">
        <v>118</v>
      </c>
      <c r="F1316" s="1" t="s">
        <v>45</v>
      </c>
      <c r="G1316" s="10">
        <v>87</v>
      </c>
      <c r="H1316" s="1" t="s">
        <v>78</v>
      </c>
    </row>
    <row r="1317" spans="1:8" ht="15.75" customHeight="1" x14ac:dyDescent="0.3">
      <c r="A1317" s="10">
        <v>11316</v>
      </c>
      <c r="B1317" s="10">
        <v>809</v>
      </c>
      <c r="C1317" s="10">
        <v>2084</v>
      </c>
      <c r="D1317" s="10">
        <v>313</v>
      </c>
      <c r="E1317" s="1" t="s">
        <v>388</v>
      </c>
      <c r="F1317" s="1" t="s">
        <v>316</v>
      </c>
      <c r="G1317" s="10">
        <v>83</v>
      </c>
      <c r="H1317" s="1" t="s">
        <v>42</v>
      </c>
    </row>
    <row r="1318" spans="1:8" ht="15.75" customHeight="1" x14ac:dyDescent="0.3">
      <c r="A1318" s="10">
        <v>11317</v>
      </c>
      <c r="B1318" s="10">
        <v>607</v>
      </c>
      <c r="C1318" s="10">
        <v>2061</v>
      </c>
      <c r="D1318" s="10">
        <v>308</v>
      </c>
      <c r="E1318" s="1" t="s">
        <v>270</v>
      </c>
      <c r="F1318" s="1" t="s">
        <v>357</v>
      </c>
      <c r="G1318" s="10">
        <v>40</v>
      </c>
      <c r="H1318" s="1" t="s">
        <v>39</v>
      </c>
    </row>
    <row r="1319" spans="1:8" ht="15.75" customHeight="1" x14ac:dyDescent="0.3">
      <c r="A1319" s="10">
        <v>11318</v>
      </c>
      <c r="B1319" s="10">
        <v>735</v>
      </c>
      <c r="C1319" s="10">
        <v>2008</v>
      </c>
      <c r="D1319" s="10">
        <v>311</v>
      </c>
      <c r="E1319" s="1" t="s">
        <v>54</v>
      </c>
      <c r="F1319" s="1" t="s">
        <v>356</v>
      </c>
      <c r="G1319" s="10">
        <v>12</v>
      </c>
      <c r="H1319" s="1" t="s">
        <v>78</v>
      </c>
    </row>
    <row r="1320" spans="1:8" ht="15.75" customHeight="1" x14ac:dyDescent="0.3">
      <c r="A1320" s="10">
        <v>11319</v>
      </c>
      <c r="B1320" s="10">
        <v>848</v>
      </c>
      <c r="C1320" s="10">
        <v>2017</v>
      </c>
      <c r="D1320" s="10">
        <v>313</v>
      </c>
      <c r="E1320" s="1" t="s">
        <v>136</v>
      </c>
      <c r="F1320" s="1" t="s">
        <v>268</v>
      </c>
      <c r="G1320" s="10">
        <v>68</v>
      </c>
      <c r="H1320" s="1" t="s">
        <v>39</v>
      </c>
    </row>
    <row r="1321" spans="1:8" ht="15.75" customHeight="1" x14ac:dyDescent="0.3">
      <c r="A1321" s="10">
        <v>11320</v>
      </c>
      <c r="B1321" s="10">
        <v>638</v>
      </c>
      <c r="C1321" s="10">
        <v>2064</v>
      </c>
      <c r="D1321" s="10">
        <v>301</v>
      </c>
      <c r="E1321" s="1" t="s">
        <v>47</v>
      </c>
      <c r="F1321" s="1" t="s">
        <v>204</v>
      </c>
      <c r="G1321" s="10">
        <v>19</v>
      </c>
      <c r="H1321" s="1" t="s">
        <v>42</v>
      </c>
    </row>
    <row r="1322" spans="1:8" ht="15.75" customHeight="1" x14ac:dyDescent="0.3">
      <c r="A1322" s="10">
        <v>11321</v>
      </c>
      <c r="B1322" s="10">
        <v>672</v>
      </c>
      <c r="C1322" s="10">
        <v>2031</v>
      </c>
      <c r="D1322" s="10">
        <v>302</v>
      </c>
      <c r="E1322" s="1" t="s">
        <v>324</v>
      </c>
      <c r="F1322" s="1" t="s">
        <v>112</v>
      </c>
      <c r="G1322" s="10">
        <v>43</v>
      </c>
      <c r="H1322" s="1" t="s">
        <v>36</v>
      </c>
    </row>
    <row r="1323" spans="1:8" ht="15.75" customHeight="1" x14ac:dyDescent="0.3">
      <c r="A1323" s="10">
        <v>11322</v>
      </c>
      <c r="B1323" s="10">
        <v>781</v>
      </c>
      <c r="C1323" s="10">
        <v>2026</v>
      </c>
      <c r="D1323" s="10">
        <v>306</v>
      </c>
      <c r="E1323" s="1" t="s">
        <v>210</v>
      </c>
      <c r="F1323" s="1" t="s">
        <v>154</v>
      </c>
      <c r="G1323" s="10">
        <v>51</v>
      </c>
      <c r="H1323" s="1" t="s">
        <v>36</v>
      </c>
    </row>
    <row r="1324" spans="1:8" ht="15.75" customHeight="1" x14ac:dyDescent="0.3">
      <c r="A1324" s="10">
        <v>11323</v>
      </c>
      <c r="B1324" s="10">
        <v>633</v>
      </c>
      <c r="C1324" s="10">
        <v>2064</v>
      </c>
      <c r="D1324" s="10">
        <v>319</v>
      </c>
      <c r="E1324" s="1" t="s">
        <v>318</v>
      </c>
      <c r="F1324" s="1" t="s">
        <v>202</v>
      </c>
      <c r="G1324" s="10">
        <v>48</v>
      </c>
      <c r="H1324" s="1" t="s">
        <v>36</v>
      </c>
    </row>
    <row r="1325" spans="1:8" ht="15.75" customHeight="1" x14ac:dyDescent="0.3">
      <c r="A1325" s="10">
        <v>11324</v>
      </c>
      <c r="B1325" s="10">
        <v>674</v>
      </c>
      <c r="C1325" s="10">
        <v>2043</v>
      </c>
      <c r="D1325" s="10">
        <v>305</v>
      </c>
      <c r="E1325" s="1" t="s">
        <v>289</v>
      </c>
      <c r="F1325" s="1" t="s">
        <v>146</v>
      </c>
      <c r="G1325" s="10">
        <v>43</v>
      </c>
      <c r="H1325" s="1" t="s">
        <v>36</v>
      </c>
    </row>
    <row r="1326" spans="1:8" ht="15.75" customHeight="1" x14ac:dyDescent="0.3">
      <c r="A1326" s="10">
        <v>11325</v>
      </c>
      <c r="B1326" s="10">
        <v>650</v>
      </c>
      <c r="C1326" s="10">
        <v>2028</v>
      </c>
      <c r="D1326" s="10">
        <v>301</v>
      </c>
      <c r="E1326" s="1" t="s">
        <v>114</v>
      </c>
      <c r="F1326" s="1" t="s">
        <v>231</v>
      </c>
      <c r="G1326" s="10">
        <v>9</v>
      </c>
      <c r="H1326" s="1" t="s">
        <v>42</v>
      </c>
    </row>
    <row r="1327" spans="1:8" ht="15.75" customHeight="1" x14ac:dyDescent="0.3">
      <c r="A1327" s="10">
        <v>11326</v>
      </c>
      <c r="B1327" s="10">
        <v>647</v>
      </c>
      <c r="C1327" s="10">
        <v>2031</v>
      </c>
      <c r="D1327" s="10">
        <v>318</v>
      </c>
      <c r="E1327" s="1" t="s">
        <v>181</v>
      </c>
      <c r="F1327" s="1" t="s">
        <v>346</v>
      </c>
      <c r="G1327" s="10">
        <v>51</v>
      </c>
      <c r="H1327" s="1" t="s">
        <v>78</v>
      </c>
    </row>
    <row r="1328" spans="1:8" ht="15.75" customHeight="1" x14ac:dyDescent="0.3">
      <c r="A1328" s="10">
        <v>11327</v>
      </c>
      <c r="B1328" s="10">
        <v>769</v>
      </c>
      <c r="C1328" s="10">
        <v>2015</v>
      </c>
      <c r="D1328" s="10">
        <v>316</v>
      </c>
      <c r="E1328" s="1" t="s">
        <v>371</v>
      </c>
      <c r="F1328" s="1" t="s">
        <v>410</v>
      </c>
      <c r="G1328" s="10">
        <v>94</v>
      </c>
      <c r="H1328" s="1" t="s">
        <v>39</v>
      </c>
    </row>
    <row r="1329" spans="1:8" ht="15.75" customHeight="1" x14ac:dyDescent="0.3">
      <c r="A1329" s="10">
        <v>11328</v>
      </c>
      <c r="B1329" s="10">
        <v>612</v>
      </c>
      <c r="C1329" s="10">
        <v>2089</v>
      </c>
      <c r="D1329" s="10">
        <v>308</v>
      </c>
      <c r="E1329" s="1" t="s">
        <v>146</v>
      </c>
      <c r="F1329" s="1" t="s">
        <v>301</v>
      </c>
      <c r="G1329" s="10">
        <v>80</v>
      </c>
      <c r="H1329" s="1" t="s">
        <v>78</v>
      </c>
    </row>
    <row r="1330" spans="1:8" ht="15.75" customHeight="1" x14ac:dyDescent="0.3">
      <c r="A1330" s="10">
        <v>11329</v>
      </c>
      <c r="B1330" s="10">
        <v>508</v>
      </c>
      <c r="C1330" s="10">
        <v>2079</v>
      </c>
      <c r="D1330" s="10">
        <v>306</v>
      </c>
      <c r="E1330" s="1" t="s">
        <v>304</v>
      </c>
      <c r="F1330" s="1" t="s">
        <v>57</v>
      </c>
      <c r="G1330" s="10">
        <v>57</v>
      </c>
      <c r="H1330" s="1" t="s">
        <v>39</v>
      </c>
    </row>
    <row r="1331" spans="1:8" ht="15.75" customHeight="1" x14ac:dyDescent="0.3">
      <c r="A1331" s="10">
        <v>11330</v>
      </c>
      <c r="B1331" s="10">
        <v>692</v>
      </c>
      <c r="C1331" s="10">
        <v>2073</v>
      </c>
      <c r="D1331" s="10">
        <v>309</v>
      </c>
      <c r="E1331" s="1" t="s">
        <v>261</v>
      </c>
      <c r="F1331" s="1" t="s">
        <v>373</v>
      </c>
      <c r="G1331" s="10">
        <v>82</v>
      </c>
      <c r="H1331" s="1" t="s">
        <v>36</v>
      </c>
    </row>
    <row r="1332" spans="1:8" ht="15.75" customHeight="1" x14ac:dyDescent="0.3">
      <c r="A1332" s="10">
        <v>11331</v>
      </c>
      <c r="B1332" s="10">
        <v>730</v>
      </c>
      <c r="C1332" s="10">
        <v>2079</v>
      </c>
      <c r="D1332" s="10">
        <v>316</v>
      </c>
      <c r="E1332" s="1" t="s">
        <v>164</v>
      </c>
      <c r="F1332" s="1" t="s">
        <v>283</v>
      </c>
      <c r="G1332" s="10">
        <v>8</v>
      </c>
      <c r="H1332" s="1" t="s">
        <v>39</v>
      </c>
    </row>
    <row r="1333" spans="1:8" ht="15.75" customHeight="1" x14ac:dyDescent="0.3">
      <c r="A1333" s="10">
        <v>11332</v>
      </c>
      <c r="B1333" s="10">
        <v>682</v>
      </c>
      <c r="C1333" s="10">
        <v>2060</v>
      </c>
      <c r="D1333" s="10">
        <v>315</v>
      </c>
      <c r="E1333" s="1" t="s">
        <v>104</v>
      </c>
      <c r="F1333" s="1" t="s">
        <v>344</v>
      </c>
      <c r="G1333" s="10">
        <v>5</v>
      </c>
      <c r="H1333" s="1" t="s">
        <v>42</v>
      </c>
    </row>
    <row r="1334" spans="1:8" ht="15.75" customHeight="1" x14ac:dyDescent="0.3">
      <c r="A1334" s="10">
        <v>11333</v>
      </c>
      <c r="B1334" s="10">
        <v>843</v>
      </c>
      <c r="C1334" s="10">
        <v>2053</v>
      </c>
      <c r="D1334" s="10">
        <v>313</v>
      </c>
      <c r="E1334" s="1" t="s">
        <v>236</v>
      </c>
      <c r="F1334" s="1" t="s">
        <v>353</v>
      </c>
      <c r="G1334" s="10">
        <v>16</v>
      </c>
      <c r="H1334" s="1" t="s">
        <v>36</v>
      </c>
    </row>
    <row r="1335" spans="1:8" ht="15.75" customHeight="1" x14ac:dyDescent="0.3">
      <c r="A1335" s="10">
        <v>11334</v>
      </c>
      <c r="B1335" s="10">
        <v>896</v>
      </c>
      <c r="C1335" s="10">
        <v>2004</v>
      </c>
      <c r="D1335" s="10">
        <v>310</v>
      </c>
      <c r="E1335" s="1" t="s">
        <v>197</v>
      </c>
      <c r="F1335" s="1" t="s">
        <v>178</v>
      </c>
      <c r="G1335" s="10">
        <v>76</v>
      </c>
      <c r="H1335" s="1" t="s">
        <v>42</v>
      </c>
    </row>
    <row r="1336" spans="1:8" ht="15.75" customHeight="1" x14ac:dyDescent="0.3">
      <c r="A1336" s="10">
        <v>11335</v>
      </c>
      <c r="B1336" s="10">
        <v>712</v>
      </c>
      <c r="C1336" s="10">
        <v>2061</v>
      </c>
      <c r="D1336" s="10">
        <v>318</v>
      </c>
      <c r="E1336" s="1" t="s">
        <v>38</v>
      </c>
      <c r="F1336" s="1" t="s">
        <v>336</v>
      </c>
      <c r="G1336" s="10">
        <v>90</v>
      </c>
      <c r="H1336" s="1" t="s">
        <v>36</v>
      </c>
    </row>
    <row r="1337" spans="1:8" ht="15.75" customHeight="1" x14ac:dyDescent="0.3">
      <c r="A1337" s="10">
        <v>11336</v>
      </c>
      <c r="B1337" s="10">
        <v>893</v>
      </c>
      <c r="C1337" s="10">
        <v>2073</v>
      </c>
      <c r="D1337" s="10">
        <v>302</v>
      </c>
      <c r="E1337" s="1" t="s">
        <v>345</v>
      </c>
      <c r="F1337" s="1" t="s">
        <v>46</v>
      </c>
      <c r="G1337" s="10">
        <v>1</v>
      </c>
      <c r="H1337" s="1" t="s">
        <v>36</v>
      </c>
    </row>
    <row r="1338" spans="1:8" ht="15.75" customHeight="1" x14ac:dyDescent="0.3">
      <c r="A1338" s="10">
        <v>11337</v>
      </c>
      <c r="B1338" s="10">
        <v>878</v>
      </c>
      <c r="C1338" s="10">
        <v>2097</v>
      </c>
      <c r="D1338" s="10">
        <v>302</v>
      </c>
      <c r="E1338" s="1" t="s">
        <v>288</v>
      </c>
      <c r="F1338" s="1" t="s">
        <v>131</v>
      </c>
      <c r="G1338" s="10">
        <v>57</v>
      </c>
      <c r="H1338" s="1" t="s">
        <v>78</v>
      </c>
    </row>
    <row r="1339" spans="1:8" ht="15.75" customHeight="1" x14ac:dyDescent="0.3">
      <c r="A1339" s="10">
        <v>11338</v>
      </c>
      <c r="B1339" s="10">
        <v>897</v>
      </c>
      <c r="C1339" s="10">
        <v>2098</v>
      </c>
      <c r="D1339" s="10">
        <v>314</v>
      </c>
      <c r="E1339" s="1" t="s">
        <v>165</v>
      </c>
      <c r="F1339" s="1" t="s">
        <v>204</v>
      </c>
      <c r="G1339" s="10">
        <v>68</v>
      </c>
      <c r="H1339" s="1" t="s">
        <v>42</v>
      </c>
    </row>
    <row r="1340" spans="1:8" ht="15.75" customHeight="1" x14ac:dyDescent="0.3">
      <c r="A1340" s="10">
        <v>11339</v>
      </c>
      <c r="B1340" s="10">
        <v>893</v>
      </c>
      <c r="C1340" s="10">
        <v>2072</v>
      </c>
      <c r="D1340" s="10">
        <v>306</v>
      </c>
      <c r="E1340" s="1" t="s">
        <v>265</v>
      </c>
      <c r="F1340" s="1" t="s">
        <v>99</v>
      </c>
      <c r="G1340" s="10">
        <v>13</v>
      </c>
      <c r="H1340" s="1" t="s">
        <v>36</v>
      </c>
    </row>
    <row r="1341" spans="1:8" ht="15.75" customHeight="1" x14ac:dyDescent="0.3">
      <c r="A1341" s="10">
        <v>11340</v>
      </c>
      <c r="B1341" s="10">
        <v>527</v>
      </c>
      <c r="C1341" s="10">
        <v>2025</v>
      </c>
      <c r="D1341" s="10">
        <v>307</v>
      </c>
      <c r="E1341" s="1" t="s">
        <v>279</v>
      </c>
      <c r="F1341" s="1" t="s">
        <v>276</v>
      </c>
      <c r="G1341" s="10">
        <v>74</v>
      </c>
      <c r="H1341" s="1" t="s">
        <v>78</v>
      </c>
    </row>
    <row r="1342" spans="1:8" ht="15.75" customHeight="1" x14ac:dyDescent="0.3">
      <c r="A1342" s="10">
        <v>11341</v>
      </c>
      <c r="B1342" s="10">
        <v>630</v>
      </c>
      <c r="C1342" s="10">
        <v>2073</v>
      </c>
      <c r="D1342" s="10">
        <v>309</v>
      </c>
      <c r="E1342" s="1" t="s">
        <v>289</v>
      </c>
      <c r="F1342" s="1" t="s">
        <v>90</v>
      </c>
      <c r="G1342" s="10">
        <v>13</v>
      </c>
      <c r="H1342" s="1" t="s">
        <v>36</v>
      </c>
    </row>
    <row r="1343" spans="1:8" ht="15.75" customHeight="1" x14ac:dyDescent="0.3">
      <c r="A1343" s="10">
        <v>11342</v>
      </c>
      <c r="B1343" s="10">
        <v>566</v>
      </c>
      <c r="C1343" s="10">
        <v>2010</v>
      </c>
      <c r="D1343" s="10">
        <v>316</v>
      </c>
      <c r="E1343" s="1" t="s">
        <v>144</v>
      </c>
      <c r="F1343" s="1" t="s">
        <v>56</v>
      </c>
      <c r="G1343" s="10">
        <v>46</v>
      </c>
      <c r="H1343" s="1" t="s">
        <v>78</v>
      </c>
    </row>
    <row r="1344" spans="1:8" ht="15.75" customHeight="1" x14ac:dyDescent="0.3">
      <c r="A1344" s="10">
        <v>11343</v>
      </c>
      <c r="B1344" s="10">
        <v>726</v>
      </c>
      <c r="C1344" s="10">
        <v>2099</v>
      </c>
      <c r="D1344" s="10">
        <v>316</v>
      </c>
      <c r="E1344" s="1" t="s">
        <v>263</v>
      </c>
      <c r="F1344" s="1" t="s">
        <v>95</v>
      </c>
      <c r="G1344" s="10">
        <v>51</v>
      </c>
      <c r="H1344" s="1" t="s">
        <v>36</v>
      </c>
    </row>
    <row r="1345" spans="1:8" ht="15.75" customHeight="1" x14ac:dyDescent="0.3">
      <c r="A1345" s="10">
        <v>11344</v>
      </c>
      <c r="B1345" s="10">
        <v>603</v>
      </c>
      <c r="C1345" s="10">
        <v>2003</v>
      </c>
      <c r="D1345" s="10">
        <v>310</v>
      </c>
      <c r="E1345" s="1" t="s">
        <v>142</v>
      </c>
      <c r="F1345" s="1" t="s">
        <v>410</v>
      </c>
      <c r="G1345" s="10">
        <v>90</v>
      </c>
      <c r="H1345" s="1" t="s">
        <v>42</v>
      </c>
    </row>
    <row r="1346" spans="1:8" ht="15.75" customHeight="1" x14ac:dyDescent="0.3">
      <c r="A1346" s="10">
        <v>11345</v>
      </c>
      <c r="B1346" s="10">
        <v>617</v>
      </c>
      <c r="C1346" s="10">
        <v>2091</v>
      </c>
      <c r="D1346" s="10">
        <v>306</v>
      </c>
      <c r="E1346" s="1" t="s">
        <v>357</v>
      </c>
      <c r="F1346" s="1" t="s">
        <v>386</v>
      </c>
      <c r="G1346" s="10">
        <v>48</v>
      </c>
      <c r="H1346" s="1" t="s">
        <v>36</v>
      </c>
    </row>
    <row r="1347" spans="1:8" ht="15.75" customHeight="1" x14ac:dyDescent="0.3">
      <c r="A1347" s="10">
        <v>11346</v>
      </c>
      <c r="B1347" s="10">
        <v>701</v>
      </c>
      <c r="C1347" s="10">
        <v>2039</v>
      </c>
      <c r="D1347" s="10">
        <v>302</v>
      </c>
      <c r="E1347" s="1" t="s">
        <v>265</v>
      </c>
      <c r="F1347" s="1" t="s">
        <v>63</v>
      </c>
      <c r="G1347" s="10">
        <v>47</v>
      </c>
      <c r="H1347" s="1" t="s">
        <v>78</v>
      </c>
    </row>
    <row r="1348" spans="1:8" ht="15.75" customHeight="1" x14ac:dyDescent="0.3">
      <c r="A1348" s="10">
        <v>11347</v>
      </c>
      <c r="B1348" s="10">
        <v>538</v>
      </c>
      <c r="C1348" s="10">
        <v>2073</v>
      </c>
      <c r="D1348" s="10">
        <v>318</v>
      </c>
      <c r="E1348" s="1" t="s">
        <v>130</v>
      </c>
      <c r="F1348" s="1" t="s">
        <v>224</v>
      </c>
      <c r="G1348" s="10">
        <v>56</v>
      </c>
      <c r="H1348" s="1" t="s">
        <v>78</v>
      </c>
    </row>
    <row r="1349" spans="1:8" ht="15.75" customHeight="1" x14ac:dyDescent="0.3">
      <c r="A1349" s="10">
        <v>11348</v>
      </c>
      <c r="B1349" s="10">
        <v>797</v>
      </c>
      <c r="C1349" s="10">
        <v>2074</v>
      </c>
      <c r="D1349" s="10">
        <v>314</v>
      </c>
      <c r="E1349" s="1" t="s">
        <v>89</v>
      </c>
      <c r="F1349" s="1" t="s">
        <v>235</v>
      </c>
      <c r="G1349" s="10">
        <v>15</v>
      </c>
      <c r="H1349" s="1" t="s">
        <v>78</v>
      </c>
    </row>
    <row r="1350" spans="1:8" ht="15.75" customHeight="1" x14ac:dyDescent="0.3">
      <c r="A1350" s="10">
        <v>11349</v>
      </c>
      <c r="B1350" s="10">
        <v>585</v>
      </c>
      <c r="C1350" s="10">
        <v>2012</v>
      </c>
      <c r="D1350" s="10">
        <v>310</v>
      </c>
      <c r="E1350" s="1" t="s">
        <v>207</v>
      </c>
      <c r="F1350" s="1" t="s">
        <v>208</v>
      </c>
      <c r="G1350" s="10">
        <v>17</v>
      </c>
      <c r="H1350" s="1" t="s">
        <v>36</v>
      </c>
    </row>
    <row r="1351" spans="1:8" ht="15.75" customHeight="1" x14ac:dyDescent="0.3">
      <c r="A1351" s="10">
        <v>11350</v>
      </c>
      <c r="B1351" s="10">
        <v>599</v>
      </c>
      <c r="C1351" s="10">
        <v>2010</v>
      </c>
      <c r="D1351" s="10">
        <v>317</v>
      </c>
      <c r="E1351" s="1" t="s">
        <v>290</v>
      </c>
      <c r="F1351" s="1" t="s">
        <v>149</v>
      </c>
      <c r="G1351" s="10">
        <v>24</v>
      </c>
      <c r="H1351" s="1" t="s">
        <v>36</v>
      </c>
    </row>
    <row r="1352" spans="1:8" ht="15.75" customHeight="1" x14ac:dyDescent="0.3">
      <c r="A1352" s="10">
        <v>11351</v>
      </c>
      <c r="B1352" s="10">
        <v>509</v>
      </c>
      <c r="C1352" s="10">
        <v>2050</v>
      </c>
      <c r="D1352" s="10">
        <v>315</v>
      </c>
      <c r="E1352" s="1" t="s">
        <v>58</v>
      </c>
      <c r="F1352" s="1" t="s">
        <v>205</v>
      </c>
      <c r="G1352" s="10">
        <v>44</v>
      </c>
      <c r="H1352" s="1" t="s">
        <v>78</v>
      </c>
    </row>
    <row r="1353" spans="1:8" ht="15.75" customHeight="1" x14ac:dyDescent="0.3">
      <c r="A1353" s="10">
        <v>11352</v>
      </c>
      <c r="B1353" s="10">
        <v>688</v>
      </c>
      <c r="C1353" s="10">
        <v>2030</v>
      </c>
      <c r="D1353" s="10">
        <v>304</v>
      </c>
      <c r="E1353" s="1" t="s">
        <v>269</v>
      </c>
      <c r="F1353" s="1" t="s">
        <v>162</v>
      </c>
      <c r="G1353" s="10">
        <v>47</v>
      </c>
      <c r="H1353" s="1" t="s">
        <v>36</v>
      </c>
    </row>
    <row r="1354" spans="1:8" ht="15.75" customHeight="1" x14ac:dyDescent="0.3">
      <c r="A1354" s="10">
        <v>11353</v>
      </c>
      <c r="B1354" s="10">
        <v>609</v>
      </c>
      <c r="C1354" s="10">
        <v>2052</v>
      </c>
      <c r="D1354" s="10">
        <v>309</v>
      </c>
      <c r="E1354" s="1" t="s">
        <v>361</v>
      </c>
      <c r="F1354" s="1" t="s">
        <v>373</v>
      </c>
      <c r="G1354" s="10">
        <v>45</v>
      </c>
      <c r="H1354" s="1" t="s">
        <v>78</v>
      </c>
    </row>
    <row r="1355" spans="1:8" ht="15.75" customHeight="1" x14ac:dyDescent="0.3">
      <c r="A1355" s="10">
        <v>11354</v>
      </c>
      <c r="B1355" s="10">
        <v>544</v>
      </c>
      <c r="C1355" s="10">
        <v>2028</v>
      </c>
      <c r="D1355" s="10">
        <v>307</v>
      </c>
      <c r="E1355" s="1" t="s">
        <v>406</v>
      </c>
      <c r="F1355" s="1" t="s">
        <v>350</v>
      </c>
      <c r="G1355" s="10">
        <v>48</v>
      </c>
      <c r="H1355" s="1" t="s">
        <v>78</v>
      </c>
    </row>
    <row r="1356" spans="1:8" ht="15.75" customHeight="1" x14ac:dyDescent="0.3">
      <c r="A1356" s="10">
        <v>11355</v>
      </c>
      <c r="B1356" s="10">
        <v>860</v>
      </c>
      <c r="C1356" s="10">
        <v>2047</v>
      </c>
      <c r="D1356" s="10">
        <v>320</v>
      </c>
      <c r="E1356" s="1" t="s">
        <v>189</v>
      </c>
      <c r="F1356" s="1" t="s">
        <v>205</v>
      </c>
      <c r="G1356" s="10">
        <v>45</v>
      </c>
      <c r="H1356" s="1" t="s">
        <v>78</v>
      </c>
    </row>
    <row r="1357" spans="1:8" ht="15.75" customHeight="1" x14ac:dyDescent="0.3">
      <c r="A1357" s="10">
        <v>11356</v>
      </c>
      <c r="B1357" s="10">
        <v>532</v>
      </c>
      <c r="C1357" s="10">
        <v>2026</v>
      </c>
      <c r="D1357" s="10">
        <v>315</v>
      </c>
      <c r="E1357" s="1" t="s">
        <v>255</v>
      </c>
      <c r="F1357" s="1" t="s">
        <v>87</v>
      </c>
      <c r="G1357" s="10">
        <v>1</v>
      </c>
      <c r="H1357" s="1" t="s">
        <v>36</v>
      </c>
    </row>
    <row r="1358" spans="1:8" ht="15.75" customHeight="1" x14ac:dyDescent="0.3">
      <c r="A1358" s="10">
        <v>11357</v>
      </c>
      <c r="B1358" s="10">
        <v>740</v>
      </c>
      <c r="C1358" s="10">
        <v>2031</v>
      </c>
      <c r="D1358" s="10">
        <v>319</v>
      </c>
      <c r="E1358" s="1" t="s">
        <v>85</v>
      </c>
      <c r="F1358" s="1" t="s">
        <v>153</v>
      </c>
      <c r="G1358" s="10">
        <v>3</v>
      </c>
      <c r="H1358" s="1" t="s">
        <v>39</v>
      </c>
    </row>
    <row r="1359" spans="1:8" ht="15.75" customHeight="1" x14ac:dyDescent="0.3">
      <c r="A1359" s="10">
        <v>11358</v>
      </c>
      <c r="B1359" s="10">
        <v>639</v>
      </c>
      <c r="C1359" s="10">
        <v>2068</v>
      </c>
      <c r="D1359" s="10">
        <v>306</v>
      </c>
      <c r="E1359" s="1" t="s">
        <v>63</v>
      </c>
      <c r="F1359" s="1" t="s">
        <v>396</v>
      </c>
      <c r="G1359" s="10">
        <v>66</v>
      </c>
      <c r="H1359" s="1" t="s">
        <v>78</v>
      </c>
    </row>
    <row r="1360" spans="1:8" ht="15.75" customHeight="1" x14ac:dyDescent="0.3">
      <c r="A1360" s="10">
        <v>11359</v>
      </c>
      <c r="B1360" s="10">
        <v>681</v>
      </c>
      <c r="C1360" s="10">
        <v>2067</v>
      </c>
      <c r="D1360" s="10">
        <v>316</v>
      </c>
      <c r="E1360" s="1" t="s">
        <v>348</v>
      </c>
      <c r="F1360" s="1" t="s">
        <v>237</v>
      </c>
      <c r="G1360" s="10">
        <v>15</v>
      </c>
      <c r="H1360" s="1" t="s">
        <v>36</v>
      </c>
    </row>
    <row r="1361" spans="1:8" ht="15.75" customHeight="1" x14ac:dyDescent="0.3">
      <c r="A1361" s="10">
        <v>11360</v>
      </c>
      <c r="B1361" s="10">
        <v>893</v>
      </c>
      <c r="C1361" s="10">
        <v>2088</v>
      </c>
      <c r="D1361" s="10">
        <v>311</v>
      </c>
      <c r="E1361" s="1" t="s">
        <v>163</v>
      </c>
      <c r="F1361" s="1" t="s">
        <v>407</v>
      </c>
      <c r="G1361" s="10">
        <v>89</v>
      </c>
      <c r="H1361" s="1" t="s">
        <v>78</v>
      </c>
    </row>
    <row r="1362" spans="1:8" ht="15.75" customHeight="1" x14ac:dyDescent="0.3">
      <c r="A1362" s="10">
        <v>11361</v>
      </c>
      <c r="B1362" s="10">
        <v>834</v>
      </c>
      <c r="C1362" s="10">
        <v>2044</v>
      </c>
      <c r="D1362" s="10">
        <v>314</v>
      </c>
      <c r="E1362" s="1" t="s">
        <v>97</v>
      </c>
      <c r="F1362" s="1" t="s">
        <v>240</v>
      </c>
      <c r="G1362" s="10">
        <v>58</v>
      </c>
      <c r="H1362" s="1" t="s">
        <v>39</v>
      </c>
    </row>
    <row r="1363" spans="1:8" ht="15.75" customHeight="1" x14ac:dyDescent="0.3">
      <c r="A1363" s="10">
        <v>11362</v>
      </c>
      <c r="B1363" s="10">
        <v>679</v>
      </c>
      <c r="C1363" s="10">
        <v>2027</v>
      </c>
      <c r="D1363" s="10">
        <v>305</v>
      </c>
      <c r="E1363" s="1" t="s">
        <v>256</v>
      </c>
      <c r="F1363" s="1" t="s">
        <v>194</v>
      </c>
      <c r="G1363" s="10">
        <v>32</v>
      </c>
      <c r="H1363" s="1" t="s">
        <v>78</v>
      </c>
    </row>
    <row r="1364" spans="1:8" ht="15.75" customHeight="1" x14ac:dyDescent="0.3">
      <c r="A1364" s="10">
        <v>11363</v>
      </c>
      <c r="B1364" s="10">
        <v>725</v>
      </c>
      <c r="C1364" s="10">
        <v>2100</v>
      </c>
      <c r="D1364" s="10">
        <v>308</v>
      </c>
      <c r="E1364" s="1" t="s">
        <v>394</v>
      </c>
      <c r="F1364" s="1" t="s">
        <v>322</v>
      </c>
      <c r="G1364" s="10">
        <v>5</v>
      </c>
      <c r="H1364" s="1" t="s">
        <v>42</v>
      </c>
    </row>
    <row r="1365" spans="1:8" ht="15.75" customHeight="1" x14ac:dyDescent="0.3">
      <c r="A1365" s="10">
        <v>11364</v>
      </c>
      <c r="B1365" s="10">
        <v>792</v>
      </c>
      <c r="C1365" s="10">
        <v>2082</v>
      </c>
      <c r="D1365" s="10">
        <v>305</v>
      </c>
      <c r="E1365" s="1" t="s">
        <v>201</v>
      </c>
      <c r="F1365" s="1" t="s">
        <v>172</v>
      </c>
      <c r="G1365" s="10">
        <v>53</v>
      </c>
      <c r="H1365" s="1" t="s">
        <v>36</v>
      </c>
    </row>
    <row r="1366" spans="1:8" ht="15.75" customHeight="1" x14ac:dyDescent="0.3">
      <c r="A1366" s="10">
        <v>11365</v>
      </c>
      <c r="B1366" s="10">
        <v>570</v>
      </c>
      <c r="C1366" s="10">
        <v>2067</v>
      </c>
      <c r="D1366" s="10">
        <v>305</v>
      </c>
      <c r="E1366" s="1" t="s">
        <v>291</v>
      </c>
      <c r="F1366" s="1" t="s">
        <v>358</v>
      </c>
      <c r="G1366" s="10">
        <v>44</v>
      </c>
      <c r="H1366" s="1" t="s">
        <v>39</v>
      </c>
    </row>
    <row r="1367" spans="1:8" ht="15.75" customHeight="1" x14ac:dyDescent="0.3">
      <c r="A1367" s="10">
        <v>11366</v>
      </c>
      <c r="B1367" s="10">
        <v>598</v>
      </c>
      <c r="C1367" s="10">
        <v>2070</v>
      </c>
      <c r="D1367" s="10">
        <v>310</v>
      </c>
      <c r="E1367" s="1" t="s">
        <v>177</v>
      </c>
      <c r="F1367" s="1" t="s">
        <v>192</v>
      </c>
      <c r="G1367" s="10">
        <v>99</v>
      </c>
      <c r="H1367" s="1" t="s">
        <v>42</v>
      </c>
    </row>
    <row r="1368" spans="1:8" ht="15.75" customHeight="1" x14ac:dyDescent="0.3">
      <c r="A1368" s="10">
        <v>11367</v>
      </c>
      <c r="B1368" s="10">
        <v>704</v>
      </c>
      <c r="C1368" s="10">
        <v>2040</v>
      </c>
      <c r="D1368" s="10">
        <v>313</v>
      </c>
      <c r="E1368" s="1" t="s">
        <v>195</v>
      </c>
      <c r="F1368" s="1" t="s">
        <v>226</v>
      </c>
      <c r="G1368" s="10">
        <v>19</v>
      </c>
      <c r="H1368" s="1" t="s">
        <v>36</v>
      </c>
    </row>
    <row r="1369" spans="1:8" ht="15.75" customHeight="1" x14ac:dyDescent="0.3">
      <c r="A1369" s="10">
        <v>11368</v>
      </c>
      <c r="B1369" s="10">
        <v>877</v>
      </c>
      <c r="C1369" s="10">
        <v>2020</v>
      </c>
      <c r="D1369" s="10">
        <v>308</v>
      </c>
      <c r="E1369" s="1" t="s">
        <v>149</v>
      </c>
      <c r="F1369" s="1" t="s">
        <v>358</v>
      </c>
      <c r="G1369" s="10">
        <v>54</v>
      </c>
      <c r="H1369" s="1" t="s">
        <v>39</v>
      </c>
    </row>
    <row r="1370" spans="1:8" ht="15.75" customHeight="1" x14ac:dyDescent="0.3">
      <c r="A1370" s="10">
        <v>11369</v>
      </c>
      <c r="B1370" s="10">
        <v>646</v>
      </c>
      <c r="C1370" s="10">
        <v>2075</v>
      </c>
      <c r="D1370" s="10">
        <v>302</v>
      </c>
      <c r="E1370" s="1" t="s">
        <v>125</v>
      </c>
      <c r="F1370" s="1" t="s">
        <v>331</v>
      </c>
      <c r="G1370" s="10">
        <v>32</v>
      </c>
      <c r="H1370" s="1" t="s">
        <v>78</v>
      </c>
    </row>
    <row r="1371" spans="1:8" ht="15.75" customHeight="1" x14ac:dyDescent="0.3">
      <c r="A1371" s="10">
        <v>11370</v>
      </c>
      <c r="B1371" s="10">
        <v>551</v>
      </c>
      <c r="C1371" s="10">
        <v>2028</v>
      </c>
      <c r="D1371" s="10">
        <v>318</v>
      </c>
      <c r="E1371" s="1" t="s">
        <v>270</v>
      </c>
      <c r="F1371" s="1" t="s">
        <v>257</v>
      </c>
      <c r="G1371" s="10">
        <v>6</v>
      </c>
      <c r="H1371" s="1" t="s">
        <v>42</v>
      </c>
    </row>
    <row r="1372" spans="1:8" ht="15.75" customHeight="1" x14ac:dyDescent="0.3">
      <c r="A1372" s="10">
        <v>11371</v>
      </c>
      <c r="B1372" s="10">
        <v>599</v>
      </c>
      <c r="C1372" s="10">
        <v>2037</v>
      </c>
      <c r="D1372" s="10">
        <v>320</v>
      </c>
      <c r="E1372" s="1" t="s">
        <v>82</v>
      </c>
      <c r="F1372" s="1" t="s">
        <v>274</v>
      </c>
      <c r="G1372" s="10">
        <v>51</v>
      </c>
      <c r="H1372" s="1" t="s">
        <v>78</v>
      </c>
    </row>
    <row r="1373" spans="1:8" ht="15.75" customHeight="1" x14ac:dyDescent="0.3">
      <c r="A1373" s="10">
        <v>11372</v>
      </c>
      <c r="B1373" s="10">
        <v>794</v>
      </c>
      <c r="C1373" s="10">
        <v>2027</v>
      </c>
      <c r="D1373" s="10">
        <v>308</v>
      </c>
      <c r="E1373" s="1" t="s">
        <v>102</v>
      </c>
      <c r="F1373" s="1" t="s">
        <v>77</v>
      </c>
      <c r="G1373" s="10">
        <v>68</v>
      </c>
      <c r="H1373" s="1" t="s">
        <v>78</v>
      </c>
    </row>
    <row r="1374" spans="1:8" ht="15.75" customHeight="1" x14ac:dyDescent="0.3">
      <c r="A1374" s="10">
        <v>11373</v>
      </c>
      <c r="B1374" s="10">
        <v>763</v>
      </c>
      <c r="C1374" s="10">
        <v>2027</v>
      </c>
      <c r="D1374" s="10">
        <v>320</v>
      </c>
      <c r="E1374" s="1" t="s">
        <v>382</v>
      </c>
      <c r="F1374" s="1" t="s">
        <v>330</v>
      </c>
      <c r="G1374" s="10">
        <v>66</v>
      </c>
      <c r="H1374" s="1" t="s">
        <v>39</v>
      </c>
    </row>
    <row r="1375" spans="1:8" ht="15.75" customHeight="1" x14ac:dyDescent="0.3">
      <c r="A1375" s="10">
        <v>11374</v>
      </c>
      <c r="B1375" s="10">
        <v>767</v>
      </c>
      <c r="C1375" s="10">
        <v>2085</v>
      </c>
      <c r="D1375" s="10">
        <v>311</v>
      </c>
      <c r="E1375" s="1" t="s">
        <v>165</v>
      </c>
      <c r="F1375" s="1" t="s">
        <v>204</v>
      </c>
      <c r="G1375" s="10">
        <v>83</v>
      </c>
      <c r="H1375" s="1" t="s">
        <v>78</v>
      </c>
    </row>
    <row r="1376" spans="1:8" ht="15.75" customHeight="1" x14ac:dyDescent="0.3">
      <c r="A1376" s="10">
        <v>11375</v>
      </c>
      <c r="B1376" s="10">
        <v>877</v>
      </c>
      <c r="C1376" s="10">
        <v>2068</v>
      </c>
      <c r="D1376" s="10">
        <v>307</v>
      </c>
      <c r="E1376" s="1" t="s">
        <v>398</v>
      </c>
      <c r="F1376" s="1" t="s">
        <v>259</v>
      </c>
      <c r="G1376" s="10">
        <v>77</v>
      </c>
      <c r="H1376" s="1" t="s">
        <v>36</v>
      </c>
    </row>
    <row r="1377" spans="1:8" ht="15.75" customHeight="1" x14ac:dyDescent="0.3">
      <c r="A1377" s="10">
        <v>11376</v>
      </c>
      <c r="B1377" s="10">
        <v>613</v>
      </c>
      <c r="C1377" s="10">
        <v>2002</v>
      </c>
      <c r="D1377" s="10">
        <v>319</v>
      </c>
      <c r="E1377" s="1" t="s">
        <v>334</v>
      </c>
      <c r="F1377" s="1" t="s">
        <v>97</v>
      </c>
      <c r="G1377" s="10">
        <v>27</v>
      </c>
      <c r="H1377" s="1" t="s">
        <v>36</v>
      </c>
    </row>
    <row r="1378" spans="1:8" ht="15.75" customHeight="1" x14ac:dyDescent="0.3">
      <c r="A1378" s="10">
        <v>11377</v>
      </c>
      <c r="B1378" s="10">
        <v>799</v>
      </c>
      <c r="C1378" s="10">
        <v>2004</v>
      </c>
      <c r="D1378" s="10">
        <v>307</v>
      </c>
      <c r="E1378" s="1" t="s">
        <v>330</v>
      </c>
      <c r="F1378" s="1" t="s">
        <v>370</v>
      </c>
      <c r="G1378" s="10">
        <v>75</v>
      </c>
      <c r="H1378" s="1" t="s">
        <v>39</v>
      </c>
    </row>
    <row r="1379" spans="1:8" ht="15.75" customHeight="1" x14ac:dyDescent="0.3">
      <c r="A1379" s="10">
        <v>11378</v>
      </c>
      <c r="B1379" s="10">
        <v>743</v>
      </c>
      <c r="C1379" s="10">
        <v>2008</v>
      </c>
      <c r="D1379" s="10">
        <v>301</v>
      </c>
      <c r="E1379" s="1" t="s">
        <v>186</v>
      </c>
      <c r="F1379" s="1" t="s">
        <v>67</v>
      </c>
      <c r="G1379" s="10">
        <v>20</v>
      </c>
      <c r="H1379" s="1" t="s">
        <v>42</v>
      </c>
    </row>
    <row r="1380" spans="1:8" ht="15.75" customHeight="1" x14ac:dyDescent="0.3">
      <c r="A1380" s="10">
        <v>11379</v>
      </c>
      <c r="B1380" s="10">
        <v>798</v>
      </c>
      <c r="C1380" s="10">
        <v>2098</v>
      </c>
      <c r="D1380" s="10">
        <v>315</v>
      </c>
      <c r="E1380" s="1" t="s">
        <v>211</v>
      </c>
      <c r="F1380" s="1" t="s">
        <v>152</v>
      </c>
      <c r="G1380" s="10">
        <v>46</v>
      </c>
      <c r="H1380" s="1" t="s">
        <v>39</v>
      </c>
    </row>
    <row r="1381" spans="1:8" ht="15.75" customHeight="1" x14ac:dyDescent="0.3">
      <c r="A1381" s="10">
        <v>11380</v>
      </c>
      <c r="B1381" s="10">
        <v>622</v>
      </c>
      <c r="C1381" s="10">
        <v>2076</v>
      </c>
      <c r="D1381" s="10">
        <v>311</v>
      </c>
      <c r="E1381" s="1" t="s">
        <v>380</v>
      </c>
      <c r="F1381" s="1" t="s">
        <v>165</v>
      </c>
      <c r="G1381" s="10">
        <v>88</v>
      </c>
      <c r="H1381" s="1" t="s">
        <v>42</v>
      </c>
    </row>
    <row r="1382" spans="1:8" ht="15.75" customHeight="1" x14ac:dyDescent="0.3">
      <c r="A1382" s="10">
        <v>11381</v>
      </c>
      <c r="B1382" s="10">
        <v>616</v>
      </c>
      <c r="C1382" s="10">
        <v>2072</v>
      </c>
      <c r="D1382" s="10">
        <v>307</v>
      </c>
      <c r="E1382" s="1" t="s">
        <v>263</v>
      </c>
      <c r="F1382" s="1" t="s">
        <v>380</v>
      </c>
      <c r="G1382" s="10">
        <v>16</v>
      </c>
      <c r="H1382" s="1" t="s">
        <v>42</v>
      </c>
    </row>
    <row r="1383" spans="1:8" ht="15.75" customHeight="1" x14ac:dyDescent="0.3">
      <c r="A1383" s="10">
        <v>11382</v>
      </c>
      <c r="B1383" s="10">
        <v>597</v>
      </c>
      <c r="C1383" s="10">
        <v>2075</v>
      </c>
      <c r="D1383" s="10">
        <v>312</v>
      </c>
      <c r="E1383" s="1" t="s">
        <v>156</v>
      </c>
      <c r="F1383" s="1" t="s">
        <v>47</v>
      </c>
      <c r="G1383" s="10">
        <v>22</v>
      </c>
      <c r="H1383" s="1" t="s">
        <v>36</v>
      </c>
    </row>
    <row r="1384" spans="1:8" ht="15.75" customHeight="1" x14ac:dyDescent="0.3">
      <c r="A1384" s="10">
        <v>11383</v>
      </c>
      <c r="B1384" s="10">
        <v>546</v>
      </c>
      <c r="C1384" s="10">
        <v>2053</v>
      </c>
      <c r="D1384" s="10">
        <v>307</v>
      </c>
      <c r="E1384" s="1" t="s">
        <v>318</v>
      </c>
      <c r="F1384" s="1" t="s">
        <v>202</v>
      </c>
      <c r="G1384" s="10">
        <v>26</v>
      </c>
      <c r="H1384" s="1" t="s">
        <v>39</v>
      </c>
    </row>
    <row r="1385" spans="1:8" ht="15.75" customHeight="1" x14ac:dyDescent="0.3">
      <c r="A1385" s="10">
        <v>11384</v>
      </c>
      <c r="B1385" s="10">
        <v>835</v>
      </c>
      <c r="C1385" s="10">
        <v>2072</v>
      </c>
      <c r="D1385" s="10">
        <v>310</v>
      </c>
      <c r="E1385" s="1" t="s">
        <v>276</v>
      </c>
      <c r="F1385" s="1" t="s">
        <v>100</v>
      </c>
      <c r="G1385" s="10">
        <v>24</v>
      </c>
      <c r="H1385" s="1" t="s">
        <v>36</v>
      </c>
    </row>
    <row r="1386" spans="1:8" ht="15.75" customHeight="1" x14ac:dyDescent="0.3">
      <c r="A1386" s="10">
        <v>11385</v>
      </c>
      <c r="B1386" s="10">
        <v>881</v>
      </c>
      <c r="C1386" s="10">
        <v>2004</v>
      </c>
      <c r="D1386" s="10">
        <v>303</v>
      </c>
      <c r="E1386" s="1" t="s">
        <v>86</v>
      </c>
      <c r="F1386" s="1" t="s">
        <v>378</v>
      </c>
      <c r="G1386" s="10">
        <v>78</v>
      </c>
      <c r="H1386" s="1" t="s">
        <v>78</v>
      </c>
    </row>
    <row r="1387" spans="1:8" ht="15.75" customHeight="1" x14ac:dyDescent="0.3">
      <c r="A1387" s="10">
        <v>11386</v>
      </c>
      <c r="B1387" s="10">
        <v>804</v>
      </c>
      <c r="C1387" s="10">
        <v>2003</v>
      </c>
      <c r="D1387" s="10">
        <v>315</v>
      </c>
      <c r="E1387" s="1" t="s">
        <v>73</v>
      </c>
      <c r="F1387" s="1" t="s">
        <v>244</v>
      </c>
      <c r="G1387" s="10">
        <v>64</v>
      </c>
      <c r="H1387" s="1" t="s">
        <v>78</v>
      </c>
    </row>
    <row r="1388" spans="1:8" ht="15.75" customHeight="1" x14ac:dyDescent="0.3">
      <c r="A1388" s="10">
        <v>11387</v>
      </c>
      <c r="B1388" s="10">
        <v>596</v>
      </c>
      <c r="C1388" s="10">
        <v>2097</v>
      </c>
      <c r="D1388" s="10">
        <v>317</v>
      </c>
      <c r="E1388" s="1" t="s">
        <v>254</v>
      </c>
      <c r="F1388" s="1" t="s">
        <v>93</v>
      </c>
      <c r="G1388" s="10">
        <v>98</v>
      </c>
      <c r="H1388" s="1" t="s">
        <v>78</v>
      </c>
    </row>
    <row r="1389" spans="1:8" ht="15.75" customHeight="1" x14ac:dyDescent="0.3">
      <c r="A1389" s="10">
        <v>11388</v>
      </c>
      <c r="B1389" s="10">
        <v>803</v>
      </c>
      <c r="C1389" s="10">
        <v>2061</v>
      </c>
      <c r="D1389" s="10">
        <v>310</v>
      </c>
      <c r="E1389" s="1" t="s">
        <v>99</v>
      </c>
      <c r="F1389" s="1" t="s">
        <v>117</v>
      </c>
      <c r="G1389" s="10">
        <v>24</v>
      </c>
      <c r="H1389" s="1" t="s">
        <v>78</v>
      </c>
    </row>
    <row r="1390" spans="1:8" ht="15.75" customHeight="1" x14ac:dyDescent="0.3">
      <c r="A1390" s="10">
        <v>11389</v>
      </c>
      <c r="B1390" s="10">
        <v>874</v>
      </c>
      <c r="C1390" s="10">
        <v>2037</v>
      </c>
      <c r="D1390" s="10">
        <v>308</v>
      </c>
      <c r="E1390" s="1" t="s">
        <v>194</v>
      </c>
      <c r="F1390" s="1" t="s">
        <v>378</v>
      </c>
      <c r="G1390" s="10">
        <v>30</v>
      </c>
      <c r="H1390" s="1" t="s">
        <v>78</v>
      </c>
    </row>
    <row r="1391" spans="1:8" ht="15.75" customHeight="1" x14ac:dyDescent="0.3">
      <c r="A1391" s="10">
        <v>11390</v>
      </c>
      <c r="B1391" s="10">
        <v>560</v>
      </c>
      <c r="C1391" s="10">
        <v>2096</v>
      </c>
      <c r="D1391" s="10">
        <v>318</v>
      </c>
      <c r="E1391" s="1" t="s">
        <v>323</v>
      </c>
      <c r="F1391" s="1" t="s">
        <v>103</v>
      </c>
      <c r="G1391" s="10">
        <v>62</v>
      </c>
      <c r="H1391" s="1" t="s">
        <v>39</v>
      </c>
    </row>
    <row r="1392" spans="1:8" ht="15.75" customHeight="1" x14ac:dyDescent="0.3">
      <c r="A1392" s="10">
        <v>11391</v>
      </c>
      <c r="B1392" s="10">
        <v>734</v>
      </c>
      <c r="C1392" s="10">
        <v>2028</v>
      </c>
      <c r="D1392" s="10">
        <v>316</v>
      </c>
      <c r="E1392" s="1" t="s">
        <v>312</v>
      </c>
      <c r="F1392" s="1" t="s">
        <v>61</v>
      </c>
      <c r="G1392" s="10">
        <v>41</v>
      </c>
      <c r="H1392" s="1" t="s">
        <v>36</v>
      </c>
    </row>
    <row r="1393" spans="1:8" ht="15.75" customHeight="1" x14ac:dyDescent="0.3">
      <c r="A1393" s="10">
        <v>11392</v>
      </c>
      <c r="B1393" s="10">
        <v>613</v>
      </c>
      <c r="C1393" s="10">
        <v>2072</v>
      </c>
      <c r="D1393" s="10">
        <v>317</v>
      </c>
      <c r="E1393" s="1" t="s">
        <v>277</v>
      </c>
      <c r="F1393" s="1" t="s">
        <v>244</v>
      </c>
      <c r="G1393" s="10">
        <v>29</v>
      </c>
      <c r="H1393" s="1" t="s">
        <v>39</v>
      </c>
    </row>
    <row r="1394" spans="1:8" ht="15.75" customHeight="1" x14ac:dyDescent="0.3">
      <c r="A1394" s="10">
        <v>11393</v>
      </c>
      <c r="B1394" s="10">
        <v>746</v>
      </c>
      <c r="C1394" s="10">
        <v>2039</v>
      </c>
      <c r="D1394" s="10">
        <v>317</v>
      </c>
      <c r="E1394" s="1" t="s">
        <v>290</v>
      </c>
      <c r="F1394" s="1" t="s">
        <v>298</v>
      </c>
      <c r="G1394" s="10">
        <v>43</v>
      </c>
      <c r="H1394" s="1" t="s">
        <v>36</v>
      </c>
    </row>
    <row r="1395" spans="1:8" ht="15.75" customHeight="1" x14ac:dyDescent="0.3">
      <c r="A1395" s="10">
        <v>11394</v>
      </c>
      <c r="B1395" s="10">
        <v>731</v>
      </c>
      <c r="C1395" s="10">
        <v>2092</v>
      </c>
      <c r="D1395" s="10">
        <v>308</v>
      </c>
      <c r="E1395" s="1" t="s">
        <v>337</v>
      </c>
      <c r="F1395" s="1" t="s">
        <v>82</v>
      </c>
      <c r="G1395" s="10">
        <v>50</v>
      </c>
      <c r="H1395" s="1" t="s">
        <v>42</v>
      </c>
    </row>
    <row r="1396" spans="1:8" ht="15.75" customHeight="1" x14ac:dyDescent="0.3">
      <c r="A1396" s="10">
        <v>11395</v>
      </c>
      <c r="B1396" s="10">
        <v>522</v>
      </c>
      <c r="C1396" s="10">
        <v>2094</v>
      </c>
      <c r="D1396" s="10">
        <v>310</v>
      </c>
      <c r="E1396" s="1" t="s">
        <v>157</v>
      </c>
      <c r="F1396" s="1" t="s">
        <v>233</v>
      </c>
      <c r="G1396" s="10">
        <v>52</v>
      </c>
      <c r="H1396" s="1" t="s">
        <v>78</v>
      </c>
    </row>
    <row r="1397" spans="1:8" ht="15.75" customHeight="1" x14ac:dyDescent="0.3">
      <c r="A1397" s="10">
        <v>11396</v>
      </c>
      <c r="B1397" s="10">
        <v>635</v>
      </c>
      <c r="C1397" s="10">
        <v>2025</v>
      </c>
      <c r="D1397" s="10">
        <v>306</v>
      </c>
      <c r="E1397" s="1" t="s">
        <v>407</v>
      </c>
      <c r="F1397" s="1" t="s">
        <v>156</v>
      </c>
      <c r="G1397" s="10">
        <v>97</v>
      </c>
      <c r="H1397" s="1" t="s">
        <v>42</v>
      </c>
    </row>
    <row r="1398" spans="1:8" ht="15.75" customHeight="1" x14ac:dyDescent="0.3">
      <c r="A1398" s="10">
        <v>11397</v>
      </c>
      <c r="B1398" s="10">
        <v>587</v>
      </c>
      <c r="C1398" s="10">
        <v>2071</v>
      </c>
      <c r="D1398" s="10">
        <v>309</v>
      </c>
      <c r="E1398" s="1" t="s">
        <v>166</v>
      </c>
      <c r="F1398" s="1" t="s">
        <v>211</v>
      </c>
      <c r="G1398" s="10">
        <v>87</v>
      </c>
      <c r="H1398" s="1" t="s">
        <v>42</v>
      </c>
    </row>
    <row r="1399" spans="1:8" ht="15.75" customHeight="1" x14ac:dyDescent="0.3">
      <c r="A1399" s="10">
        <v>11398</v>
      </c>
      <c r="B1399" s="10">
        <v>794</v>
      </c>
      <c r="C1399" s="10">
        <v>2004</v>
      </c>
      <c r="D1399" s="10">
        <v>316</v>
      </c>
      <c r="E1399" s="1" t="s">
        <v>113</v>
      </c>
      <c r="F1399" s="1" t="s">
        <v>63</v>
      </c>
      <c r="G1399" s="10">
        <v>49</v>
      </c>
      <c r="H1399" s="1" t="s">
        <v>78</v>
      </c>
    </row>
    <row r="1400" spans="1:8" ht="15.75" customHeight="1" x14ac:dyDescent="0.3">
      <c r="A1400" s="10">
        <v>11399</v>
      </c>
      <c r="B1400" s="10">
        <v>547</v>
      </c>
      <c r="C1400" s="10">
        <v>2050</v>
      </c>
      <c r="D1400" s="10">
        <v>307</v>
      </c>
      <c r="E1400" s="1" t="s">
        <v>232</v>
      </c>
      <c r="F1400" s="1" t="s">
        <v>119</v>
      </c>
      <c r="G1400" s="10">
        <v>38</v>
      </c>
      <c r="H1400" s="1" t="s">
        <v>78</v>
      </c>
    </row>
    <row r="1401" spans="1:8" ht="15.75" customHeight="1" x14ac:dyDescent="0.3">
      <c r="A1401" s="10">
        <v>11400</v>
      </c>
      <c r="B1401" s="10">
        <v>577</v>
      </c>
      <c r="C1401" s="10">
        <v>2080</v>
      </c>
      <c r="D1401" s="10">
        <v>311</v>
      </c>
      <c r="E1401" s="1" t="s">
        <v>154</v>
      </c>
      <c r="F1401" s="1" t="s">
        <v>181</v>
      </c>
      <c r="G1401" s="10">
        <v>75</v>
      </c>
      <c r="H1401" s="1" t="s">
        <v>42</v>
      </c>
    </row>
    <row r="1402" spans="1:8" ht="15.75" customHeight="1" x14ac:dyDescent="0.3">
      <c r="A1402" s="10">
        <v>11401</v>
      </c>
      <c r="B1402" s="10">
        <v>565</v>
      </c>
      <c r="C1402" s="10">
        <v>2010</v>
      </c>
      <c r="D1402" s="10">
        <v>318</v>
      </c>
      <c r="E1402" s="1" t="s">
        <v>406</v>
      </c>
      <c r="F1402" s="1" t="s">
        <v>195</v>
      </c>
      <c r="G1402" s="10">
        <v>62</v>
      </c>
      <c r="H1402" s="1" t="s">
        <v>42</v>
      </c>
    </row>
    <row r="1403" spans="1:8" ht="15.75" customHeight="1" x14ac:dyDescent="0.3">
      <c r="A1403" s="10">
        <v>11402</v>
      </c>
      <c r="B1403" s="10">
        <v>731</v>
      </c>
      <c r="C1403" s="10">
        <v>2095</v>
      </c>
      <c r="D1403" s="10">
        <v>308</v>
      </c>
      <c r="E1403" s="1" t="s">
        <v>165</v>
      </c>
      <c r="F1403" s="1" t="s">
        <v>150</v>
      </c>
      <c r="G1403" s="10">
        <v>18</v>
      </c>
      <c r="H1403" s="1" t="s">
        <v>78</v>
      </c>
    </row>
    <row r="1404" spans="1:8" ht="15.75" customHeight="1" x14ac:dyDescent="0.3">
      <c r="A1404" s="10">
        <v>11403</v>
      </c>
      <c r="B1404" s="10">
        <v>646</v>
      </c>
      <c r="C1404" s="10">
        <v>2065</v>
      </c>
      <c r="D1404" s="10">
        <v>308</v>
      </c>
      <c r="E1404" s="1" t="s">
        <v>88</v>
      </c>
      <c r="F1404" s="1" t="s">
        <v>209</v>
      </c>
      <c r="G1404" s="10">
        <v>33</v>
      </c>
      <c r="H1404" s="1" t="s">
        <v>39</v>
      </c>
    </row>
    <row r="1405" spans="1:8" ht="15.75" customHeight="1" x14ac:dyDescent="0.3">
      <c r="A1405" s="10">
        <v>11404</v>
      </c>
      <c r="B1405" s="10">
        <v>843</v>
      </c>
      <c r="C1405" s="10">
        <v>2015</v>
      </c>
      <c r="D1405" s="10">
        <v>314</v>
      </c>
      <c r="E1405" s="1" t="s">
        <v>133</v>
      </c>
      <c r="F1405" s="1" t="s">
        <v>220</v>
      </c>
      <c r="G1405" s="10">
        <v>19</v>
      </c>
      <c r="H1405" s="1" t="s">
        <v>39</v>
      </c>
    </row>
    <row r="1406" spans="1:8" ht="15.75" customHeight="1" x14ac:dyDescent="0.3">
      <c r="A1406" s="10">
        <v>11405</v>
      </c>
      <c r="B1406" s="10">
        <v>856</v>
      </c>
      <c r="C1406" s="10">
        <v>2075</v>
      </c>
      <c r="D1406" s="10">
        <v>309</v>
      </c>
      <c r="E1406" s="1" t="s">
        <v>295</v>
      </c>
      <c r="F1406" s="1" t="s">
        <v>57</v>
      </c>
      <c r="G1406" s="10">
        <v>62</v>
      </c>
      <c r="H1406" s="1" t="s">
        <v>36</v>
      </c>
    </row>
    <row r="1407" spans="1:8" ht="15.75" customHeight="1" x14ac:dyDescent="0.3">
      <c r="A1407" s="10">
        <v>11406</v>
      </c>
      <c r="B1407" s="10">
        <v>807</v>
      </c>
      <c r="C1407" s="10">
        <v>2027</v>
      </c>
      <c r="D1407" s="10">
        <v>304</v>
      </c>
      <c r="E1407" s="1" t="s">
        <v>322</v>
      </c>
      <c r="F1407" s="1" t="s">
        <v>178</v>
      </c>
      <c r="G1407" s="10">
        <v>4</v>
      </c>
      <c r="H1407" s="1" t="s">
        <v>36</v>
      </c>
    </row>
    <row r="1408" spans="1:8" ht="15.75" customHeight="1" x14ac:dyDescent="0.3">
      <c r="A1408" s="10">
        <v>11407</v>
      </c>
      <c r="B1408" s="10">
        <v>783</v>
      </c>
      <c r="C1408" s="10">
        <v>2096</v>
      </c>
      <c r="D1408" s="10">
        <v>308</v>
      </c>
      <c r="E1408" s="1" t="s">
        <v>202</v>
      </c>
      <c r="F1408" s="1" t="s">
        <v>50</v>
      </c>
      <c r="G1408" s="10">
        <v>24</v>
      </c>
      <c r="H1408" s="1" t="s">
        <v>36</v>
      </c>
    </row>
    <row r="1409" spans="1:8" ht="15.75" customHeight="1" x14ac:dyDescent="0.3">
      <c r="A1409" s="10">
        <v>11408</v>
      </c>
      <c r="B1409" s="10">
        <v>508</v>
      </c>
      <c r="C1409" s="10">
        <v>2011</v>
      </c>
      <c r="D1409" s="10">
        <v>310</v>
      </c>
      <c r="E1409" s="1" t="s">
        <v>169</v>
      </c>
      <c r="F1409" s="1" t="s">
        <v>82</v>
      </c>
      <c r="G1409" s="10">
        <v>53</v>
      </c>
      <c r="H1409" s="1" t="s">
        <v>78</v>
      </c>
    </row>
    <row r="1410" spans="1:8" ht="15.75" customHeight="1" x14ac:dyDescent="0.3">
      <c r="A1410" s="10">
        <v>11409</v>
      </c>
      <c r="B1410" s="10">
        <v>572</v>
      </c>
      <c r="C1410" s="10">
        <v>2037</v>
      </c>
      <c r="D1410" s="10">
        <v>306</v>
      </c>
      <c r="E1410" s="1" t="s">
        <v>374</v>
      </c>
      <c r="F1410" s="1" t="s">
        <v>199</v>
      </c>
      <c r="G1410" s="10">
        <v>7</v>
      </c>
      <c r="H1410" s="1" t="s">
        <v>78</v>
      </c>
    </row>
    <row r="1411" spans="1:8" ht="15.75" customHeight="1" x14ac:dyDescent="0.3">
      <c r="A1411" s="10">
        <v>11410</v>
      </c>
      <c r="B1411" s="10">
        <v>739</v>
      </c>
      <c r="C1411" s="10">
        <v>2070</v>
      </c>
      <c r="D1411" s="10">
        <v>309</v>
      </c>
      <c r="E1411" s="1" t="s">
        <v>171</v>
      </c>
      <c r="F1411" s="1" t="s">
        <v>81</v>
      </c>
      <c r="G1411" s="10">
        <v>74</v>
      </c>
      <c r="H1411" s="1" t="s">
        <v>78</v>
      </c>
    </row>
    <row r="1412" spans="1:8" ht="15.75" customHeight="1" x14ac:dyDescent="0.3">
      <c r="A1412" s="10">
        <v>11411</v>
      </c>
      <c r="B1412" s="10">
        <v>682</v>
      </c>
      <c r="C1412" s="10">
        <v>2058</v>
      </c>
      <c r="D1412" s="10">
        <v>314</v>
      </c>
      <c r="E1412" s="1" t="s">
        <v>183</v>
      </c>
      <c r="F1412" s="1" t="s">
        <v>137</v>
      </c>
      <c r="G1412" s="10">
        <v>96</v>
      </c>
      <c r="H1412" s="1" t="s">
        <v>39</v>
      </c>
    </row>
    <row r="1413" spans="1:8" ht="15.75" customHeight="1" x14ac:dyDescent="0.3">
      <c r="A1413" s="10">
        <v>11412</v>
      </c>
      <c r="B1413" s="10">
        <v>859</v>
      </c>
      <c r="C1413" s="10">
        <v>2066</v>
      </c>
      <c r="D1413" s="10">
        <v>313</v>
      </c>
      <c r="E1413" s="1" t="s">
        <v>184</v>
      </c>
      <c r="F1413" s="1" t="s">
        <v>130</v>
      </c>
      <c r="G1413" s="10">
        <v>86</v>
      </c>
      <c r="H1413" s="1" t="s">
        <v>39</v>
      </c>
    </row>
    <row r="1414" spans="1:8" ht="15.75" customHeight="1" x14ac:dyDescent="0.3">
      <c r="A1414" s="10">
        <v>11413</v>
      </c>
      <c r="B1414" s="10">
        <v>851</v>
      </c>
      <c r="C1414" s="10">
        <v>2038</v>
      </c>
      <c r="D1414" s="10">
        <v>314</v>
      </c>
      <c r="E1414" s="1" t="s">
        <v>93</v>
      </c>
      <c r="F1414" s="1" t="s">
        <v>272</v>
      </c>
      <c r="G1414" s="10">
        <v>73</v>
      </c>
      <c r="H1414" s="1" t="s">
        <v>36</v>
      </c>
    </row>
    <row r="1415" spans="1:8" ht="15.75" customHeight="1" x14ac:dyDescent="0.3">
      <c r="A1415" s="10">
        <v>11414</v>
      </c>
      <c r="B1415" s="10">
        <v>668</v>
      </c>
      <c r="C1415" s="10">
        <v>2080</v>
      </c>
      <c r="D1415" s="10">
        <v>302</v>
      </c>
      <c r="E1415" s="1" t="s">
        <v>313</v>
      </c>
      <c r="F1415" s="1" t="s">
        <v>406</v>
      </c>
      <c r="G1415" s="10">
        <v>64</v>
      </c>
      <c r="H1415" s="1" t="s">
        <v>39</v>
      </c>
    </row>
    <row r="1416" spans="1:8" ht="15.75" customHeight="1" x14ac:dyDescent="0.3">
      <c r="A1416" s="10">
        <v>11415</v>
      </c>
      <c r="B1416" s="10">
        <v>867</v>
      </c>
      <c r="C1416" s="10">
        <v>2053</v>
      </c>
      <c r="D1416" s="10">
        <v>320</v>
      </c>
      <c r="E1416" s="1" t="s">
        <v>180</v>
      </c>
      <c r="F1416" s="1" t="s">
        <v>44</v>
      </c>
      <c r="G1416" s="10">
        <v>91</v>
      </c>
      <c r="H1416" s="1" t="s">
        <v>39</v>
      </c>
    </row>
    <row r="1417" spans="1:8" ht="15.75" customHeight="1" x14ac:dyDescent="0.3">
      <c r="A1417" s="10">
        <v>11416</v>
      </c>
      <c r="B1417" s="10">
        <v>659</v>
      </c>
      <c r="C1417" s="10">
        <v>2033</v>
      </c>
      <c r="D1417" s="10">
        <v>307</v>
      </c>
      <c r="E1417" s="1" t="s">
        <v>264</v>
      </c>
      <c r="F1417" s="1" t="s">
        <v>400</v>
      </c>
      <c r="G1417" s="10">
        <v>75</v>
      </c>
      <c r="H1417" s="1" t="s">
        <v>39</v>
      </c>
    </row>
    <row r="1418" spans="1:8" ht="15.75" customHeight="1" x14ac:dyDescent="0.3">
      <c r="A1418" s="10">
        <v>11417</v>
      </c>
      <c r="B1418" s="10">
        <v>896</v>
      </c>
      <c r="C1418" s="10">
        <v>2085</v>
      </c>
      <c r="D1418" s="10">
        <v>311</v>
      </c>
      <c r="E1418" s="1" t="s">
        <v>356</v>
      </c>
      <c r="F1418" s="1" t="s">
        <v>139</v>
      </c>
      <c r="G1418" s="10">
        <v>87</v>
      </c>
      <c r="H1418" s="1" t="s">
        <v>78</v>
      </c>
    </row>
    <row r="1419" spans="1:8" ht="15.75" customHeight="1" x14ac:dyDescent="0.3">
      <c r="A1419" s="10">
        <v>11418</v>
      </c>
      <c r="B1419" s="10">
        <v>710</v>
      </c>
      <c r="C1419" s="10">
        <v>2018</v>
      </c>
      <c r="D1419" s="10">
        <v>320</v>
      </c>
      <c r="E1419" s="1" t="s">
        <v>332</v>
      </c>
      <c r="F1419" s="1" t="s">
        <v>341</v>
      </c>
      <c r="G1419" s="10">
        <v>72</v>
      </c>
      <c r="H1419" s="1" t="s">
        <v>39</v>
      </c>
    </row>
    <row r="1420" spans="1:8" ht="15.75" customHeight="1" x14ac:dyDescent="0.3">
      <c r="A1420" s="10">
        <v>11419</v>
      </c>
      <c r="B1420" s="10">
        <v>742</v>
      </c>
      <c r="C1420" s="10">
        <v>2080</v>
      </c>
      <c r="D1420" s="10">
        <v>302</v>
      </c>
      <c r="E1420" s="1" t="s">
        <v>312</v>
      </c>
      <c r="F1420" s="1" t="s">
        <v>319</v>
      </c>
      <c r="G1420" s="10">
        <v>24</v>
      </c>
      <c r="H1420" s="1" t="s">
        <v>42</v>
      </c>
    </row>
    <row r="1421" spans="1:8" ht="15.75" customHeight="1" x14ac:dyDescent="0.3">
      <c r="A1421" s="10">
        <v>11420</v>
      </c>
      <c r="B1421" s="10">
        <v>510</v>
      </c>
      <c r="C1421" s="10">
        <v>2003</v>
      </c>
      <c r="D1421" s="10">
        <v>311</v>
      </c>
      <c r="E1421" s="1" t="s">
        <v>97</v>
      </c>
      <c r="F1421" s="1" t="s">
        <v>302</v>
      </c>
      <c r="G1421" s="10">
        <v>26</v>
      </c>
      <c r="H1421" s="1" t="s">
        <v>78</v>
      </c>
    </row>
    <row r="1422" spans="1:8" ht="15.75" customHeight="1" x14ac:dyDescent="0.3">
      <c r="A1422" s="10">
        <v>11421</v>
      </c>
      <c r="B1422" s="10">
        <v>647</v>
      </c>
      <c r="C1422" s="10">
        <v>2045</v>
      </c>
      <c r="D1422" s="10">
        <v>310</v>
      </c>
      <c r="E1422" s="1" t="s">
        <v>167</v>
      </c>
      <c r="F1422" s="1" t="s">
        <v>296</v>
      </c>
      <c r="G1422" s="10">
        <v>90</v>
      </c>
      <c r="H1422" s="1" t="s">
        <v>36</v>
      </c>
    </row>
    <row r="1423" spans="1:8" ht="15.75" customHeight="1" x14ac:dyDescent="0.3">
      <c r="A1423" s="10">
        <v>11422</v>
      </c>
      <c r="B1423" s="10">
        <v>771</v>
      </c>
      <c r="C1423" s="10">
        <v>2058</v>
      </c>
      <c r="D1423" s="10">
        <v>317</v>
      </c>
      <c r="E1423" s="1" t="s">
        <v>247</v>
      </c>
      <c r="F1423" s="1" t="s">
        <v>198</v>
      </c>
      <c r="G1423" s="10">
        <v>41</v>
      </c>
      <c r="H1423" s="1" t="s">
        <v>39</v>
      </c>
    </row>
    <row r="1424" spans="1:8" ht="15.75" customHeight="1" x14ac:dyDescent="0.3">
      <c r="A1424" s="10">
        <v>11423</v>
      </c>
      <c r="B1424" s="10">
        <v>810</v>
      </c>
      <c r="C1424" s="10">
        <v>2012</v>
      </c>
      <c r="D1424" s="10">
        <v>313</v>
      </c>
      <c r="E1424" s="1" t="s">
        <v>85</v>
      </c>
      <c r="F1424" s="1" t="s">
        <v>368</v>
      </c>
      <c r="G1424" s="10">
        <v>70</v>
      </c>
      <c r="H1424" s="1" t="s">
        <v>78</v>
      </c>
    </row>
    <row r="1425" spans="1:8" ht="15.75" customHeight="1" x14ac:dyDescent="0.3">
      <c r="A1425" s="10">
        <v>11424</v>
      </c>
      <c r="B1425" s="10">
        <v>708</v>
      </c>
      <c r="C1425" s="10">
        <v>2016</v>
      </c>
      <c r="D1425" s="10">
        <v>316</v>
      </c>
      <c r="E1425" s="1" t="s">
        <v>166</v>
      </c>
      <c r="F1425" s="1" t="s">
        <v>232</v>
      </c>
      <c r="G1425" s="10">
        <v>17</v>
      </c>
      <c r="H1425" s="1" t="s">
        <v>36</v>
      </c>
    </row>
    <row r="1426" spans="1:8" ht="15.75" customHeight="1" x14ac:dyDescent="0.3">
      <c r="A1426" s="10">
        <v>11425</v>
      </c>
      <c r="B1426" s="10">
        <v>704</v>
      </c>
      <c r="C1426" s="10">
        <v>2083</v>
      </c>
      <c r="D1426" s="10">
        <v>310</v>
      </c>
      <c r="E1426" s="1" t="s">
        <v>182</v>
      </c>
      <c r="F1426" s="1" t="s">
        <v>249</v>
      </c>
      <c r="G1426" s="10">
        <v>40</v>
      </c>
      <c r="H1426" s="1" t="s">
        <v>36</v>
      </c>
    </row>
    <row r="1427" spans="1:8" ht="15.75" customHeight="1" x14ac:dyDescent="0.3">
      <c r="A1427" s="10">
        <v>11426</v>
      </c>
      <c r="B1427" s="10">
        <v>587</v>
      </c>
      <c r="C1427" s="10">
        <v>2025</v>
      </c>
      <c r="D1427" s="10">
        <v>303</v>
      </c>
      <c r="E1427" s="1" t="s">
        <v>199</v>
      </c>
      <c r="F1427" s="1" t="s">
        <v>176</v>
      </c>
      <c r="G1427" s="10">
        <v>45</v>
      </c>
      <c r="H1427" s="1" t="s">
        <v>39</v>
      </c>
    </row>
    <row r="1428" spans="1:8" ht="15.75" customHeight="1" x14ac:dyDescent="0.3">
      <c r="A1428" s="10">
        <v>11427</v>
      </c>
      <c r="B1428" s="10">
        <v>805</v>
      </c>
      <c r="C1428" s="10">
        <v>2034</v>
      </c>
      <c r="D1428" s="10">
        <v>319</v>
      </c>
      <c r="E1428" s="1" t="s">
        <v>73</v>
      </c>
      <c r="F1428" s="1" t="s">
        <v>311</v>
      </c>
      <c r="G1428" s="10">
        <v>30</v>
      </c>
      <c r="H1428" s="1" t="s">
        <v>42</v>
      </c>
    </row>
    <row r="1429" spans="1:8" ht="15.75" customHeight="1" x14ac:dyDescent="0.3">
      <c r="A1429" s="10">
        <v>11428</v>
      </c>
      <c r="B1429" s="10">
        <v>505</v>
      </c>
      <c r="C1429" s="10">
        <v>2083</v>
      </c>
      <c r="D1429" s="10">
        <v>301</v>
      </c>
      <c r="E1429" s="1" t="s">
        <v>46</v>
      </c>
      <c r="F1429" s="1" t="s">
        <v>238</v>
      </c>
      <c r="G1429" s="10">
        <v>66</v>
      </c>
      <c r="H1429" s="1" t="s">
        <v>78</v>
      </c>
    </row>
    <row r="1430" spans="1:8" ht="15.75" customHeight="1" x14ac:dyDescent="0.3">
      <c r="A1430" s="10">
        <v>11429</v>
      </c>
      <c r="B1430" s="10">
        <v>831</v>
      </c>
      <c r="C1430" s="10">
        <v>2018</v>
      </c>
      <c r="D1430" s="10">
        <v>301</v>
      </c>
      <c r="E1430" s="1" t="s">
        <v>133</v>
      </c>
      <c r="F1430" s="1" t="s">
        <v>274</v>
      </c>
      <c r="G1430" s="10">
        <v>35</v>
      </c>
      <c r="H1430" s="1" t="s">
        <v>42</v>
      </c>
    </row>
    <row r="1431" spans="1:8" ht="15.75" customHeight="1" x14ac:dyDescent="0.3">
      <c r="A1431" s="10">
        <v>11430</v>
      </c>
      <c r="B1431" s="10">
        <v>578</v>
      </c>
      <c r="C1431" s="10">
        <v>2042</v>
      </c>
      <c r="D1431" s="10">
        <v>318</v>
      </c>
      <c r="E1431" s="1" t="s">
        <v>401</v>
      </c>
      <c r="F1431" s="1" t="s">
        <v>316</v>
      </c>
      <c r="G1431" s="10">
        <v>3</v>
      </c>
      <c r="H1431" s="1" t="s">
        <v>39</v>
      </c>
    </row>
    <row r="1432" spans="1:8" ht="15.75" customHeight="1" x14ac:dyDescent="0.3">
      <c r="A1432" s="10">
        <v>11431</v>
      </c>
      <c r="B1432" s="10">
        <v>777</v>
      </c>
      <c r="C1432" s="10">
        <v>2012</v>
      </c>
      <c r="D1432" s="10">
        <v>319</v>
      </c>
      <c r="E1432" s="1" t="s">
        <v>401</v>
      </c>
      <c r="F1432" s="1" t="s">
        <v>291</v>
      </c>
      <c r="G1432" s="10">
        <v>53</v>
      </c>
      <c r="H1432" s="1" t="s">
        <v>78</v>
      </c>
    </row>
    <row r="1433" spans="1:8" ht="15.75" customHeight="1" x14ac:dyDescent="0.3">
      <c r="A1433" s="10">
        <v>11432</v>
      </c>
      <c r="B1433" s="10">
        <v>533</v>
      </c>
      <c r="C1433" s="10">
        <v>2057</v>
      </c>
      <c r="D1433" s="10">
        <v>310</v>
      </c>
      <c r="E1433" s="1" t="s">
        <v>395</v>
      </c>
      <c r="F1433" s="1" t="s">
        <v>44</v>
      </c>
      <c r="G1433" s="10">
        <v>100</v>
      </c>
      <c r="H1433" s="1" t="s">
        <v>78</v>
      </c>
    </row>
    <row r="1434" spans="1:8" ht="15.75" customHeight="1" x14ac:dyDescent="0.3">
      <c r="A1434" s="10">
        <v>11433</v>
      </c>
      <c r="B1434" s="10">
        <v>676</v>
      </c>
      <c r="C1434" s="10">
        <v>2048</v>
      </c>
      <c r="D1434" s="10">
        <v>317</v>
      </c>
      <c r="E1434" s="1" t="s">
        <v>291</v>
      </c>
      <c r="F1434" s="1" t="s">
        <v>60</v>
      </c>
      <c r="G1434" s="10">
        <v>69</v>
      </c>
      <c r="H1434" s="1" t="s">
        <v>39</v>
      </c>
    </row>
    <row r="1435" spans="1:8" ht="15.75" customHeight="1" x14ac:dyDescent="0.3">
      <c r="A1435" s="10">
        <v>11434</v>
      </c>
      <c r="B1435" s="10">
        <v>623</v>
      </c>
      <c r="C1435" s="10">
        <v>2018</v>
      </c>
      <c r="D1435" s="10">
        <v>318</v>
      </c>
      <c r="E1435" s="1" t="s">
        <v>312</v>
      </c>
      <c r="F1435" s="1" t="s">
        <v>319</v>
      </c>
      <c r="G1435" s="10">
        <v>25</v>
      </c>
      <c r="H1435" s="1" t="s">
        <v>78</v>
      </c>
    </row>
    <row r="1436" spans="1:8" ht="15.75" customHeight="1" x14ac:dyDescent="0.3">
      <c r="A1436" s="10">
        <v>11435</v>
      </c>
      <c r="B1436" s="10">
        <v>617</v>
      </c>
      <c r="C1436" s="10">
        <v>2026</v>
      </c>
      <c r="D1436" s="10">
        <v>305</v>
      </c>
      <c r="E1436" s="1" t="s">
        <v>210</v>
      </c>
      <c r="F1436" s="1" t="s">
        <v>41</v>
      </c>
      <c r="G1436" s="10">
        <v>59</v>
      </c>
      <c r="H1436" s="1" t="s">
        <v>42</v>
      </c>
    </row>
    <row r="1437" spans="1:8" ht="15.75" customHeight="1" x14ac:dyDescent="0.3">
      <c r="A1437" s="10">
        <v>11436</v>
      </c>
      <c r="B1437" s="10">
        <v>694</v>
      </c>
      <c r="C1437" s="10">
        <v>2050</v>
      </c>
      <c r="D1437" s="10">
        <v>316</v>
      </c>
      <c r="E1437" s="1" t="s">
        <v>136</v>
      </c>
      <c r="F1437" s="1" t="s">
        <v>264</v>
      </c>
      <c r="G1437" s="10">
        <v>89</v>
      </c>
      <c r="H1437" s="1" t="s">
        <v>78</v>
      </c>
    </row>
    <row r="1438" spans="1:8" ht="15.75" customHeight="1" x14ac:dyDescent="0.3">
      <c r="A1438" s="10">
        <v>11437</v>
      </c>
      <c r="B1438" s="10">
        <v>852</v>
      </c>
      <c r="C1438" s="10">
        <v>2018</v>
      </c>
      <c r="D1438" s="10">
        <v>303</v>
      </c>
      <c r="E1438" s="1" t="s">
        <v>293</v>
      </c>
      <c r="F1438" s="1" t="s">
        <v>98</v>
      </c>
      <c r="G1438" s="10">
        <v>85</v>
      </c>
      <c r="H1438" s="1" t="s">
        <v>36</v>
      </c>
    </row>
    <row r="1439" spans="1:8" ht="15.75" customHeight="1" x14ac:dyDescent="0.3">
      <c r="A1439" s="10">
        <v>11438</v>
      </c>
      <c r="B1439" s="10">
        <v>803</v>
      </c>
      <c r="C1439" s="10">
        <v>2025</v>
      </c>
      <c r="D1439" s="10">
        <v>310</v>
      </c>
      <c r="E1439" s="1" t="s">
        <v>295</v>
      </c>
      <c r="F1439" s="1" t="s">
        <v>304</v>
      </c>
      <c r="G1439" s="10">
        <v>98</v>
      </c>
      <c r="H1439" s="1" t="s">
        <v>42</v>
      </c>
    </row>
    <row r="1440" spans="1:8" ht="15.75" customHeight="1" x14ac:dyDescent="0.3">
      <c r="A1440" s="10">
        <v>11439</v>
      </c>
      <c r="B1440" s="10">
        <v>716</v>
      </c>
      <c r="C1440" s="10">
        <v>2015</v>
      </c>
      <c r="D1440" s="10">
        <v>310</v>
      </c>
      <c r="E1440" s="1" t="s">
        <v>378</v>
      </c>
      <c r="F1440" s="1" t="s">
        <v>84</v>
      </c>
      <c r="G1440" s="10">
        <v>41</v>
      </c>
      <c r="H1440" s="1" t="s">
        <v>36</v>
      </c>
    </row>
    <row r="1441" spans="1:8" ht="15.75" customHeight="1" x14ac:dyDescent="0.3">
      <c r="A1441" s="10">
        <v>11440</v>
      </c>
      <c r="B1441" s="10">
        <v>695</v>
      </c>
      <c r="C1441" s="10">
        <v>2099</v>
      </c>
      <c r="D1441" s="10">
        <v>315</v>
      </c>
      <c r="E1441" s="1" t="s">
        <v>203</v>
      </c>
      <c r="F1441" s="1" t="s">
        <v>55</v>
      </c>
      <c r="G1441" s="10">
        <v>71</v>
      </c>
      <c r="H1441" s="1" t="s">
        <v>42</v>
      </c>
    </row>
    <row r="1442" spans="1:8" ht="15.75" customHeight="1" x14ac:dyDescent="0.3">
      <c r="A1442" s="10">
        <v>11441</v>
      </c>
      <c r="B1442" s="10">
        <v>672</v>
      </c>
      <c r="C1442" s="10">
        <v>2078</v>
      </c>
      <c r="D1442" s="10">
        <v>314</v>
      </c>
      <c r="E1442" s="1" t="s">
        <v>285</v>
      </c>
      <c r="F1442" s="1" t="s">
        <v>402</v>
      </c>
      <c r="G1442" s="10">
        <v>49</v>
      </c>
      <c r="H1442" s="1" t="s">
        <v>42</v>
      </c>
    </row>
    <row r="1443" spans="1:8" ht="15.75" customHeight="1" x14ac:dyDescent="0.3">
      <c r="A1443" s="10">
        <v>11442</v>
      </c>
      <c r="B1443" s="10">
        <v>516</v>
      </c>
      <c r="C1443" s="10">
        <v>2025</v>
      </c>
      <c r="D1443" s="10">
        <v>302</v>
      </c>
      <c r="E1443" s="1" t="s">
        <v>328</v>
      </c>
      <c r="F1443" s="1" t="s">
        <v>266</v>
      </c>
      <c r="G1443" s="10">
        <v>14</v>
      </c>
      <c r="H1443" s="1" t="s">
        <v>78</v>
      </c>
    </row>
    <row r="1444" spans="1:8" ht="15.75" customHeight="1" x14ac:dyDescent="0.3">
      <c r="A1444" s="10">
        <v>11443</v>
      </c>
      <c r="B1444" s="10">
        <v>842</v>
      </c>
      <c r="C1444" s="10">
        <v>2039</v>
      </c>
      <c r="D1444" s="10">
        <v>301</v>
      </c>
      <c r="E1444" s="1" t="s">
        <v>50</v>
      </c>
      <c r="F1444" s="1" t="s">
        <v>411</v>
      </c>
      <c r="G1444" s="10">
        <v>75</v>
      </c>
      <c r="H1444" s="1" t="s">
        <v>42</v>
      </c>
    </row>
    <row r="1445" spans="1:8" ht="15.75" customHeight="1" x14ac:dyDescent="0.3">
      <c r="A1445" s="10">
        <v>11444</v>
      </c>
      <c r="B1445" s="10">
        <v>789</v>
      </c>
      <c r="C1445" s="10">
        <v>2050</v>
      </c>
      <c r="D1445" s="10">
        <v>305</v>
      </c>
      <c r="E1445" s="1" t="s">
        <v>125</v>
      </c>
      <c r="F1445" s="1" t="s">
        <v>64</v>
      </c>
      <c r="G1445" s="10">
        <v>23</v>
      </c>
      <c r="H1445" s="1" t="s">
        <v>42</v>
      </c>
    </row>
    <row r="1446" spans="1:8" ht="15.75" customHeight="1" x14ac:dyDescent="0.3">
      <c r="A1446" s="10">
        <v>11445</v>
      </c>
      <c r="B1446" s="10">
        <v>703</v>
      </c>
      <c r="C1446" s="10">
        <v>2071</v>
      </c>
      <c r="D1446" s="10">
        <v>318</v>
      </c>
      <c r="E1446" s="1" t="s">
        <v>122</v>
      </c>
      <c r="F1446" s="1" t="s">
        <v>357</v>
      </c>
      <c r="G1446" s="10">
        <v>18</v>
      </c>
      <c r="H1446" s="1" t="s">
        <v>36</v>
      </c>
    </row>
    <row r="1447" spans="1:8" ht="15.75" customHeight="1" x14ac:dyDescent="0.3">
      <c r="A1447" s="10">
        <v>11446</v>
      </c>
      <c r="B1447" s="10">
        <v>820</v>
      </c>
      <c r="C1447" s="10">
        <v>2042</v>
      </c>
      <c r="D1447" s="10">
        <v>319</v>
      </c>
      <c r="E1447" s="1" t="s">
        <v>341</v>
      </c>
      <c r="F1447" s="1" t="s">
        <v>121</v>
      </c>
      <c r="G1447" s="10">
        <v>52</v>
      </c>
      <c r="H1447" s="1" t="s">
        <v>78</v>
      </c>
    </row>
    <row r="1448" spans="1:8" ht="15.75" customHeight="1" x14ac:dyDescent="0.3">
      <c r="A1448" s="10">
        <v>11447</v>
      </c>
      <c r="B1448" s="10">
        <v>559</v>
      </c>
      <c r="C1448" s="10">
        <v>2036</v>
      </c>
      <c r="D1448" s="10">
        <v>318</v>
      </c>
      <c r="E1448" s="1" t="s">
        <v>233</v>
      </c>
      <c r="F1448" s="1" t="s">
        <v>106</v>
      </c>
      <c r="G1448" s="10">
        <v>5</v>
      </c>
      <c r="H1448" s="1" t="s">
        <v>42</v>
      </c>
    </row>
    <row r="1449" spans="1:8" ht="15.75" customHeight="1" x14ac:dyDescent="0.3">
      <c r="A1449" s="10">
        <v>11448</v>
      </c>
      <c r="B1449" s="10">
        <v>762</v>
      </c>
      <c r="C1449" s="10">
        <v>2017</v>
      </c>
      <c r="D1449" s="10">
        <v>315</v>
      </c>
      <c r="E1449" s="1" t="s">
        <v>151</v>
      </c>
      <c r="F1449" s="1" t="s">
        <v>75</v>
      </c>
      <c r="G1449" s="10">
        <v>28</v>
      </c>
      <c r="H1449" s="1" t="s">
        <v>39</v>
      </c>
    </row>
    <row r="1450" spans="1:8" ht="15.75" customHeight="1" x14ac:dyDescent="0.3">
      <c r="A1450" s="10">
        <v>11449</v>
      </c>
      <c r="B1450" s="10">
        <v>640</v>
      </c>
      <c r="C1450" s="10">
        <v>2088</v>
      </c>
      <c r="D1450" s="10">
        <v>307</v>
      </c>
      <c r="E1450" s="1" t="s">
        <v>107</v>
      </c>
      <c r="F1450" s="1" t="s">
        <v>218</v>
      </c>
      <c r="G1450" s="10">
        <v>66</v>
      </c>
      <c r="H1450" s="1" t="s">
        <v>36</v>
      </c>
    </row>
    <row r="1451" spans="1:8" ht="15.75" customHeight="1" x14ac:dyDescent="0.3">
      <c r="A1451" s="10">
        <v>11450</v>
      </c>
      <c r="B1451" s="10">
        <v>762</v>
      </c>
      <c r="C1451" s="10">
        <v>2093</v>
      </c>
      <c r="D1451" s="10">
        <v>320</v>
      </c>
      <c r="E1451" s="1" t="s">
        <v>279</v>
      </c>
      <c r="F1451" s="1" t="s">
        <v>313</v>
      </c>
      <c r="G1451" s="10">
        <v>86</v>
      </c>
      <c r="H1451" s="1" t="s">
        <v>42</v>
      </c>
    </row>
    <row r="1452" spans="1:8" ht="15.75" customHeight="1" x14ac:dyDescent="0.3">
      <c r="A1452" s="10">
        <v>11451</v>
      </c>
      <c r="B1452" s="10">
        <v>563</v>
      </c>
      <c r="C1452" s="10">
        <v>2045</v>
      </c>
      <c r="D1452" s="10">
        <v>305</v>
      </c>
      <c r="E1452" s="1" t="s">
        <v>212</v>
      </c>
      <c r="F1452" s="1" t="s">
        <v>313</v>
      </c>
      <c r="G1452" s="10">
        <v>97</v>
      </c>
      <c r="H1452" s="1" t="s">
        <v>42</v>
      </c>
    </row>
    <row r="1453" spans="1:8" ht="15.75" customHeight="1" x14ac:dyDescent="0.3">
      <c r="A1453" s="10">
        <v>11452</v>
      </c>
      <c r="B1453" s="10">
        <v>839</v>
      </c>
      <c r="C1453" s="10">
        <v>2068</v>
      </c>
      <c r="D1453" s="10">
        <v>312</v>
      </c>
      <c r="E1453" s="1" t="s">
        <v>349</v>
      </c>
      <c r="F1453" s="1" t="s">
        <v>146</v>
      </c>
      <c r="G1453" s="10">
        <v>30</v>
      </c>
      <c r="H1453" s="1" t="s">
        <v>42</v>
      </c>
    </row>
    <row r="1454" spans="1:8" ht="15.75" customHeight="1" x14ac:dyDescent="0.3">
      <c r="A1454" s="10">
        <v>11453</v>
      </c>
      <c r="B1454" s="10">
        <v>708</v>
      </c>
      <c r="C1454" s="10">
        <v>2076</v>
      </c>
      <c r="D1454" s="10">
        <v>306</v>
      </c>
      <c r="E1454" s="1" t="s">
        <v>325</v>
      </c>
      <c r="F1454" s="1" t="s">
        <v>115</v>
      </c>
      <c r="G1454" s="10">
        <v>22</v>
      </c>
      <c r="H1454" s="1" t="s">
        <v>78</v>
      </c>
    </row>
    <row r="1455" spans="1:8" ht="15.75" customHeight="1" x14ac:dyDescent="0.3">
      <c r="A1455" s="10">
        <v>11454</v>
      </c>
      <c r="B1455" s="10">
        <v>879</v>
      </c>
      <c r="C1455" s="10">
        <v>2021</v>
      </c>
      <c r="D1455" s="10">
        <v>315</v>
      </c>
      <c r="E1455" s="1" t="s">
        <v>296</v>
      </c>
      <c r="F1455" s="1" t="s">
        <v>284</v>
      </c>
      <c r="G1455" s="10">
        <v>1</v>
      </c>
      <c r="H1455" s="1" t="s">
        <v>39</v>
      </c>
    </row>
    <row r="1456" spans="1:8" ht="15.75" customHeight="1" x14ac:dyDescent="0.3">
      <c r="A1456" s="10">
        <v>11455</v>
      </c>
      <c r="B1456" s="10">
        <v>643</v>
      </c>
      <c r="C1456" s="10">
        <v>2019</v>
      </c>
      <c r="D1456" s="10">
        <v>307</v>
      </c>
      <c r="E1456" s="1" t="s">
        <v>228</v>
      </c>
      <c r="F1456" s="1" t="s">
        <v>260</v>
      </c>
      <c r="G1456" s="10">
        <v>56</v>
      </c>
      <c r="H1456" s="1" t="s">
        <v>36</v>
      </c>
    </row>
    <row r="1457" spans="1:8" ht="15.75" customHeight="1" x14ac:dyDescent="0.3">
      <c r="A1457" s="10">
        <v>11456</v>
      </c>
      <c r="B1457" s="10">
        <v>803</v>
      </c>
      <c r="C1457" s="10">
        <v>2069</v>
      </c>
      <c r="D1457" s="10">
        <v>307</v>
      </c>
      <c r="E1457" s="1" t="s">
        <v>45</v>
      </c>
      <c r="F1457" s="1" t="s">
        <v>337</v>
      </c>
      <c r="G1457" s="10">
        <v>33</v>
      </c>
      <c r="H1457" s="1" t="s">
        <v>36</v>
      </c>
    </row>
    <row r="1458" spans="1:8" ht="15.75" customHeight="1" x14ac:dyDescent="0.3">
      <c r="A1458" s="10">
        <v>11457</v>
      </c>
      <c r="B1458" s="10">
        <v>668</v>
      </c>
      <c r="C1458" s="10">
        <v>2032</v>
      </c>
      <c r="D1458" s="10">
        <v>307</v>
      </c>
      <c r="E1458" s="1" t="s">
        <v>195</v>
      </c>
      <c r="F1458" s="1" t="s">
        <v>98</v>
      </c>
      <c r="G1458" s="10">
        <v>36</v>
      </c>
      <c r="H1458" s="1" t="s">
        <v>78</v>
      </c>
    </row>
    <row r="1459" spans="1:8" ht="15.75" customHeight="1" x14ac:dyDescent="0.3">
      <c r="A1459" s="10">
        <v>11458</v>
      </c>
      <c r="B1459" s="10">
        <v>898</v>
      </c>
      <c r="C1459" s="10">
        <v>2062</v>
      </c>
      <c r="D1459" s="10">
        <v>312</v>
      </c>
      <c r="E1459" s="1" t="s">
        <v>111</v>
      </c>
      <c r="F1459" s="1" t="s">
        <v>192</v>
      </c>
      <c r="G1459" s="10">
        <v>43</v>
      </c>
      <c r="H1459" s="1" t="s">
        <v>78</v>
      </c>
    </row>
    <row r="1460" spans="1:8" ht="15.75" customHeight="1" x14ac:dyDescent="0.3">
      <c r="A1460" s="10">
        <v>11459</v>
      </c>
      <c r="B1460" s="10">
        <v>845</v>
      </c>
      <c r="C1460" s="10">
        <v>2085</v>
      </c>
      <c r="D1460" s="10">
        <v>307</v>
      </c>
      <c r="E1460" s="1" t="s">
        <v>176</v>
      </c>
      <c r="F1460" s="1" t="s">
        <v>110</v>
      </c>
      <c r="G1460" s="10">
        <v>1</v>
      </c>
      <c r="H1460" s="1" t="s">
        <v>39</v>
      </c>
    </row>
    <row r="1461" spans="1:8" ht="15.75" customHeight="1" x14ac:dyDescent="0.3">
      <c r="A1461" s="10">
        <v>11460</v>
      </c>
      <c r="B1461" s="10">
        <v>742</v>
      </c>
      <c r="C1461" s="10">
        <v>2029</v>
      </c>
      <c r="D1461" s="10">
        <v>301</v>
      </c>
      <c r="E1461" s="1" t="s">
        <v>255</v>
      </c>
      <c r="F1461" s="1" t="s">
        <v>295</v>
      </c>
      <c r="G1461" s="10">
        <v>1</v>
      </c>
      <c r="H1461" s="1" t="s">
        <v>36</v>
      </c>
    </row>
    <row r="1462" spans="1:8" ht="15.75" customHeight="1" x14ac:dyDescent="0.3">
      <c r="A1462" s="10">
        <v>11461</v>
      </c>
      <c r="B1462" s="10">
        <v>870</v>
      </c>
      <c r="C1462" s="10">
        <v>2067</v>
      </c>
      <c r="D1462" s="10">
        <v>304</v>
      </c>
      <c r="E1462" s="1" t="s">
        <v>381</v>
      </c>
      <c r="F1462" s="1" t="s">
        <v>52</v>
      </c>
      <c r="G1462" s="10">
        <v>84</v>
      </c>
      <c r="H1462" s="1" t="s">
        <v>78</v>
      </c>
    </row>
    <row r="1463" spans="1:8" ht="15.75" customHeight="1" x14ac:dyDescent="0.3">
      <c r="A1463" s="10">
        <v>11462</v>
      </c>
      <c r="B1463" s="10">
        <v>727</v>
      </c>
      <c r="C1463" s="10">
        <v>2061</v>
      </c>
      <c r="D1463" s="10">
        <v>317</v>
      </c>
      <c r="E1463" s="1" t="s">
        <v>230</v>
      </c>
      <c r="F1463" s="1" t="s">
        <v>306</v>
      </c>
      <c r="G1463" s="10">
        <v>44</v>
      </c>
      <c r="H1463" s="1" t="s">
        <v>39</v>
      </c>
    </row>
    <row r="1464" spans="1:8" ht="15.75" customHeight="1" x14ac:dyDescent="0.3">
      <c r="A1464" s="10">
        <v>11463</v>
      </c>
      <c r="B1464" s="10">
        <v>582</v>
      </c>
      <c r="C1464" s="10">
        <v>2072</v>
      </c>
      <c r="D1464" s="10">
        <v>309</v>
      </c>
      <c r="E1464" s="1" t="s">
        <v>238</v>
      </c>
      <c r="F1464" s="1" t="s">
        <v>134</v>
      </c>
      <c r="G1464" s="10">
        <v>42</v>
      </c>
      <c r="H1464" s="1" t="s">
        <v>78</v>
      </c>
    </row>
    <row r="1465" spans="1:8" ht="15.75" customHeight="1" x14ac:dyDescent="0.3">
      <c r="A1465" s="10">
        <v>11464</v>
      </c>
      <c r="B1465" s="10">
        <v>897</v>
      </c>
      <c r="C1465" s="10">
        <v>2006</v>
      </c>
      <c r="D1465" s="10">
        <v>306</v>
      </c>
      <c r="E1465" s="1" t="s">
        <v>214</v>
      </c>
      <c r="F1465" s="1" t="s">
        <v>375</v>
      </c>
      <c r="G1465" s="10">
        <v>85</v>
      </c>
      <c r="H1465" s="1" t="s">
        <v>39</v>
      </c>
    </row>
    <row r="1466" spans="1:8" ht="15.75" customHeight="1" x14ac:dyDescent="0.3">
      <c r="A1466" s="10">
        <v>11465</v>
      </c>
      <c r="B1466" s="10">
        <v>533</v>
      </c>
      <c r="C1466" s="10">
        <v>2003</v>
      </c>
      <c r="D1466" s="10">
        <v>314</v>
      </c>
      <c r="E1466" s="1" t="s">
        <v>134</v>
      </c>
      <c r="F1466" s="1" t="s">
        <v>83</v>
      </c>
      <c r="G1466" s="10">
        <v>100</v>
      </c>
      <c r="H1466" s="1" t="s">
        <v>78</v>
      </c>
    </row>
    <row r="1467" spans="1:8" ht="15.75" customHeight="1" x14ac:dyDescent="0.3">
      <c r="A1467" s="10">
        <v>11466</v>
      </c>
      <c r="B1467" s="10">
        <v>584</v>
      </c>
      <c r="C1467" s="10">
        <v>2013</v>
      </c>
      <c r="D1467" s="10">
        <v>320</v>
      </c>
      <c r="E1467" s="1" t="s">
        <v>174</v>
      </c>
      <c r="F1467" s="1" t="s">
        <v>117</v>
      </c>
      <c r="G1467" s="10">
        <v>52</v>
      </c>
      <c r="H1467" s="1" t="s">
        <v>36</v>
      </c>
    </row>
    <row r="1468" spans="1:8" ht="15.75" customHeight="1" x14ac:dyDescent="0.3">
      <c r="A1468" s="10">
        <v>11467</v>
      </c>
      <c r="B1468" s="10">
        <v>532</v>
      </c>
      <c r="C1468" s="10">
        <v>2011</v>
      </c>
      <c r="D1468" s="10">
        <v>314</v>
      </c>
      <c r="E1468" s="1" t="s">
        <v>47</v>
      </c>
      <c r="F1468" s="1" t="s">
        <v>316</v>
      </c>
      <c r="G1468" s="10">
        <v>19</v>
      </c>
      <c r="H1468" s="1" t="s">
        <v>42</v>
      </c>
    </row>
    <row r="1469" spans="1:8" ht="15.75" customHeight="1" x14ac:dyDescent="0.3">
      <c r="A1469" s="10">
        <v>11468</v>
      </c>
      <c r="B1469" s="10">
        <v>679</v>
      </c>
      <c r="C1469" s="10">
        <v>2079</v>
      </c>
      <c r="D1469" s="10">
        <v>301</v>
      </c>
      <c r="E1469" s="1" t="s">
        <v>54</v>
      </c>
      <c r="F1469" s="1" t="s">
        <v>91</v>
      </c>
      <c r="G1469" s="10">
        <v>95</v>
      </c>
      <c r="H1469" s="1" t="s">
        <v>78</v>
      </c>
    </row>
    <row r="1470" spans="1:8" ht="15.75" customHeight="1" x14ac:dyDescent="0.3">
      <c r="A1470" s="10">
        <v>11469</v>
      </c>
      <c r="B1470" s="10">
        <v>859</v>
      </c>
      <c r="C1470" s="10">
        <v>2048</v>
      </c>
      <c r="D1470" s="10">
        <v>307</v>
      </c>
      <c r="E1470" s="1" t="s">
        <v>134</v>
      </c>
      <c r="F1470" s="1" t="s">
        <v>274</v>
      </c>
      <c r="G1470" s="10">
        <v>11</v>
      </c>
      <c r="H1470" s="1" t="s">
        <v>42</v>
      </c>
    </row>
    <row r="1471" spans="1:8" ht="15.75" customHeight="1" x14ac:dyDescent="0.3">
      <c r="A1471" s="10">
        <v>11470</v>
      </c>
      <c r="B1471" s="10">
        <v>811</v>
      </c>
      <c r="C1471" s="10">
        <v>2028</v>
      </c>
      <c r="D1471" s="10">
        <v>301</v>
      </c>
      <c r="E1471" s="1" t="s">
        <v>340</v>
      </c>
      <c r="F1471" s="1" t="s">
        <v>322</v>
      </c>
      <c r="G1471" s="10">
        <v>23</v>
      </c>
      <c r="H1471" s="1" t="s">
        <v>39</v>
      </c>
    </row>
    <row r="1472" spans="1:8" ht="15.75" customHeight="1" x14ac:dyDescent="0.3">
      <c r="A1472" s="10">
        <v>11471</v>
      </c>
      <c r="B1472" s="10">
        <v>880</v>
      </c>
      <c r="C1472" s="10">
        <v>2055</v>
      </c>
      <c r="D1472" s="10">
        <v>308</v>
      </c>
      <c r="E1472" s="1" t="s">
        <v>275</v>
      </c>
      <c r="F1472" s="1" t="s">
        <v>372</v>
      </c>
      <c r="G1472" s="10">
        <v>19</v>
      </c>
      <c r="H1472" s="1" t="s">
        <v>36</v>
      </c>
    </row>
    <row r="1473" spans="1:8" ht="15.75" customHeight="1" x14ac:dyDescent="0.3">
      <c r="A1473" s="10">
        <v>11472</v>
      </c>
      <c r="B1473" s="10">
        <v>615</v>
      </c>
      <c r="C1473" s="10">
        <v>2068</v>
      </c>
      <c r="D1473" s="10">
        <v>312</v>
      </c>
      <c r="E1473" s="1" t="s">
        <v>83</v>
      </c>
      <c r="F1473" s="1" t="s">
        <v>274</v>
      </c>
      <c r="G1473" s="10">
        <v>73</v>
      </c>
      <c r="H1473" s="1" t="s">
        <v>36</v>
      </c>
    </row>
    <row r="1474" spans="1:8" ht="15.75" customHeight="1" x14ac:dyDescent="0.3">
      <c r="A1474" s="10">
        <v>11473</v>
      </c>
      <c r="B1474" s="10">
        <v>637</v>
      </c>
      <c r="C1474" s="10">
        <v>2011</v>
      </c>
      <c r="D1474" s="10">
        <v>308</v>
      </c>
      <c r="E1474" s="1" t="s">
        <v>247</v>
      </c>
      <c r="F1474" s="1" t="s">
        <v>312</v>
      </c>
      <c r="G1474" s="10">
        <v>66</v>
      </c>
      <c r="H1474" s="1" t="s">
        <v>42</v>
      </c>
    </row>
    <row r="1475" spans="1:8" ht="15.75" customHeight="1" x14ac:dyDescent="0.3">
      <c r="A1475" s="10">
        <v>11474</v>
      </c>
      <c r="B1475" s="10">
        <v>598</v>
      </c>
      <c r="C1475" s="10">
        <v>2021</v>
      </c>
      <c r="D1475" s="10">
        <v>317</v>
      </c>
      <c r="E1475" s="1" t="s">
        <v>287</v>
      </c>
      <c r="F1475" s="1" t="s">
        <v>49</v>
      </c>
      <c r="G1475" s="10">
        <v>12</v>
      </c>
      <c r="H1475" s="1" t="s">
        <v>36</v>
      </c>
    </row>
    <row r="1476" spans="1:8" ht="15.75" customHeight="1" x14ac:dyDescent="0.3">
      <c r="A1476" s="10">
        <v>11475</v>
      </c>
      <c r="B1476" s="10">
        <v>571</v>
      </c>
      <c r="C1476" s="10">
        <v>2097</v>
      </c>
      <c r="D1476" s="10">
        <v>302</v>
      </c>
      <c r="E1476" s="1" t="s">
        <v>107</v>
      </c>
      <c r="F1476" s="1" t="s">
        <v>68</v>
      </c>
      <c r="G1476" s="10">
        <v>97</v>
      </c>
      <c r="H1476" s="1" t="s">
        <v>36</v>
      </c>
    </row>
    <row r="1477" spans="1:8" ht="15.75" customHeight="1" x14ac:dyDescent="0.3">
      <c r="A1477" s="10">
        <v>11476</v>
      </c>
      <c r="B1477" s="10">
        <v>681</v>
      </c>
      <c r="C1477" s="10">
        <v>2044</v>
      </c>
      <c r="D1477" s="10">
        <v>309</v>
      </c>
      <c r="E1477" s="1" t="s">
        <v>55</v>
      </c>
      <c r="F1477" s="1" t="s">
        <v>295</v>
      </c>
      <c r="G1477" s="10">
        <v>29</v>
      </c>
      <c r="H1477" s="1" t="s">
        <v>36</v>
      </c>
    </row>
    <row r="1478" spans="1:8" ht="15.75" customHeight="1" x14ac:dyDescent="0.3">
      <c r="A1478" s="10">
        <v>11477</v>
      </c>
      <c r="B1478" s="10">
        <v>646</v>
      </c>
      <c r="C1478" s="10">
        <v>2084</v>
      </c>
      <c r="D1478" s="10">
        <v>314</v>
      </c>
      <c r="E1478" s="1" t="s">
        <v>72</v>
      </c>
      <c r="F1478" s="1" t="s">
        <v>244</v>
      </c>
      <c r="G1478" s="10">
        <v>2</v>
      </c>
      <c r="H1478" s="1" t="s">
        <v>42</v>
      </c>
    </row>
    <row r="1479" spans="1:8" ht="15.75" customHeight="1" x14ac:dyDescent="0.3">
      <c r="A1479" s="10">
        <v>11478</v>
      </c>
      <c r="B1479" s="10">
        <v>639</v>
      </c>
      <c r="C1479" s="10">
        <v>2057</v>
      </c>
      <c r="D1479" s="10">
        <v>320</v>
      </c>
      <c r="E1479" s="1" t="s">
        <v>264</v>
      </c>
      <c r="F1479" s="1" t="s">
        <v>38</v>
      </c>
      <c r="G1479" s="10">
        <v>15</v>
      </c>
      <c r="H1479" s="1" t="s">
        <v>78</v>
      </c>
    </row>
    <row r="1480" spans="1:8" ht="15.75" customHeight="1" x14ac:dyDescent="0.3">
      <c r="A1480" s="10">
        <v>11479</v>
      </c>
      <c r="B1480" s="10">
        <v>778</v>
      </c>
      <c r="C1480" s="10">
        <v>2096</v>
      </c>
      <c r="D1480" s="10">
        <v>302</v>
      </c>
      <c r="E1480" s="1" t="s">
        <v>174</v>
      </c>
      <c r="F1480" s="1" t="s">
        <v>64</v>
      </c>
      <c r="G1480" s="10">
        <v>29</v>
      </c>
      <c r="H1480" s="1" t="s">
        <v>42</v>
      </c>
    </row>
    <row r="1481" spans="1:8" ht="15.75" customHeight="1" x14ac:dyDescent="0.3">
      <c r="A1481" s="10">
        <v>11480</v>
      </c>
      <c r="B1481" s="10">
        <v>756</v>
      </c>
      <c r="C1481" s="10">
        <v>2006</v>
      </c>
      <c r="D1481" s="10">
        <v>308</v>
      </c>
      <c r="E1481" s="1" t="s">
        <v>384</v>
      </c>
      <c r="F1481" s="1" t="s">
        <v>171</v>
      </c>
      <c r="G1481" s="10">
        <v>46</v>
      </c>
      <c r="H1481" s="1" t="s">
        <v>36</v>
      </c>
    </row>
    <row r="1482" spans="1:8" ht="15.75" customHeight="1" x14ac:dyDescent="0.3">
      <c r="A1482" s="10">
        <v>11481</v>
      </c>
      <c r="B1482" s="10">
        <v>694</v>
      </c>
      <c r="C1482" s="10">
        <v>2024</v>
      </c>
      <c r="D1482" s="10">
        <v>311</v>
      </c>
      <c r="E1482" s="1" t="s">
        <v>237</v>
      </c>
      <c r="F1482" s="1" t="s">
        <v>69</v>
      </c>
      <c r="G1482" s="10">
        <v>11</v>
      </c>
      <c r="H1482" s="1" t="s">
        <v>36</v>
      </c>
    </row>
    <row r="1483" spans="1:8" ht="15.75" customHeight="1" x14ac:dyDescent="0.3">
      <c r="A1483" s="10">
        <v>11482</v>
      </c>
      <c r="B1483" s="10">
        <v>656</v>
      </c>
      <c r="C1483" s="10">
        <v>2028</v>
      </c>
      <c r="D1483" s="10">
        <v>304</v>
      </c>
      <c r="E1483" s="1" t="s">
        <v>196</v>
      </c>
      <c r="F1483" s="1" t="s">
        <v>124</v>
      </c>
      <c r="G1483" s="10">
        <v>28</v>
      </c>
      <c r="H1483" s="1" t="s">
        <v>36</v>
      </c>
    </row>
    <row r="1484" spans="1:8" ht="15.75" customHeight="1" x14ac:dyDescent="0.3">
      <c r="A1484" s="10">
        <v>11483</v>
      </c>
      <c r="B1484" s="10">
        <v>877</v>
      </c>
      <c r="C1484" s="10">
        <v>2069</v>
      </c>
      <c r="D1484" s="10">
        <v>307</v>
      </c>
      <c r="E1484" s="1" t="s">
        <v>324</v>
      </c>
      <c r="F1484" s="1" t="s">
        <v>112</v>
      </c>
      <c r="G1484" s="10">
        <v>49</v>
      </c>
      <c r="H1484" s="1" t="s">
        <v>78</v>
      </c>
    </row>
    <row r="1485" spans="1:8" ht="15.75" customHeight="1" x14ac:dyDescent="0.3">
      <c r="A1485" s="10">
        <v>11484</v>
      </c>
      <c r="B1485" s="10">
        <v>503</v>
      </c>
      <c r="C1485" s="10">
        <v>2029</v>
      </c>
      <c r="D1485" s="10">
        <v>306</v>
      </c>
      <c r="E1485" s="1" t="s">
        <v>342</v>
      </c>
      <c r="F1485" s="1" t="s">
        <v>162</v>
      </c>
      <c r="G1485" s="10">
        <v>9</v>
      </c>
      <c r="H1485" s="1" t="s">
        <v>39</v>
      </c>
    </row>
    <row r="1486" spans="1:8" ht="15.75" customHeight="1" x14ac:dyDescent="0.3">
      <c r="A1486" s="10">
        <v>11485</v>
      </c>
      <c r="B1486" s="10">
        <v>537</v>
      </c>
      <c r="C1486" s="10">
        <v>2044</v>
      </c>
      <c r="D1486" s="10">
        <v>314</v>
      </c>
      <c r="E1486" s="1" t="s">
        <v>214</v>
      </c>
      <c r="F1486" s="1" t="s">
        <v>93</v>
      </c>
      <c r="G1486" s="10">
        <v>86</v>
      </c>
      <c r="H1486" s="1" t="s">
        <v>42</v>
      </c>
    </row>
    <row r="1487" spans="1:8" ht="15.75" customHeight="1" x14ac:dyDescent="0.3">
      <c r="A1487" s="10">
        <v>11486</v>
      </c>
      <c r="B1487" s="10">
        <v>569</v>
      </c>
      <c r="C1487" s="10">
        <v>2038</v>
      </c>
      <c r="D1487" s="10">
        <v>317</v>
      </c>
      <c r="E1487" s="1" t="s">
        <v>133</v>
      </c>
      <c r="F1487" s="1" t="s">
        <v>132</v>
      </c>
      <c r="G1487" s="10">
        <v>66</v>
      </c>
      <c r="H1487" s="1" t="s">
        <v>36</v>
      </c>
    </row>
    <row r="1488" spans="1:8" ht="15.75" customHeight="1" x14ac:dyDescent="0.3">
      <c r="A1488" s="10">
        <v>11487</v>
      </c>
      <c r="B1488" s="10">
        <v>862</v>
      </c>
      <c r="C1488" s="10">
        <v>2010</v>
      </c>
      <c r="D1488" s="10">
        <v>316</v>
      </c>
      <c r="E1488" s="1" t="s">
        <v>194</v>
      </c>
      <c r="F1488" s="1" t="s">
        <v>57</v>
      </c>
      <c r="G1488" s="10">
        <v>65</v>
      </c>
      <c r="H1488" s="1" t="s">
        <v>36</v>
      </c>
    </row>
    <row r="1489" spans="1:8" ht="15.75" customHeight="1" x14ac:dyDescent="0.3">
      <c r="A1489" s="10">
        <v>11488</v>
      </c>
      <c r="B1489" s="10">
        <v>665</v>
      </c>
      <c r="C1489" s="10">
        <v>2048</v>
      </c>
      <c r="D1489" s="10">
        <v>301</v>
      </c>
      <c r="E1489" s="1" t="s">
        <v>165</v>
      </c>
      <c r="F1489" s="1" t="s">
        <v>166</v>
      </c>
      <c r="G1489" s="10">
        <v>81</v>
      </c>
      <c r="H1489" s="1" t="s">
        <v>78</v>
      </c>
    </row>
    <row r="1490" spans="1:8" ht="15.75" customHeight="1" x14ac:dyDescent="0.3">
      <c r="A1490" s="10">
        <v>11489</v>
      </c>
      <c r="B1490" s="10">
        <v>637</v>
      </c>
      <c r="C1490" s="10">
        <v>2061</v>
      </c>
      <c r="D1490" s="10">
        <v>312</v>
      </c>
      <c r="E1490" s="1" t="s">
        <v>194</v>
      </c>
      <c r="F1490" s="1" t="s">
        <v>305</v>
      </c>
      <c r="G1490" s="10">
        <v>8</v>
      </c>
      <c r="H1490" s="1" t="s">
        <v>36</v>
      </c>
    </row>
    <row r="1491" spans="1:8" ht="15.75" customHeight="1" x14ac:dyDescent="0.3">
      <c r="A1491" s="10">
        <v>11490</v>
      </c>
      <c r="B1491" s="10">
        <v>670</v>
      </c>
      <c r="C1491" s="10">
        <v>2041</v>
      </c>
      <c r="D1491" s="10">
        <v>315</v>
      </c>
      <c r="E1491" s="1" t="s">
        <v>266</v>
      </c>
      <c r="F1491" s="1" t="s">
        <v>278</v>
      </c>
      <c r="G1491" s="10">
        <v>53</v>
      </c>
      <c r="H1491" s="1" t="s">
        <v>78</v>
      </c>
    </row>
    <row r="1492" spans="1:8" ht="15.75" customHeight="1" x14ac:dyDescent="0.3">
      <c r="A1492" s="10">
        <v>11491</v>
      </c>
      <c r="B1492" s="10">
        <v>513</v>
      </c>
      <c r="C1492" s="10">
        <v>2014</v>
      </c>
      <c r="D1492" s="10">
        <v>312</v>
      </c>
      <c r="E1492" s="1" t="s">
        <v>54</v>
      </c>
      <c r="F1492" s="1" t="s">
        <v>91</v>
      </c>
      <c r="G1492" s="10">
        <v>71</v>
      </c>
      <c r="H1492" s="1" t="s">
        <v>36</v>
      </c>
    </row>
    <row r="1493" spans="1:8" ht="15.75" customHeight="1" x14ac:dyDescent="0.3">
      <c r="A1493" s="10">
        <v>11492</v>
      </c>
      <c r="B1493" s="10">
        <v>714</v>
      </c>
      <c r="C1493" s="10">
        <v>2034</v>
      </c>
      <c r="D1493" s="10">
        <v>318</v>
      </c>
      <c r="E1493" s="1" t="s">
        <v>69</v>
      </c>
      <c r="F1493" s="1" t="s">
        <v>289</v>
      </c>
      <c r="G1493" s="10">
        <v>96</v>
      </c>
      <c r="H1493" s="1" t="s">
        <v>39</v>
      </c>
    </row>
    <row r="1494" spans="1:8" ht="15.75" customHeight="1" x14ac:dyDescent="0.3">
      <c r="A1494" s="10">
        <v>11493</v>
      </c>
      <c r="B1494" s="10">
        <v>723</v>
      </c>
      <c r="C1494" s="10">
        <v>2021</v>
      </c>
      <c r="D1494" s="10">
        <v>313</v>
      </c>
      <c r="E1494" s="1" t="s">
        <v>355</v>
      </c>
      <c r="F1494" s="1" t="s">
        <v>259</v>
      </c>
      <c r="G1494" s="10">
        <v>89</v>
      </c>
      <c r="H1494" s="1" t="s">
        <v>42</v>
      </c>
    </row>
    <row r="1495" spans="1:8" ht="15.75" customHeight="1" x14ac:dyDescent="0.3">
      <c r="A1495" s="10">
        <v>11494</v>
      </c>
      <c r="B1495" s="10">
        <v>837</v>
      </c>
      <c r="C1495" s="10">
        <v>2036</v>
      </c>
      <c r="D1495" s="10">
        <v>315</v>
      </c>
      <c r="E1495" s="1" t="s">
        <v>132</v>
      </c>
      <c r="F1495" s="1" t="s">
        <v>157</v>
      </c>
      <c r="G1495" s="10">
        <v>90</v>
      </c>
      <c r="H1495" s="1" t="s">
        <v>42</v>
      </c>
    </row>
    <row r="1496" spans="1:8" ht="15.75" customHeight="1" x14ac:dyDescent="0.3">
      <c r="A1496" s="10">
        <v>11495</v>
      </c>
      <c r="B1496" s="10">
        <v>689</v>
      </c>
      <c r="C1496" s="10">
        <v>2012</v>
      </c>
      <c r="D1496" s="10">
        <v>315</v>
      </c>
      <c r="E1496" s="1" t="s">
        <v>186</v>
      </c>
      <c r="F1496" s="1" t="s">
        <v>154</v>
      </c>
      <c r="G1496" s="10">
        <v>72</v>
      </c>
      <c r="H1496" s="1" t="s">
        <v>42</v>
      </c>
    </row>
    <row r="1497" spans="1:8" ht="15.75" customHeight="1" x14ac:dyDescent="0.3">
      <c r="A1497" s="10">
        <v>11496</v>
      </c>
      <c r="B1497" s="10">
        <v>853</v>
      </c>
      <c r="C1497" s="10">
        <v>2022</v>
      </c>
      <c r="D1497" s="10">
        <v>302</v>
      </c>
      <c r="E1497" s="1" t="s">
        <v>270</v>
      </c>
      <c r="F1497" s="1" t="s">
        <v>162</v>
      </c>
      <c r="G1497" s="10">
        <v>48</v>
      </c>
      <c r="H1497" s="1" t="s">
        <v>36</v>
      </c>
    </row>
    <row r="1498" spans="1:8" ht="15.75" customHeight="1" x14ac:dyDescent="0.3">
      <c r="A1498" s="10">
        <v>11497</v>
      </c>
      <c r="B1498" s="10">
        <v>695</v>
      </c>
      <c r="C1498" s="10">
        <v>2017</v>
      </c>
      <c r="D1498" s="10">
        <v>301</v>
      </c>
      <c r="E1498" s="1" t="s">
        <v>171</v>
      </c>
      <c r="F1498" s="1" t="s">
        <v>144</v>
      </c>
      <c r="G1498" s="10">
        <v>8</v>
      </c>
      <c r="H1498" s="1" t="s">
        <v>36</v>
      </c>
    </row>
    <row r="1499" spans="1:8" ht="15.75" customHeight="1" x14ac:dyDescent="0.3">
      <c r="A1499" s="10">
        <v>11498</v>
      </c>
      <c r="B1499" s="10">
        <v>781</v>
      </c>
      <c r="C1499" s="10">
        <v>2018</v>
      </c>
      <c r="D1499" s="10">
        <v>305</v>
      </c>
      <c r="E1499" s="1" t="s">
        <v>137</v>
      </c>
      <c r="F1499" s="1" t="s">
        <v>120</v>
      </c>
      <c r="G1499" s="10">
        <v>70</v>
      </c>
      <c r="H1499" s="1" t="s">
        <v>78</v>
      </c>
    </row>
    <row r="1500" spans="1:8" ht="15.75" customHeight="1" x14ac:dyDescent="0.3">
      <c r="A1500" s="10">
        <v>11499</v>
      </c>
      <c r="B1500" s="10">
        <v>841</v>
      </c>
      <c r="C1500" s="10">
        <v>2050</v>
      </c>
      <c r="D1500" s="10">
        <v>311</v>
      </c>
      <c r="E1500" s="1" t="s">
        <v>304</v>
      </c>
      <c r="F1500" s="1" t="s">
        <v>378</v>
      </c>
      <c r="G1500" s="10">
        <v>23</v>
      </c>
      <c r="H1500" s="1" t="s">
        <v>42</v>
      </c>
    </row>
    <row r="1501" spans="1:8" ht="15.75" customHeight="1" x14ac:dyDescent="0.3">
      <c r="A1501" s="10">
        <v>11500</v>
      </c>
      <c r="B1501" s="10">
        <v>885</v>
      </c>
      <c r="C1501" s="10">
        <v>2004</v>
      </c>
      <c r="D1501" s="10">
        <v>303</v>
      </c>
      <c r="E1501" s="1" t="s">
        <v>365</v>
      </c>
      <c r="F1501" s="1" t="s">
        <v>222</v>
      </c>
      <c r="G1501" s="10">
        <v>75</v>
      </c>
      <c r="H1501" s="1" t="s">
        <v>78</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47AE-32CF-4F69-B817-D8B90398E78D}">
  <dimension ref="A1:D101"/>
  <sheetViews>
    <sheetView workbookViewId="0">
      <selection activeCell="G21" sqref="G21"/>
    </sheetView>
  </sheetViews>
  <sheetFormatPr defaultRowHeight="14.4" x14ac:dyDescent="0.3"/>
  <cols>
    <col min="1" max="1" width="12.6640625" style="2" bestFit="1" customWidth="1"/>
    <col min="2" max="2" width="10.77734375" bestFit="1" customWidth="1"/>
    <col min="3" max="3" width="13.77734375" style="2" bestFit="1" customWidth="1"/>
    <col min="4" max="4" width="14.44140625" style="2" bestFit="1" customWidth="1"/>
  </cols>
  <sheetData>
    <row r="1" spans="1:4" x14ac:dyDescent="0.3">
      <c r="A1" s="2" t="s">
        <v>0</v>
      </c>
      <c r="B1" t="s">
        <v>3</v>
      </c>
      <c r="C1" s="2" t="s">
        <v>5</v>
      </c>
      <c r="D1" s="2" t="s">
        <v>7</v>
      </c>
    </row>
    <row r="2" spans="1:4" x14ac:dyDescent="0.3">
      <c r="A2" s="2">
        <v>2001</v>
      </c>
      <c r="B2" t="s">
        <v>9</v>
      </c>
      <c r="C2" s="2">
        <v>49.85</v>
      </c>
      <c r="D2" s="2">
        <v>471.41</v>
      </c>
    </row>
    <row r="3" spans="1:4" x14ac:dyDescent="0.3">
      <c r="A3" s="2">
        <v>2002</v>
      </c>
      <c r="B3" t="s">
        <v>13</v>
      </c>
      <c r="C3" s="2">
        <v>30.78</v>
      </c>
      <c r="D3" s="2">
        <v>646.99</v>
      </c>
    </row>
    <row r="4" spans="1:4" x14ac:dyDescent="0.3">
      <c r="A4" s="2">
        <v>2003</v>
      </c>
      <c r="B4" t="s">
        <v>13</v>
      </c>
      <c r="C4" s="2">
        <v>39.74</v>
      </c>
      <c r="D4" s="2">
        <v>864.17</v>
      </c>
    </row>
    <row r="5" spans="1:4" x14ac:dyDescent="0.3">
      <c r="A5" s="2">
        <v>2004</v>
      </c>
      <c r="B5" t="s">
        <v>9</v>
      </c>
      <c r="C5" s="2">
        <v>4.34</v>
      </c>
      <c r="D5" s="2">
        <v>52.14</v>
      </c>
    </row>
    <row r="6" spans="1:4" x14ac:dyDescent="0.3">
      <c r="A6" s="2">
        <v>2007</v>
      </c>
      <c r="B6" t="s">
        <v>21</v>
      </c>
      <c r="C6" s="2">
        <v>48.07</v>
      </c>
      <c r="D6" s="2">
        <v>759.78</v>
      </c>
    </row>
    <row r="7" spans="1:4" x14ac:dyDescent="0.3">
      <c r="A7" s="2">
        <v>2006</v>
      </c>
      <c r="B7" t="s">
        <v>22</v>
      </c>
      <c r="C7" s="2">
        <v>41.47</v>
      </c>
      <c r="D7" s="2">
        <v>541.85</v>
      </c>
    </row>
    <row r="8" spans="1:4" x14ac:dyDescent="0.3">
      <c r="A8" s="2">
        <v>2090</v>
      </c>
      <c r="B8" t="s">
        <v>22</v>
      </c>
      <c r="C8" s="2">
        <v>38.729999999999997</v>
      </c>
      <c r="D8" s="2">
        <v>913.68</v>
      </c>
    </row>
    <row r="9" spans="1:4" x14ac:dyDescent="0.3">
      <c r="A9" s="2">
        <v>2045</v>
      </c>
      <c r="B9" t="s">
        <v>9</v>
      </c>
      <c r="C9" s="2">
        <v>41.3</v>
      </c>
      <c r="D9" s="2">
        <v>652.61</v>
      </c>
    </row>
    <row r="10" spans="1:4" x14ac:dyDescent="0.3">
      <c r="A10" s="2">
        <v>2068</v>
      </c>
      <c r="B10" t="s">
        <v>27</v>
      </c>
      <c r="C10" s="2">
        <v>47.08</v>
      </c>
      <c r="D10" s="2">
        <v>501.03</v>
      </c>
    </row>
    <row r="11" spans="1:4" x14ac:dyDescent="0.3">
      <c r="A11" s="2">
        <v>2010</v>
      </c>
      <c r="B11" t="s">
        <v>13</v>
      </c>
      <c r="C11" s="2">
        <v>9.58</v>
      </c>
      <c r="D11" s="2">
        <v>440.93</v>
      </c>
    </row>
    <row r="12" spans="1:4" x14ac:dyDescent="0.3">
      <c r="A12" s="2">
        <v>2011</v>
      </c>
      <c r="B12" t="s">
        <v>21</v>
      </c>
      <c r="C12" s="2">
        <v>12.75</v>
      </c>
      <c r="D12" s="2">
        <v>987.99</v>
      </c>
    </row>
    <row r="13" spans="1:4" x14ac:dyDescent="0.3">
      <c r="A13" s="2">
        <v>2012</v>
      </c>
      <c r="B13" t="s">
        <v>21</v>
      </c>
      <c r="C13" s="2">
        <v>34.93</v>
      </c>
      <c r="D13" s="2">
        <v>327.92</v>
      </c>
    </row>
    <row r="14" spans="1:4" x14ac:dyDescent="0.3">
      <c r="A14" s="2">
        <v>2013</v>
      </c>
      <c r="B14" t="s">
        <v>13</v>
      </c>
      <c r="C14" s="2">
        <v>19.53</v>
      </c>
      <c r="D14" s="2">
        <v>563.69000000000005</v>
      </c>
    </row>
    <row r="15" spans="1:4" x14ac:dyDescent="0.3">
      <c r="A15" s="2">
        <v>2014</v>
      </c>
      <c r="B15" t="s">
        <v>27</v>
      </c>
      <c r="C15" s="2">
        <v>12.2</v>
      </c>
      <c r="D15" s="2">
        <v>652.53</v>
      </c>
    </row>
    <row r="16" spans="1:4" x14ac:dyDescent="0.3">
      <c r="A16" s="2">
        <v>2015</v>
      </c>
      <c r="B16" t="s">
        <v>13</v>
      </c>
      <c r="C16" s="2">
        <v>35.520000000000003</v>
      </c>
      <c r="D16" s="2">
        <v>638.11</v>
      </c>
    </row>
    <row r="17" spans="1:4" x14ac:dyDescent="0.3">
      <c r="A17" s="2">
        <v>2016</v>
      </c>
      <c r="B17" t="s">
        <v>13</v>
      </c>
      <c r="C17" s="2">
        <v>12.52</v>
      </c>
      <c r="D17" s="2">
        <v>709.8</v>
      </c>
    </row>
    <row r="18" spans="1:4" x14ac:dyDescent="0.3">
      <c r="A18" s="2">
        <v>2017</v>
      </c>
      <c r="B18" t="s">
        <v>22</v>
      </c>
      <c r="C18" s="2">
        <v>38.24</v>
      </c>
      <c r="D18" s="2">
        <v>788.08</v>
      </c>
    </row>
    <row r="19" spans="1:4" x14ac:dyDescent="0.3">
      <c r="A19" s="2">
        <v>2018</v>
      </c>
      <c r="B19" t="s">
        <v>21</v>
      </c>
      <c r="C19" s="2">
        <v>16.739999999999998</v>
      </c>
      <c r="D19" s="2">
        <v>103.05</v>
      </c>
    </row>
    <row r="20" spans="1:4" x14ac:dyDescent="0.3">
      <c r="A20" s="2">
        <v>2019</v>
      </c>
      <c r="B20" t="s">
        <v>22</v>
      </c>
      <c r="C20" s="2">
        <v>27.65</v>
      </c>
      <c r="D20" s="2">
        <v>89.85</v>
      </c>
    </row>
    <row r="21" spans="1:4" x14ac:dyDescent="0.3">
      <c r="A21" s="2">
        <v>2020</v>
      </c>
      <c r="B21" t="s">
        <v>27</v>
      </c>
      <c r="C21" s="2">
        <v>35.94</v>
      </c>
      <c r="D21" s="2">
        <v>44.04</v>
      </c>
    </row>
    <row r="22" spans="1:4" x14ac:dyDescent="0.3">
      <c r="A22" s="2">
        <v>2021</v>
      </c>
      <c r="B22" t="s">
        <v>9</v>
      </c>
      <c r="C22" s="2">
        <v>18.77</v>
      </c>
      <c r="D22" s="2">
        <v>259.72000000000003</v>
      </c>
    </row>
    <row r="23" spans="1:4" x14ac:dyDescent="0.3">
      <c r="A23" s="2">
        <v>2022</v>
      </c>
      <c r="B23" t="s">
        <v>13</v>
      </c>
      <c r="C23" s="2">
        <v>47.91</v>
      </c>
      <c r="D23" s="2">
        <v>756.92</v>
      </c>
    </row>
    <row r="24" spans="1:4" x14ac:dyDescent="0.3">
      <c r="A24" s="2">
        <v>2023</v>
      </c>
      <c r="B24" t="s">
        <v>13</v>
      </c>
      <c r="C24" s="2">
        <v>39.520000000000003</v>
      </c>
      <c r="D24" s="2">
        <v>618.29999999999995</v>
      </c>
    </row>
    <row r="25" spans="1:4" x14ac:dyDescent="0.3">
      <c r="A25" s="2">
        <v>2044</v>
      </c>
      <c r="B25" t="s">
        <v>21</v>
      </c>
      <c r="C25" s="2">
        <v>11.44</v>
      </c>
      <c r="D25" s="2">
        <v>939.99</v>
      </c>
    </row>
    <row r="26" spans="1:4" x14ac:dyDescent="0.3">
      <c r="A26" s="2">
        <v>2025</v>
      </c>
      <c r="B26" t="s">
        <v>13</v>
      </c>
      <c r="C26" s="2">
        <v>3.39</v>
      </c>
      <c r="D26" s="2">
        <v>303.87</v>
      </c>
    </row>
    <row r="27" spans="1:4" x14ac:dyDescent="0.3">
      <c r="A27" s="2">
        <v>2026</v>
      </c>
      <c r="B27" t="s">
        <v>22</v>
      </c>
      <c r="C27" s="2">
        <v>23.02</v>
      </c>
      <c r="D27" s="2">
        <v>858.57</v>
      </c>
    </row>
    <row r="28" spans="1:4" x14ac:dyDescent="0.3">
      <c r="A28" s="2">
        <v>2027</v>
      </c>
      <c r="B28" t="s">
        <v>13</v>
      </c>
      <c r="C28" s="2">
        <v>45.95</v>
      </c>
      <c r="D28" s="2">
        <v>454.58</v>
      </c>
    </row>
    <row r="29" spans="1:4" x14ac:dyDescent="0.3">
      <c r="A29" s="2">
        <v>2028</v>
      </c>
      <c r="B29" t="s">
        <v>13</v>
      </c>
      <c r="C29" s="2">
        <v>30.34</v>
      </c>
      <c r="D29" s="2">
        <v>630.65</v>
      </c>
    </row>
    <row r="30" spans="1:4" x14ac:dyDescent="0.3">
      <c r="A30" s="2">
        <v>2029</v>
      </c>
      <c r="B30" t="s">
        <v>21</v>
      </c>
      <c r="C30" s="2">
        <v>9.19</v>
      </c>
      <c r="D30" s="2">
        <v>357.06</v>
      </c>
    </row>
    <row r="31" spans="1:4" x14ac:dyDescent="0.3">
      <c r="A31" s="2">
        <v>2030</v>
      </c>
      <c r="B31" t="s">
        <v>13</v>
      </c>
      <c r="C31" s="2">
        <v>27.52</v>
      </c>
      <c r="D31" s="2">
        <v>537.03</v>
      </c>
    </row>
    <row r="32" spans="1:4" x14ac:dyDescent="0.3">
      <c r="A32" s="2">
        <v>2031</v>
      </c>
      <c r="B32" t="s">
        <v>27</v>
      </c>
      <c r="C32" s="2">
        <v>24.61</v>
      </c>
      <c r="D32" s="2">
        <v>342.86</v>
      </c>
    </row>
    <row r="33" spans="1:4" x14ac:dyDescent="0.3">
      <c r="A33" s="2">
        <v>2032</v>
      </c>
      <c r="B33" t="s">
        <v>9</v>
      </c>
      <c r="C33" s="2">
        <v>3.81</v>
      </c>
      <c r="D33" s="2">
        <v>682.41</v>
      </c>
    </row>
    <row r="34" spans="1:4" x14ac:dyDescent="0.3">
      <c r="A34" s="2">
        <v>2089</v>
      </c>
      <c r="B34" t="s">
        <v>22</v>
      </c>
      <c r="C34" s="2">
        <v>19.170000000000002</v>
      </c>
      <c r="D34" s="2">
        <v>513.33000000000004</v>
      </c>
    </row>
    <row r="35" spans="1:4" x14ac:dyDescent="0.3">
      <c r="A35" s="2">
        <v>2034</v>
      </c>
      <c r="B35" t="s">
        <v>27</v>
      </c>
      <c r="C35" s="2">
        <v>26.17</v>
      </c>
      <c r="D35" s="2">
        <v>540.23</v>
      </c>
    </row>
    <row r="36" spans="1:4" x14ac:dyDescent="0.3">
      <c r="A36" s="2">
        <v>2035</v>
      </c>
      <c r="B36" t="s">
        <v>27</v>
      </c>
      <c r="C36" s="2">
        <v>18.55</v>
      </c>
      <c r="D36" s="2">
        <v>636.37</v>
      </c>
    </row>
    <row r="37" spans="1:4" x14ac:dyDescent="0.3">
      <c r="A37" s="2">
        <v>2036</v>
      </c>
      <c r="B37" t="s">
        <v>22</v>
      </c>
      <c r="C37" s="2">
        <v>39.39</v>
      </c>
      <c r="D37" s="2">
        <v>745.86</v>
      </c>
    </row>
    <row r="38" spans="1:4" x14ac:dyDescent="0.3">
      <c r="A38" s="2">
        <v>2037</v>
      </c>
      <c r="B38" t="s">
        <v>21</v>
      </c>
      <c r="C38" s="2">
        <v>29.23</v>
      </c>
      <c r="D38" s="2">
        <v>491.44</v>
      </c>
    </row>
    <row r="39" spans="1:4" x14ac:dyDescent="0.3">
      <c r="A39" s="2">
        <v>2038</v>
      </c>
      <c r="B39" t="s">
        <v>27</v>
      </c>
      <c r="C39" s="2">
        <v>26.62</v>
      </c>
      <c r="D39" s="2">
        <v>680</v>
      </c>
    </row>
    <row r="40" spans="1:4" x14ac:dyDescent="0.3">
      <c r="A40" s="2">
        <v>2039</v>
      </c>
      <c r="B40" t="s">
        <v>27</v>
      </c>
      <c r="C40" s="2">
        <v>2.69</v>
      </c>
      <c r="D40" s="2">
        <v>350.51</v>
      </c>
    </row>
    <row r="41" spans="1:4" x14ac:dyDescent="0.3">
      <c r="A41" s="2">
        <v>2040</v>
      </c>
      <c r="B41" t="s">
        <v>27</v>
      </c>
      <c r="C41" s="2">
        <v>3.71</v>
      </c>
      <c r="D41" s="2">
        <v>27.53</v>
      </c>
    </row>
    <row r="42" spans="1:4" x14ac:dyDescent="0.3">
      <c r="A42" s="2">
        <v>2041</v>
      </c>
      <c r="B42" t="s">
        <v>22</v>
      </c>
      <c r="C42" s="2">
        <v>48.2</v>
      </c>
      <c r="D42" s="2">
        <v>792.77</v>
      </c>
    </row>
    <row r="43" spans="1:4" x14ac:dyDescent="0.3">
      <c r="A43" s="2">
        <v>2042</v>
      </c>
      <c r="B43" t="s">
        <v>27</v>
      </c>
      <c r="C43" s="2">
        <v>46.87</v>
      </c>
      <c r="D43" s="2">
        <v>313.88</v>
      </c>
    </row>
    <row r="44" spans="1:4" x14ac:dyDescent="0.3">
      <c r="A44" s="2">
        <v>2043</v>
      </c>
      <c r="B44" t="s">
        <v>27</v>
      </c>
      <c r="C44" s="2">
        <v>14.98</v>
      </c>
      <c r="D44" s="2">
        <v>375.85</v>
      </c>
    </row>
    <row r="45" spans="1:4" x14ac:dyDescent="0.3">
      <c r="A45" s="2">
        <v>2076</v>
      </c>
      <c r="B45" t="s">
        <v>13</v>
      </c>
      <c r="C45" s="2">
        <v>14.63</v>
      </c>
      <c r="D45" s="2">
        <v>638.11</v>
      </c>
    </row>
    <row r="46" spans="1:4" x14ac:dyDescent="0.3">
      <c r="A46" s="2">
        <v>2005</v>
      </c>
      <c r="B46" t="s">
        <v>9</v>
      </c>
      <c r="C46" s="2">
        <v>13.6</v>
      </c>
      <c r="D46" s="2">
        <v>606.04999999999995</v>
      </c>
    </row>
    <row r="47" spans="1:4" x14ac:dyDescent="0.3">
      <c r="A47" s="2">
        <v>2046</v>
      </c>
      <c r="B47" t="s">
        <v>27</v>
      </c>
      <c r="C47" s="2">
        <v>38.130000000000003</v>
      </c>
      <c r="D47" s="2">
        <v>649.34</v>
      </c>
    </row>
    <row r="48" spans="1:4" x14ac:dyDescent="0.3">
      <c r="A48" s="2">
        <v>2047</v>
      </c>
      <c r="B48" t="s">
        <v>27</v>
      </c>
      <c r="C48" s="2">
        <v>31.72</v>
      </c>
      <c r="D48" s="2">
        <v>210.46</v>
      </c>
    </row>
    <row r="49" spans="1:4" x14ac:dyDescent="0.3">
      <c r="A49" s="2">
        <v>2048</v>
      </c>
      <c r="B49" t="s">
        <v>22</v>
      </c>
      <c r="C49" s="2">
        <v>6.74</v>
      </c>
      <c r="D49" s="2">
        <v>864.57</v>
      </c>
    </row>
    <row r="50" spans="1:4" x14ac:dyDescent="0.3">
      <c r="A50" s="2">
        <v>2049</v>
      </c>
      <c r="B50" t="s">
        <v>27</v>
      </c>
      <c r="C50" s="2">
        <v>17.52</v>
      </c>
      <c r="D50" s="2">
        <v>832.77</v>
      </c>
    </row>
    <row r="51" spans="1:4" x14ac:dyDescent="0.3">
      <c r="A51" s="2">
        <v>2050</v>
      </c>
      <c r="B51" t="s">
        <v>21</v>
      </c>
      <c r="C51" s="2">
        <v>36.43</v>
      </c>
      <c r="D51" s="2">
        <v>507.16</v>
      </c>
    </row>
    <row r="52" spans="1:4" x14ac:dyDescent="0.3">
      <c r="A52" s="2">
        <v>2051</v>
      </c>
      <c r="B52" t="s">
        <v>9</v>
      </c>
      <c r="C52" s="2">
        <v>47.82</v>
      </c>
      <c r="D52" s="2">
        <v>376.19</v>
      </c>
    </row>
    <row r="53" spans="1:4" x14ac:dyDescent="0.3">
      <c r="A53" s="2">
        <v>2052</v>
      </c>
      <c r="B53" t="s">
        <v>27</v>
      </c>
      <c r="C53" s="2">
        <v>47.35</v>
      </c>
      <c r="D53" s="2">
        <v>665.2</v>
      </c>
    </row>
    <row r="54" spans="1:4" x14ac:dyDescent="0.3">
      <c r="A54" s="2">
        <v>2053</v>
      </c>
      <c r="B54" t="s">
        <v>22</v>
      </c>
      <c r="C54" s="2">
        <v>34.54</v>
      </c>
      <c r="D54" s="2">
        <v>162.21</v>
      </c>
    </row>
    <row r="55" spans="1:4" x14ac:dyDescent="0.3">
      <c r="A55" s="2">
        <v>2054</v>
      </c>
      <c r="B55" t="s">
        <v>9</v>
      </c>
      <c r="C55" s="2">
        <v>5.63</v>
      </c>
      <c r="D55" s="2">
        <v>304.22000000000003</v>
      </c>
    </row>
    <row r="56" spans="1:4" x14ac:dyDescent="0.3">
      <c r="A56" s="2">
        <v>2055</v>
      </c>
      <c r="B56" t="s">
        <v>27</v>
      </c>
      <c r="C56" s="2">
        <v>26.24</v>
      </c>
      <c r="D56" s="2">
        <v>312.67</v>
      </c>
    </row>
    <row r="57" spans="1:4" x14ac:dyDescent="0.3">
      <c r="A57" s="2">
        <v>2056</v>
      </c>
      <c r="B57" t="s">
        <v>9</v>
      </c>
      <c r="C57" s="2">
        <v>18.559999999999999</v>
      </c>
      <c r="D57" s="2">
        <v>564.01</v>
      </c>
    </row>
    <row r="58" spans="1:4" x14ac:dyDescent="0.3">
      <c r="A58" s="2">
        <v>2057</v>
      </c>
      <c r="B58" t="s">
        <v>22</v>
      </c>
      <c r="C58" s="2">
        <v>34.299999999999997</v>
      </c>
      <c r="D58" s="2">
        <v>40.43</v>
      </c>
    </row>
    <row r="59" spans="1:4" x14ac:dyDescent="0.3">
      <c r="A59" s="2">
        <v>2058</v>
      </c>
      <c r="B59" t="s">
        <v>27</v>
      </c>
      <c r="C59" s="2">
        <v>28.48</v>
      </c>
      <c r="D59" s="2">
        <v>13.34</v>
      </c>
    </row>
    <row r="60" spans="1:4" x14ac:dyDescent="0.3">
      <c r="A60" s="2">
        <v>2059</v>
      </c>
      <c r="B60" t="s">
        <v>9</v>
      </c>
      <c r="C60" s="2">
        <v>17.760000000000002</v>
      </c>
      <c r="D60" s="2">
        <v>279.55</v>
      </c>
    </row>
    <row r="61" spans="1:4" x14ac:dyDescent="0.3">
      <c r="A61" s="2">
        <v>2060</v>
      </c>
      <c r="B61" t="s">
        <v>21</v>
      </c>
      <c r="C61" s="2">
        <v>3.65</v>
      </c>
      <c r="D61" s="2">
        <v>173.1</v>
      </c>
    </row>
    <row r="62" spans="1:4" x14ac:dyDescent="0.3">
      <c r="A62" s="2">
        <v>2061</v>
      </c>
      <c r="B62" t="s">
        <v>13</v>
      </c>
      <c r="C62" s="2">
        <v>46.64</v>
      </c>
      <c r="D62" s="2">
        <v>620.16999999999996</v>
      </c>
    </row>
    <row r="63" spans="1:4" x14ac:dyDescent="0.3">
      <c r="A63" s="2">
        <v>2062</v>
      </c>
      <c r="B63" t="s">
        <v>9</v>
      </c>
      <c r="C63" s="2">
        <v>32.479999999999997</v>
      </c>
      <c r="D63" s="2">
        <v>409.49</v>
      </c>
    </row>
    <row r="64" spans="1:4" x14ac:dyDescent="0.3">
      <c r="A64" s="2">
        <v>2063</v>
      </c>
      <c r="B64" t="s">
        <v>9</v>
      </c>
      <c r="C64" s="2">
        <v>13.23</v>
      </c>
      <c r="D64" s="2">
        <v>151.69999999999999</v>
      </c>
    </row>
    <row r="65" spans="1:4" x14ac:dyDescent="0.3">
      <c r="A65" s="2">
        <v>2064</v>
      </c>
      <c r="B65" t="s">
        <v>21</v>
      </c>
      <c r="C65" s="2">
        <v>15.41</v>
      </c>
      <c r="D65" s="2">
        <v>203.79</v>
      </c>
    </row>
    <row r="66" spans="1:4" x14ac:dyDescent="0.3">
      <c r="A66" s="2">
        <v>2065</v>
      </c>
      <c r="B66" t="s">
        <v>13</v>
      </c>
      <c r="C66" s="2">
        <v>26.94</v>
      </c>
      <c r="D66" s="2">
        <v>155.15</v>
      </c>
    </row>
    <row r="67" spans="1:4" x14ac:dyDescent="0.3">
      <c r="A67" s="2">
        <v>2066</v>
      </c>
      <c r="B67" t="s">
        <v>9</v>
      </c>
      <c r="C67" s="2">
        <v>43.64</v>
      </c>
      <c r="D67" s="2">
        <v>832.31</v>
      </c>
    </row>
    <row r="68" spans="1:4" x14ac:dyDescent="0.3">
      <c r="A68" s="2">
        <v>2067</v>
      </c>
      <c r="B68" t="s">
        <v>9</v>
      </c>
      <c r="C68" s="2">
        <v>24.79</v>
      </c>
      <c r="D68" s="2">
        <v>48.68</v>
      </c>
    </row>
    <row r="69" spans="1:4" x14ac:dyDescent="0.3">
      <c r="A69" s="2">
        <v>2008</v>
      </c>
      <c r="B69" t="s">
        <v>21</v>
      </c>
      <c r="C69" s="2">
        <v>8.5</v>
      </c>
      <c r="D69" s="2">
        <v>899.21</v>
      </c>
    </row>
    <row r="70" spans="1:4" x14ac:dyDescent="0.3">
      <c r="A70" s="2">
        <v>2069</v>
      </c>
      <c r="B70" t="s">
        <v>22</v>
      </c>
      <c r="C70" s="2">
        <v>2.94</v>
      </c>
      <c r="D70" s="2">
        <v>494.92</v>
      </c>
    </row>
    <row r="71" spans="1:4" x14ac:dyDescent="0.3">
      <c r="A71" s="2">
        <v>2070</v>
      </c>
      <c r="B71" t="s">
        <v>22</v>
      </c>
      <c r="C71" s="2">
        <v>22.6</v>
      </c>
      <c r="D71" s="2">
        <v>196.67</v>
      </c>
    </row>
    <row r="72" spans="1:4" x14ac:dyDescent="0.3">
      <c r="A72" s="2">
        <v>2071</v>
      </c>
      <c r="B72" t="s">
        <v>27</v>
      </c>
      <c r="C72" s="2">
        <v>47.19</v>
      </c>
      <c r="D72" s="2">
        <v>711.14</v>
      </c>
    </row>
    <row r="73" spans="1:4" x14ac:dyDescent="0.3">
      <c r="A73" s="2">
        <v>2072</v>
      </c>
      <c r="B73" t="s">
        <v>9</v>
      </c>
      <c r="C73" s="2">
        <v>26.22</v>
      </c>
      <c r="D73" s="2">
        <v>576.57000000000005</v>
      </c>
    </row>
    <row r="74" spans="1:4" x14ac:dyDescent="0.3">
      <c r="A74" s="2">
        <v>2073</v>
      </c>
      <c r="B74" t="s">
        <v>9</v>
      </c>
      <c r="C74" s="2">
        <v>11.78</v>
      </c>
      <c r="D74" s="2">
        <v>416.74</v>
      </c>
    </row>
    <row r="75" spans="1:4" x14ac:dyDescent="0.3">
      <c r="A75" s="2">
        <v>2074</v>
      </c>
      <c r="B75" t="s">
        <v>13</v>
      </c>
      <c r="C75" s="2">
        <v>41.45</v>
      </c>
      <c r="D75" s="2">
        <v>650.42999999999995</v>
      </c>
    </row>
    <row r="76" spans="1:4" x14ac:dyDescent="0.3">
      <c r="A76" s="2">
        <v>2075</v>
      </c>
      <c r="B76" t="s">
        <v>27</v>
      </c>
      <c r="C76" s="2">
        <v>16.57</v>
      </c>
      <c r="D76" s="2">
        <v>429.9</v>
      </c>
    </row>
    <row r="77" spans="1:4" x14ac:dyDescent="0.3">
      <c r="A77" s="2">
        <v>2009</v>
      </c>
      <c r="B77" t="s">
        <v>21</v>
      </c>
      <c r="C77" s="2">
        <v>16.82</v>
      </c>
      <c r="D77" s="2">
        <v>376.01</v>
      </c>
    </row>
    <row r="78" spans="1:4" x14ac:dyDescent="0.3">
      <c r="A78" s="2">
        <v>2077</v>
      </c>
      <c r="B78" t="s">
        <v>9</v>
      </c>
      <c r="C78" s="2">
        <v>28.18</v>
      </c>
      <c r="D78" s="2">
        <v>857.59</v>
      </c>
    </row>
    <row r="79" spans="1:4" x14ac:dyDescent="0.3">
      <c r="A79" s="2">
        <v>2078</v>
      </c>
      <c r="B79" t="s">
        <v>21</v>
      </c>
      <c r="C79" s="2">
        <v>14.85</v>
      </c>
      <c r="D79" s="2">
        <v>517.03</v>
      </c>
    </row>
    <row r="80" spans="1:4" x14ac:dyDescent="0.3">
      <c r="A80" s="2">
        <v>2079</v>
      </c>
      <c r="B80" t="s">
        <v>22</v>
      </c>
      <c r="C80" s="2">
        <v>12.3</v>
      </c>
      <c r="D80" s="2">
        <v>99.7</v>
      </c>
    </row>
    <row r="81" spans="1:4" x14ac:dyDescent="0.3">
      <c r="A81" s="2">
        <v>2080</v>
      </c>
      <c r="B81" t="s">
        <v>9</v>
      </c>
      <c r="C81" s="2">
        <v>29.56</v>
      </c>
      <c r="D81" s="2">
        <v>143.84</v>
      </c>
    </row>
    <row r="82" spans="1:4" x14ac:dyDescent="0.3">
      <c r="A82" s="2">
        <v>2081</v>
      </c>
      <c r="B82" t="s">
        <v>21</v>
      </c>
      <c r="C82" s="2">
        <v>20.72</v>
      </c>
      <c r="D82" s="2">
        <v>668.31</v>
      </c>
    </row>
    <row r="83" spans="1:4" x14ac:dyDescent="0.3">
      <c r="A83" s="2">
        <v>2082</v>
      </c>
      <c r="B83" t="s">
        <v>22</v>
      </c>
      <c r="C83" s="2">
        <v>41.79</v>
      </c>
      <c r="D83" s="2">
        <v>352.17</v>
      </c>
    </row>
    <row r="84" spans="1:4" x14ac:dyDescent="0.3">
      <c r="A84" s="2">
        <v>2083</v>
      </c>
      <c r="B84" t="s">
        <v>22</v>
      </c>
      <c r="C84" s="2">
        <v>13.79</v>
      </c>
      <c r="D84" s="2">
        <v>843.82</v>
      </c>
    </row>
    <row r="85" spans="1:4" x14ac:dyDescent="0.3">
      <c r="A85" s="2">
        <v>2084</v>
      </c>
      <c r="B85" t="s">
        <v>21</v>
      </c>
      <c r="C85" s="2">
        <v>14.27</v>
      </c>
      <c r="D85" s="2">
        <v>223.58</v>
      </c>
    </row>
    <row r="86" spans="1:4" x14ac:dyDescent="0.3">
      <c r="A86" s="2">
        <v>2085</v>
      </c>
      <c r="B86" t="s">
        <v>22</v>
      </c>
      <c r="C86" s="2">
        <v>47.56</v>
      </c>
      <c r="D86" s="2">
        <v>131.63</v>
      </c>
    </row>
    <row r="87" spans="1:4" x14ac:dyDescent="0.3">
      <c r="A87" s="2">
        <v>2086</v>
      </c>
      <c r="B87" t="s">
        <v>27</v>
      </c>
      <c r="C87" s="2">
        <v>27.73</v>
      </c>
      <c r="D87" s="2">
        <v>417.42</v>
      </c>
    </row>
    <row r="88" spans="1:4" x14ac:dyDescent="0.3">
      <c r="A88" s="2">
        <v>2087</v>
      </c>
      <c r="B88" t="s">
        <v>9</v>
      </c>
      <c r="C88" s="2">
        <v>35.82</v>
      </c>
      <c r="D88" s="2">
        <v>47.38</v>
      </c>
    </row>
    <row r="89" spans="1:4" x14ac:dyDescent="0.3">
      <c r="A89" s="2">
        <v>2088</v>
      </c>
      <c r="B89" t="s">
        <v>13</v>
      </c>
      <c r="C89" s="2">
        <v>27.71</v>
      </c>
      <c r="D89" s="2">
        <v>820.21</v>
      </c>
    </row>
    <row r="90" spans="1:4" x14ac:dyDescent="0.3">
      <c r="A90" s="2">
        <v>2024</v>
      </c>
      <c r="B90" t="s">
        <v>13</v>
      </c>
      <c r="C90" s="2">
        <v>21.16</v>
      </c>
      <c r="D90" s="2">
        <v>291.08</v>
      </c>
    </row>
    <row r="91" spans="1:4" x14ac:dyDescent="0.3">
      <c r="A91" s="2">
        <v>2033</v>
      </c>
      <c r="B91" t="s">
        <v>22</v>
      </c>
      <c r="C91" s="2">
        <v>8.33</v>
      </c>
      <c r="D91" s="2">
        <v>629.69000000000005</v>
      </c>
    </row>
    <row r="92" spans="1:4" x14ac:dyDescent="0.3">
      <c r="A92" s="2">
        <v>2091</v>
      </c>
      <c r="B92" t="s">
        <v>21</v>
      </c>
      <c r="C92" s="2">
        <v>10.41</v>
      </c>
      <c r="D92" s="2">
        <v>271.61</v>
      </c>
    </row>
    <row r="93" spans="1:4" x14ac:dyDescent="0.3">
      <c r="A93" s="2">
        <v>2092</v>
      </c>
      <c r="B93" t="s">
        <v>22</v>
      </c>
      <c r="C93" s="2">
        <v>30.97</v>
      </c>
      <c r="D93" s="2">
        <v>521.23</v>
      </c>
    </row>
    <row r="94" spans="1:4" x14ac:dyDescent="0.3">
      <c r="A94" s="2">
        <v>2093</v>
      </c>
      <c r="B94" t="s">
        <v>9</v>
      </c>
      <c r="C94" s="2">
        <v>25.73</v>
      </c>
      <c r="D94" s="2">
        <v>537.69000000000005</v>
      </c>
    </row>
    <row r="95" spans="1:4" x14ac:dyDescent="0.3">
      <c r="A95" s="2">
        <v>2094</v>
      </c>
      <c r="B95" t="s">
        <v>27</v>
      </c>
      <c r="C95" s="2">
        <v>22.56</v>
      </c>
      <c r="D95" s="2">
        <v>393.53</v>
      </c>
    </row>
    <row r="96" spans="1:4" x14ac:dyDescent="0.3">
      <c r="A96" s="2">
        <v>2095</v>
      </c>
      <c r="B96" t="s">
        <v>13</v>
      </c>
      <c r="C96" s="2">
        <v>38.81</v>
      </c>
      <c r="D96" s="2">
        <v>761.63</v>
      </c>
    </row>
    <row r="97" spans="1:4" x14ac:dyDescent="0.3">
      <c r="A97" s="2">
        <v>2096</v>
      </c>
      <c r="B97" t="s">
        <v>22</v>
      </c>
      <c r="C97" s="2">
        <v>20.04</v>
      </c>
      <c r="D97" s="2">
        <v>70.19</v>
      </c>
    </row>
    <row r="98" spans="1:4" x14ac:dyDescent="0.3">
      <c r="A98" s="2">
        <v>2097</v>
      </c>
      <c r="B98" t="s">
        <v>27</v>
      </c>
      <c r="C98" s="2">
        <v>30.63</v>
      </c>
      <c r="D98" s="2">
        <v>828.74</v>
      </c>
    </row>
    <row r="99" spans="1:4" x14ac:dyDescent="0.3">
      <c r="A99" s="2">
        <v>2098</v>
      </c>
      <c r="B99" t="s">
        <v>13</v>
      </c>
      <c r="C99" s="2">
        <v>25.35</v>
      </c>
      <c r="D99" s="2">
        <v>571.58000000000004</v>
      </c>
    </row>
    <row r="100" spans="1:4" x14ac:dyDescent="0.3">
      <c r="A100" s="2">
        <v>2099</v>
      </c>
      <c r="B100" t="s">
        <v>21</v>
      </c>
      <c r="C100" s="2">
        <v>31.62</v>
      </c>
      <c r="D100" s="2">
        <v>652.77</v>
      </c>
    </row>
    <row r="101" spans="1:4" x14ac:dyDescent="0.3">
      <c r="A101" s="2">
        <v>2100</v>
      </c>
      <c r="B101" t="s">
        <v>27</v>
      </c>
      <c r="C101" s="2">
        <v>2.2799999999999998</v>
      </c>
      <c r="D101" s="2">
        <v>813.8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0FC56-3DF9-4A51-A8D0-618587A83669}">
  <dimension ref="A1:D21"/>
  <sheetViews>
    <sheetView workbookViewId="0">
      <selection activeCell="D28" sqref="D28"/>
    </sheetView>
  </sheetViews>
  <sheetFormatPr defaultRowHeight="14.4" x14ac:dyDescent="0.3"/>
  <cols>
    <col min="1" max="1" width="15.6640625" bestFit="1" customWidth="1"/>
    <col min="2" max="2" width="10.6640625" bestFit="1" customWidth="1"/>
    <col min="3" max="3" width="7.44140625" bestFit="1" customWidth="1"/>
    <col min="4" max="4" width="16.77734375" bestFit="1" customWidth="1"/>
  </cols>
  <sheetData>
    <row r="1" spans="1:4" x14ac:dyDescent="0.3">
      <c r="A1" t="s">
        <v>1</v>
      </c>
      <c r="B1" t="s">
        <v>2</v>
      </c>
      <c r="C1" t="s">
        <v>4</v>
      </c>
      <c r="D1" t="s">
        <v>6</v>
      </c>
    </row>
    <row r="2" spans="1:4" x14ac:dyDescent="0.3">
      <c r="A2">
        <v>301</v>
      </c>
      <c r="B2" t="s">
        <v>8</v>
      </c>
      <c r="C2" t="s">
        <v>10</v>
      </c>
      <c r="D2" t="s">
        <v>11</v>
      </c>
    </row>
    <row r="3" spans="1:4" x14ac:dyDescent="0.3">
      <c r="A3">
        <v>302</v>
      </c>
      <c r="B3" t="s">
        <v>12</v>
      </c>
      <c r="C3" t="s">
        <v>14</v>
      </c>
      <c r="D3" t="s">
        <v>11</v>
      </c>
    </row>
    <row r="4" spans="1:4" x14ac:dyDescent="0.3">
      <c r="A4">
        <v>303</v>
      </c>
      <c r="B4" t="s">
        <v>15</v>
      </c>
      <c r="C4" t="s">
        <v>10</v>
      </c>
      <c r="D4" t="s">
        <v>16</v>
      </c>
    </row>
    <row r="5" spans="1:4" x14ac:dyDescent="0.3">
      <c r="A5">
        <v>304</v>
      </c>
      <c r="B5" t="s">
        <v>17</v>
      </c>
      <c r="C5" t="s">
        <v>18</v>
      </c>
      <c r="D5" t="s">
        <v>19</v>
      </c>
    </row>
    <row r="6" spans="1:4" x14ac:dyDescent="0.3">
      <c r="A6">
        <v>305</v>
      </c>
      <c r="B6" t="s">
        <v>20</v>
      </c>
      <c r="C6" t="s">
        <v>10</v>
      </c>
      <c r="D6" t="s">
        <v>19</v>
      </c>
    </row>
    <row r="7" spans="1:4" x14ac:dyDescent="0.3">
      <c r="A7">
        <v>306</v>
      </c>
      <c r="B7" t="s">
        <v>8</v>
      </c>
      <c r="C7" t="s">
        <v>10</v>
      </c>
      <c r="D7" t="s">
        <v>16</v>
      </c>
    </row>
    <row r="8" spans="1:4" x14ac:dyDescent="0.3">
      <c r="A8">
        <v>307</v>
      </c>
      <c r="B8" t="s">
        <v>17</v>
      </c>
      <c r="C8" t="s">
        <v>10</v>
      </c>
      <c r="D8" t="s">
        <v>11</v>
      </c>
    </row>
    <row r="9" spans="1:4" x14ac:dyDescent="0.3">
      <c r="A9">
        <v>308</v>
      </c>
      <c r="B9" t="s">
        <v>23</v>
      </c>
      <c r="C9" t="s">
        <v>14</v>
      </c>
      <c r="D9" t="s">
        <v>19</v>
      </c>
    </row>
    <row r="10" spans="1:4" x14ac:dyDescent="0.3">
      <c r="A10">
        <v>309</v>
      </c>
      <c r="B10" t="s">
        <v>24</v>
      </c>
      <c r="C10" t="s">
        <v>25</v>
      </c>
      <c r="D10" t="s">
        <v>16</v>
      </c>
    </row>
    <row r="11" spans="1:4" x14ac:dyDescent="0.3">
      <c r="A11">
        <v>310</v>
      </c>
      <c r="B11" t="s">
        <v>26</v>
      </c>
      <c r="C11" t="s">
        <v>25</v>
      </c>
      <c r="D11" t="s">
        <v>11</v>
      </c>
    </row>
    <row r="12" spans="1:4" x14ac:dyDescent="0.3">
      <c r="A12">
        <v>311</v>
      </c>
      <c r="B12" t="s">
        <v>26</v>
      </c>
      <c r="C12" t="s">
        <v>10</v>
      </c>
      <c r="D12" t="s">
        <v>11</v>
      </c>
    </row>
    <row r="13" spans="1:4" x14ac:dyDescent="0.3">
      <c r="A13">
        <v>312</v>
      </c>
      <c r="B13" t="s">
        <v>15</v>
      </c>
      <c r="C13" t="s">
        <v>10</v>
      </c>
      <c r="D13" t="s">
        <v>11</v>
      </c>
    </row>
    <row r="14" spans="1:4" x14ac:dyDescent="0.3">
      <c r="A14">
        <v>313</v>
      </c>
      <c r="B14" t="s">
        <v>15</v>
      </c>
      <c r="C14" t="s">
        <v>25</v>
      </c>
      <c r="D14" t="s">
        <v>16</v>
      </c>
    </row>
    <row r="15" spans="1:4" x14ac:dyDescent="0.3">
      <c r="A15">
        <v>314</v>
      </c>
      <c r="B15" t="s">
        <v>17</v>
      </c>
      <c r="C15" t="s">
        <v>14</v>
      </c>
      <c r="D15" t="s">
        <v>19</v>
      </c>
    </row>
    <row r="16" spans="1:4" x14ac:dyDescent="0.3">
      <c r="A16">
        <v>315</v>
      </c>
      <c r="B16" t="s">
        <v>15</v>
      </c>
      <c r="C16" t="s">
        <v>25</v>
      </c>
      <c r="D16" t="s">
        <v>19</v>
      </c>
    </row>
    <row r="17" spans="1:4" x14ac:dyDescent="0.3">
      <c r="A17">
        <v>316</v>
      </c>
      <c r="B17" t="s">
        <v>24</v>
      </c>
      <c r="C17" t="s">
        <v>25</v>
      </c>
      <c r="D17" t="s">
        <v>19</v>
      </c>
    </row>
    <row r="18" spans="1:4" x14ac:dyDescent="0.3">
      <c r="A18">
        <v>317</v>
      </c>
      <c r="B18" t="s">
        <v>20</v>
      </c>
      <c r="C18" t="s">
        <v>25</v>
      </c>
      <c r="D18" t="s">
        <v>19</v>
      </c>
    </row>
    <row r="19" spans="1:4" x14ac:dyDescent="0.3">
      <c r="A19">
        <v>318</v>
      </c>
      <c r="B19" t="s">
        <v>17</v>
      </c>
      <c r="C19" t="s">
        <v>10</v>
      </c>
      <c r="D19" t="s">
        <v>19</v>
      </c>
    </row>
    <row r="20" spans="1:4" x14ac:dyDescent="0.3">
      <c r="A20">
        <v>319</v>
      </c>
      <c r="B20" t="s">
        <v>20</v>
      </c>
      <c r="C20" t="s">
        <v>18</v>
      </c>
      <c r="D20" t="s">
        <v>11</v>
      </c>
    </row>
    <row r="21" spans="1:4" x14ac:dyDescent="0.3">
      <c r="A21">
        <v>320</v>
      </c>
      <c r="B21" t="s">
        <v>15</v>
      </c>
      <c r="C21" t="s">
        <v>25</v>
      </c>
      <c r="D21" t="s">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8347-843A-461F-94E8-407D59F6464B}">
  <dimension ref="A1:P1501"/>
  <sheetViews>
    <sheetView topLeftCell="A2" workbookViewId="0"/>
  </sheetViews>
  <sheetFormatPr defaultRowHeight="14.4" x14ac:dyDescent="0.3"/>
  <cols>
    <col min="1" max="1" width="10.77734375" style="2" bestFit="1" customWidth="1"/>
    <col min="2" max="2" width="14.109375" style="2" bestFit="1" customWidth="1"/>
    <col min="3" max="3" width="12.6640625" style="2" bestFit="1" customWidth="1"/>
    <col min="4" max="4" width="15.6640625" style="2" bestFit="1" customWidth="1"/>
    <col min="5" max="5" width="12.88671875" style="2" bestFit="1" customWidth="1"/>
    <col min="6" max="6" width="11.77734375" style="2" bestFit="1" customWidth="1"/>
    <col min="7" max="7" width="11.77734375" style="2" customWidth="1"/>
    <col min="8" max="8" width="10.5546875" style="2" bestFit="1" customWidth="1"/>
    <col min="10" max="10" width="14.77734375" customWidth="1"/>
    <col min="11" max="11" width="16.44140625" style="2" customWidth="1"/>
    <col min="12" max="12" width="20.44140625" style="3" bestFit="1" customWidth="1"/>
    <col min="13" max="13" width="20.44140625" style="3" customWidth="1"/>
    <col min="14" max="14" width="13.109375" bestFit="1" customWidth="1"/>
    <col min="15" max="15" width="14.109375" bestFit="1" customWidth="1"/>
    <col min="16" max="16" width="23.6640625" bestFit="1" customWidth="1"/>
  </cols>
  <sheetData>
    <row r="1" spans="1:16" x14ac:dyDescent="0.3">
      <c r="A1" s="2" t="s">
        <v>28</v>
      </c>
      <c r="B1" s="2" t="s">
        <v>29</v>
      </c>
      <c r="C1" s="2" t="s">
        <v>0</v>
      </c>
      <c r="D1" s="2" t="s">
        <v>1</v>
      </c>
      <c r="E1" s="2" t="s">
        <v>30</v>
      </c>
      <c r="F1" s="2" t="s">
        <v>31</v>
      </c>
      <c r="G1" s="2" t="s">
        <v>422</v>
      </c>
      <c r="H1" s="2" t="s">
        <v>32</v>
      </c>
      <c r="I1" t="s">
        <v>33</v>
      </c>
      <c r="J1" t="s">
        <v>412</v>
      </c>
      <c r="K1" s="2" t="s">
        <v>413</v>
      </c>
      <c r="L1" s="3" t="s">
        <v>414</v>
      </c>
      <c r="M1" s="3" t="s">
        <v>440</v>
      </c>
      <c r="N1" t="s">
        <v>415</v>
      </c>
      <c r="O1" t="s">
        <v>416</v>
      </c>
      <c r="P1" t="s">
        <v>417</v>
      </c>
    </row>
    <row r="2" spans="1:16" x14ac:dyDescent="0.3">
      <c r="A2" s="2">
        <v>10001</v>
      </c>
      <c r="B2" s="2">
        <v>642</v>
      </c>
      <c r="C2" s="2">
        <v>2013</v>
      </c>
      <c r="D2" s="2">
        <v>304</v>
      </c>
      <c r="E2" s="4">
        <v>45447</v>
      </c>
      <c r="F2" s="4">
        <v>45455</v>
      </c>
      <c r="G2" s="2">
        <f t="shared" ref="G2:G65" si="0">F2-E2</f>
        <v>8</v>
      </c>
      <c r="H2" s="2">
        <v>5</v>
      </c>
      <c r="I2" t="s">
        <v>36</v>
      </c>
      <c r="J2" t="s">
        <v>13</v>
      </c>
      <c r="K2" s="2">
        <v>19.53</v>
      </c>
      <c r="L2" s="3">
        <v>563.69000000000005</v>
      </c>
      <c r="M2" s="3">
        <f>orders_1[[#This Row],[products.Base_Price]]*orders_1[[#This Row],[Quantity]]</f>
        <v>2818.4500000000003</v>
      </c>
      <c r="N2" t="s">
        <v>17</v>
      </c>
      <c r="O2" t="s">
        <v>18</v>
      </c>
      <c r="P2" t="s">
        <v>19</v>
      </c>
    </row>
    <row r="3" spans="1:16" x14ac:dyDescent="0.3">
      <c r="A3" s="2">
        <v>10028</v>
      </c>
      <c r="B3" s="2">
        <v>861</v>
      </c>
      <c r="C3" s="2">
        <v>2013</v>
      </c>
      <c r="D3" s="2">
        <v>319</v>
      </c>
      <c r="E3" s="4">
        <v>45544</v>
      </c>
      <c r="F3" s="4">
        <v>45554</v>
      </c>
      <c r="G3" s="2">
        <f t="shared" si="0"/>
        <v>10</v>
      </c>
      <c r="H3" s="2">
        <v>37</v>
      </c>
      <c r="I3" t="s">
        <v>42</v>
      </c>
      <c r="J3" t="s">
        <v>13</v>
      </c>
      <c r="K3" s="2">
        <v>19.53</v>
      </c>
      <c r="L3" s="3">
        <v>563.69000000000005</v>
      </c>
      <c r="M3" s="3">
        <f>orders_1[[#This Row],[products.Base_Price]]*orders_1[[#This Row],[Quantity]]</f>
        <v>20856.530000000002</v>
      </c>
      <c r="N3" t="s">
        <v>20</v>
      </c>
      <c r="O3" t="s">
        <v>18</v>
      </c>
      <c r="P3" t="s">
        <v>11</v>
      </c>
    </row>
    <row r="4" spans="1:16" x14ac:dyDescent="0.3">
      <c r="A4" s="2">
        <v>10024</v>
      </c>
      <c r="B4" s="2">
        <v>525</v>
      </c>
      <c r="C4" s="2">
        <v>2004</v>
      </c>
      <c r="D4" s="2">
        <v>319</v>
      </c>
      <c r="E4" s="4">
        <v>45476</v>
      </c>
      <c r="F4" s="4">
        <v>45483</v>
      </c>
      <c r="G4" s="2">
        <f t="shared" si="0"/>
        <v>7</v>
      </c>
      <c r="H4" s="2">
        <v>65</v>
      </c>
      <c r="I4" t="s">
        <v>42</v>
      </c>
      <c r="J4" t="s">
        <v>9</v>
      </c>
      <c r="K4" s="2">
        <v>4.34</v>
      </c>
      <c r="L4" s="3">
        <v>52.14</v>
      </c>
      <c r="M4" s="3">
        <f>orders_1[[#This Row],[products.Base_Price]]*orders_1[[#This Row],[Quantity]]</f>
        <v>3389.1</v>
      </c>
      <c r="N4" t="s">
        <v>20</v>
      </c>
      <c r="O4" t="s">
        <v>18</v>
      </c>
      <c r="P4" t="s">
        <v>11</v>
      </c>
    </row>
    <row r="5" spans="1:16" x14ac:dyDescent="0.3">
      <c r="A5" s="2">
        <v>10062</v>
      </c>
      <c r="B5" s="2">
        <v>647</v>
      </c>
      <c r="C5" s="2">
        <v>2001</v>
      </c>
      <c r="D5" s="2">
        <v>313</v>
      </c>
      <c r="E5" s="4">
        <v>45334</v>
      </c>
      <c r="F5" s="4">
        <v>45340</v>
      </c>
      <c r="G5" s="2">
        <f t="shared" si="0"/>
        <v>6</v>
      </c>
      <c r="H5" s="2">
        <v>6</v>
      </c>
      <c r="I5" t="s">
        <v>36</v>
      </c>
      <c r="J5" t="s">
        <v>9</v>
      </c>
      <c r="K5" s="2">
        <v>49.85</v>
      </c>
      <c r="L5" s="3">
        <v>471.41</v>
      </c>
      <c r="M5" s="3">
        <f>orders_1[[#This Row],[products.Base_Price]]*orders_1[[#This Row],[Quantity]]</f>
        <v>2828.46</v>
      </c>
      <c r="N5" t="s">
        <v>15</v>
      </c>
      <c r="O5" t="s">
        <v>25</v>
      </c>
      <c r="P5" t="s">
        <v>16</v>
      </c>
    </row>
    <row r="6" spans="1:16" x14ac:dyDescent="0.3">
      <c r="A6" s="2">
        <v>10019</v>
      </c>
      <c r="B6" s="2">
        <v>562</v>
      </c>
      <c r="C6" s="2">
        <v>2006</v>
      </c>
      <c r="D6" s="2">
        <v>303</v>
      </c>
      <c r="E6" s="4">
        <v>45299</v>
      </c>
      <c r="F6" s="4">
        <v>45303</v>
      </c>
      <c r="G6" s="2">
        <f t="shared" si="0"/>
        <v>4</v>
      </c>
      <c r="H6" s="2">
        <v>55</v>
      </c>
      <c r="I6" t="s">
        <v>42</v>
      </c>
      <c r="J6" t="s">
        <v>22</v>
      </c>
      <c r="K6" s="2">
        <v>41.47</v>
      </c>
      <c r="L6" s="3">
        <v>541.85</v>
      </c>
      <c r="M6" s="3">
        <f>orders_1[[#This Row],[products.Base_Price]]*orders_1[[#This Row],[Quantity]]</f>
        <v>29801.75</v>
      </c>
      <c r="N6" t="s">
        <v>15</v>
      </c>
      <c r="O6" t="s">
        <v>10</v>
      </c>
      <c r="P6" t="s">
        <v>16</v>
      </c>
    </row>
    <row r="7" spans="1:16" x14ac:dyDescent="0.3">
      <c r="A7" s="2">
        <v>10002</v>
      </c>
      <c r="B7" s="2">
        <v>881</v>
      </c>
      <c r="C7" s="2">
        <v>2004</v>
      </c>
      <c r="D7" s="2">
        <v>305</v>
      </c>
      <c r="E7" s="4">
        <v>45628</v>
      </c>
      <c r="F7" s="4">
        <v>45634</v>
      </c>
      <c r="G7" s="2">
        <f t="shared" si="0"/>
        <v>6</v>
      </c>
      <c r="H7" s="2">
        <v>5</v>
      </c>
      <c r="I7" t="s">
        <v>39</v>
      </c>
      <c r="J7" t="s">
        <v>9</v>
      </c>
      <c r="K7" s="2">
        <v>4.34</v>
      </c>
      <c r="L7" s="3">
        <v>52.14</v>
      </c>
      <c r="M7" s="3">
        <f>orders_1[[#This Row],[products.Base_Price]]*orders_1[[#This Row],[Quantity]]</f>
        <v>260.7</v>
      </c>
      <c r="N7" t="s">
        <v>20</v>
      </c>
      <c r="O7" t="s">
        <v>10</v>
      </c>
      <c r="P7" t="s">
        <v>19</v>
      </c>
    </row>
    <row r="8" spans="1:16" x14ac:dyDescent="0.3">
      <c r="A8" s="2">
        <v>10074</v>
      </c>
      <c r="B8" s="2">
        <v>809</v>
      </c>
      <c r="C8" s="2">
        <v>2057</v>
      </c>
      <c r="D8" s="2">
        <v>305</v>
      </c>
      <c r="E8" s="4">
        <v>45353</v>
      </c>
      <c r="F8" s="4">
        <v>45356</v>
      </c>
      <c r="G8" s="2">
        <f t="shared" si="0"/>
        <v>3</v>
      </c>
      <c r="H8" s="2">
        <v>93</v>
      </c>
      <c r="I8" t="s">
        <v>36</v>
      </c>
      <c r="J8" t="s">
        <v>22</v>
      </c>
      <c r="K8" s="2">
        <v>34.299999999999997</v>
      </c>
      <c r="L8" s="3">
        <v>40.43</v>
      </c>
      <c r="M8" s="3">
        <f>orders_1[[#This Row],[products.Base_Price]]*orders_1[[#This Row],[Quantity]]</f>
        <v>3759.99</v>
      </c>
      <c r="N8" t="s">
        <v>20</v>
      </c>
      <c r="O8" t="s">
        <v>10</v>
      </c>
      <c r="P8" t="s">
        <v>19</v>
      </c>
    </row>
    <row r="9" spans="1:16" x14ac:dyDescent="0.3">
      <c r="A9" s="2">
        <v>10006</v>
      </c>
      <c r="B9" s="2">
        <v>502</v>
      </c>
      <c r="C9" s="2">
        <v>2018</v>
      </c>
      <c r="D9" s="2">
        <v>305</v>
      </c>
      <c r="E9" s="4">
        <v>45379</v>
      </c>
      <c r="F9" s="4">
        <v>45385</v>
      </c>
      <c r="G9" s="2">
        <f t="shared" si="0"/>
        <v>6</v>
      </c>
      <c r="H9" s="2">
        <v>96</v>
      </c>
      <c r="I9" t="s">
        <v>42</v>
      </c>
      <c r="J9" t="s">
        <v>21</v>
      </c>
      <c r="K9" s="2">
        <v>16.739999999999998</v>
      </c>
      <c r="L9" s="3">
        <v>103.05</v>
      </c>
      <c r="M9" s="3">
        <f>orders_1[[#This Row],[products.Base_Price]]*orders_1[[#This Row],[Quantity]]</f>
        <v>9892.7999999999993</v>
      </c>
      <c r="N9" t="s">
        <v>20</v>
      </c>
      <c r="O9" t="s">
        <v>10</v>
      </c>
      <c r="P9" t="s">
        <v>19</v>
      </c>
    </row>
    <row r="10" spans="1:16" x14ac:dyDescent="0.3">
      <c r="A10" s="2">
        <v>10041</v>
      </c>
      <c r="B10" s="2">
        <v>539</v>
      </c>
      <c r="C10" s="2">
        <v>2004</v>
      </c>
      <c r="D10" s="2">
        <v>307</v>
      </c>
      <c r="E10" s="4">
        <v>45333</v>
      </c>
      <c r="F10" s="4">
        <v>45335</v>
      </c>
      <c r="G10" s="2">
        <f t="shared" si="0"/>
        <v>2</v>
      </c>
      <c r="H10" s="2">
        <v>89</v>
      </c>
      <c r="I10" t="s">
        <v>36</v>
      </c>
      <c r="J10" t="s">
        <v>9</v>
      </c>
      <c r="K10" s="2">
        <v>4.34</v>
      </c>
      <c r="L10" s="3">
        <v>52.14</v>
      </c>
      <c r="M10" s="3">
        <f>orders_1[[#This Row],[products.Base_Price]]*orders_1[[#This Row],[Quantity]]</f>
        <v>4640.46</v>
      </c>
      <c r="N10" t="s">
        <v>17</v>
      </c>
      <c r="O10" t="s">
        <v>10</v>
      </c>
      <c r="P10" t="s">
        <v>11</v>
      </c>
    </row>
    <row r="11" spans="1:16" x14ac:dyDescent="0.3">
      <c r="A11" s="2">
        <v>10058</v>
      </c>
      <c r="B11" s="2">
        <v>711</v>
      </c>
      <c r="C11" s="2">
        <v>2004</v>
      </c>
      <c r="D11" s="2">
        <v>316</v>
      </c>
      <c r="E11" s="4">
        <v>45613</v>
      </c>
      <c r="F11" s="4">
        <v>45620</v>
      </c>
      <c r="G11" s="2">
        <f t="shared" si="0"/>
        <v>7</v>
      </c>
      <c r="H11" s="2">
        <v>13</v>
      </c>
      <c r="I11" t="s">
        <v>36</v>
      </c>
      <c r="J11" t="s">
        <v>9</v>
      </c>
      <c r="K11" s="2">
        <v>4.34</v>
      </c>
      <c r="L11" s="3">
        <v>52.14</v>
      </c>
      <c r="M11" s="3">
        <f>orders_1[[#This Row],[products.Base_Price]]*orders_1[[#This Row],[Quantity]]</f>
        <v>677.82</v>
      </c>
      <c r="N11" t="s">
        <v>24</v>
      </c>
      <c r="O11" t="s">
        <v>25</v>
      </c>
      <c r="P11" t="s">
        <v>19</v>
      </c>
    </row>
    <row r="12" spans="1:16" x14ac:dyDescent="0.3">
      <c r="A12" s="2">
        <v>10003</v>
      </c>
      <c r="B12" s="2">
        <v>639</v>
      </c>
      <c r="C12" s="2">
        <v>2019</v>
      </c>
      <c r="D12" s="2">
        <v>308</v>
      </c>
      <c r="E12" s="4">
        <v>45588</v>
      </c>
      <c r="F12" s="4">
        <v>45593</v>
      </c>
      <c r="G12" s="2">
        <f t="shared" si="0"/>
        <v>5</v>
      </c>
      <c r="H12" s="2">
        <v>95</v>
      </c>
      <c r="I12" t="s">
        <v>42</v>
      </c>
      <c r="J12" t="s">
        <v>22</v>
      </c>
      <c r="K12" s="2">
        <v>27.65</v>
      </c>
      <c r="L12" s="3">
        <v>89.85</v>
      </c>
      <c r="M12" s="3">
        <f>orders_1[[#This Row],[products.Base_Price]]*orders_1[[#This Row],[Quantity]]</f>
        <v>8535.75</v>
      </c>
      <c r="N12" t="s">
        <v>23</v>
      </c>
      <c r="O12" t="s">
        <v>14</v>
      </c>
      <c r="P12" t="s">
        <v>19</v>
      </c>
    </row>
    <row r="13" spans="1:16" x14ac:dyDescent="0.3">
      <c r="A13" s="2">
        <v>10005</v>
      </c>
      <c r="B13" s="2">
        <v>797</v>
      </c>
      <c r="C13" s="2">
        <v>2057</v>
      </c>
      <c r="D13" s="2">
        <v>308</v>
      </c>
      <c r="E13" s="4">
        <v>45460</v>
      </c>
      <c r="F13" s="4">
        <v>45465</v>
      </c>
      <c r="G13" s="2">
        <f t="shared" si="0"/>
        <v>5</v>
      </c>
      <c r="H13" s="2">
        <v>20</v>
      </c>
      <c r="I13" t="s">
        <v>39</v>
      </c>
      <c r="J13" t="s">
        <v>22</v>
      </c>
      <c r="K13" s="2">
        <v>34.299999999999997</v>
      </c>
      <c r="L13" s="3">
        <v>40.43</v>
      </c>
      <c r="M13" s="3">
        <f>orders_1[[#This Row],[products.Base_Price]]*orders_1[[#This Row],[Quantity]]</f>
        <v>808.6</v>
      </c>
      <c r="N13" t="s">
        <v>23</v>
      </c>
      <c r="O13" t="s">
        <v>14</v>
      </c>
      <c r="P13" t="s">
        <v>19</v>
      </c>
    </row>
    <row r="14" spans="1:16" x14ac:dyDescent="0.3">
      <c r="A14" s="2">
        <v>10004</v>
      </c>
      <c r="B14" s="2">
        <v>517</v>
      </c>
      <c r="C14" s="2">
        <v>2007</v>
      </c>
      <c r="D14" s="2">
        <v>312</v>
      </c>
      <c r="E14" s="4">
        <v>45506</v>
      </c>
      <c r="F14" s="4">
        <v>45516</v>
      </c>
      <c r="G14" s="2">
        <f t="shared" si="0"/>
        <v>10</v>
      </c>
      <c r="H14" s="2">
        <v>52</v>
      </c>
      <c r="I14" t="s">
        <v>39</v>
      </c>
      <c r="J14" t="s">
        <v>21</v>
      </c>
      <c r="K14" s="2">
        <v>48.07</v>
      </c>
      <c r="L14" s="3">
        <v>759.78</v>
      </c>
      <c r="M14" s="3">
        <f>orders_1[[#This Row],[products.Base_Price]]*orders_1[[#This Row],[Quantity]]</f>
        <v>39508.559999999998</v>
      </c>
      <c r="N14" t="s">
        <v>15</v>
      </c>
      <c r="O14" t="s">
        <v>10</v>
      </c>
      <c r="P14" t="s">
        <v>11</v>
      </c>
    </row>
    <row r="15" spans="1:16" x14ac:dyDescent="0.3">
      <c r="A15" s="2">
        <v>10032</v>
      </c>
      <c r="B15" s="2">
        <v>566</v>
      </c>
      <c r="C15" s="2">
        <v>2057</v>
      </c>
      <c r="D15" s="2">
        <v>309</v>
      </c>
      <c r="E15" s="4">
        <v>45365</v>
      </c>
      <c r="F15" s="4">
        <v>45367</v>
      </c>
      <c r="G15" s="2">
        <f t="shared" si="0"/>
        <v>2</v>
      </c>
      <c r="H15" s="2">
        <v>33</v>
      </c>
      <c r="I15" t="s">
        <v>36</v>
      </c>
      <c r="J15" t="s">
        <v>22</v>
      </c>
      <c r="K15" s="2">
        <v>34.299999999999997</v>
      </c>
      <c r="L15" s="3">
        <v>40.43</v>
      </c>
      <c r="M15" s="3">
        <f>orders_1[[#This Row],[products.Base_Price]]*orders_1[[#This Row],[Quantity]]</f>
        <v>1334.19</v>
      </c>
      <c r="N15" t="s">
        <v>24</v>
      </c>
      <c r="O15" t="s">
        <v>25</v>
      </c>
      <c r="P15" t="s">
        <v>16</v>
      </c>
    </row>
    <row r="16" spans="1:16" x14ac:dyDescent="0.3">
      <c r="A16" s="2">
        <v>10081</v>
      </c>
      <c r="B16" s="2">
        <v>896</v>
      </c>
      <c r="C16" s="2">
        <v>2006</v>
      </c>
      <c r="D16" s="2">
        <v>309</v>
      </c>
      <c r="E16" s="4">
        <v>45538</v>
      </c>
      <c r="F16" s="4">
        <v>45540</v>
      </c>
      <c r="G16" s="2">
        <f t="shared" si="0"/>
        <v>2</v>
      </c>
      <c r="H16" s="2">
        <v>55</v>
      </c>
      <c r="I16" t="s">
        <v>78</v>
      </c>
      <c r="J16" t="s">
        <v>22</v>
      </c>
      <c r="K16" s="2">
        <v>41.47</v>
      </c>
      <c r="L16" s="3">
        <v>541.85</v>
      </c>
      <c r="M16" s="3">
        <f>orders_1[[#This Row],[products.Base_Price]]*orders_1[[#This Row],[Quantity]]</f>
        <v>29801.75</v>
      </c>
      <c r="N16" t="s">
        <v>24</v>
      </c>
      <c r="O16" t="s">
        <v>25</v>
      </c>
      <c r="P16" t="s">
        <v>16</v>
      </c>
    </row>
    <row r="17" spans="1:16" x14ac:dyDescent="0.3">
      <c r="A17" s="2">
        <v>10056</v>
      </c>
      <c r="B17" s="2">
        <v>604</v>
      </c>
      <c r="C17" s="2">
        <v>2007</v>
      </c>
      <c r="D17" s="2">
        <v>318</v>
      </c>
      <c r="E17" s="4">
        <v>45434</v>
      </c>
      <c r="F17" s="4">
        <v>45444</v>
      </c>
      <c r="G17" s="2">
        <f t="shared" si="0"/>
        <v>10</v>
      </c>
      <c r="H17" s="2">
        <v>94</v>
      </c>
      <c r="I17" t="s">
        <v>78</v>
      </c>
      <c r="J17" t="s">
        <v>21</v>
      </c>
      <c r="K17" s="2">
        <v>48.07</v>
      </c>
      <c r="L17" s="3">
        <v>759.78</v>
      </c>
      <c r="M17" s="3">
        <f>orders_1[[#This Row],[products.Base_Price]]*orders_1[[#This Row],[Quantity]]</f>
        <v>71419.319999999992</v>
      </c>
      <c r="N17" t="s">
        <v>17</v>
      </c>
      <c r="O17" t="s">
        <v>10</v>
      </c>
      <c r="P17" t="s">
        <v>19</v>
      </c>
    </row>
    <row r="18" spans="1:16" x14ac:dyDescent="0.3">
      <c r="A18" s="2">
        <v>10060</v>
      </c>
      <c r="B18" s="2">
        <v>581</v>
      </c>
      <c r="C18" s="2">
        <v>2018</v>
      </c>
      <c r="D18" s="2">
        <v>318</v>
      </c>
      <c r="E18" s="4">
        <v>45466</v>
      </c>
      <c r="F18" s="4">
        <v>45474</v>
      </c>
      <c r="G18" s="2">
        <f t="shared" si="0"/>
        <v>8</v>
      </c>
      <c r="H18" s="2">
        <v>85</v>
      </c>
      <c r="I18" t="s">
        <v>36</v>
      </c>
      <c r="J18" t="s">
        <v>21</v>
      </c>
      <c r="K18" s="2">
        <v>16.739999999999998</v>
      </c>
      <c r="L18" s="3">
        <v>103.05</v>
      </c>
      <c r="M18" s="3">
        <f>orders_1[[#This Row],[products.Base_Price]]*orders_1[[#This Row],[Quantity]]</f>
        <v>8759.25</v>
      </c>
      <c r="N18" t="s">
        <v>17</v>
      </c>
      <c r="O18" t="s">
        <v>10</v>
      </c>
      <c r="P18" t="s">
        <v>19</v>
      </c>
    </row>
    <row r="19" spans="1:16" x14ac:dyDescent="0.3">
      <c r="A19" s="2">
        <v>10007</v>
      </c>
      <c r="B19" s="2">
        <v>614</v>
      </c>
      <c r="C19" s="2">
        <v>2090</v>
      </c>
      <c r="D19" s="2">
        <v>318</v>
      </c>
      <c r="E19" s="4">
        <v>45646</v>
      </c>
      <c r="F19" s="4">
        <v>45655</v>
      </c>
      <c r="G19" s="2">
        <f t="shared" si="0"/>
        <v>9</v>
      </c>
      <c r="H19" s="2">
        <v>46</v>
      </c>
      <c r="I19" t="s">
        <v>39</v>
      </c>
      <c r="J19" t="s">
        <v>22</v>
      </c>
      <c r="K19" s="2">
        <v>38.729999999999997</v>
      </c>
      <c r="L19" s="3">
        <v>913.68</v>
      </c>
      <c r="M19" s="3">
        <f>orders_1[[#This Row],[products.Base_Price]]*orders_1[[#This Row],[Quantity]]</f>
        <v>42029.279999999999</v>
      </c>
      <c r="N19" t="s">
        <v>17</v>
      </c>
      <c r="O19" t="s">
        <v>10</v>
      </c>
      <c r="P19" t="s">
        <v>19</v>
      </c>
    </row>
    <row r="20" spans="1:16" x14ac:dyDescent="0.3">
      <c r="A20" s="2">
        <v>10075</v>
      </c>
      <c r="B20" s="2">
        <v>576</v>
      </c>
      <c r="C20" s="2">
        <v>2007</v>
      </c>
      <c r="D20" s="2">
        <v>320</v>
      </c>
      <c r="E20" s="4">
        <v>45373</v>
      </c>
      <c r="F20" s="4">
        <v>45380</v>
      </c>
      <c r="G20" s="2">
        <f t="shared" si="0"/>
        <v>7</v>
      </c>
      <c r="H20" s="2">
        <v>62</v>
      </c>
      <c r="I20" t="s">
        <v>36</v>
      </c>
      <c r="J20" t="s">
        <v>21</v>
      </c>
      <c r="K20" s="2">
        <v>48.07</v>
      </c>
      <c r="L20" s="3">
        <v>759.78</v>
      </c>
      <c r="M20" s="3">
        <f>orders_1[[#This Row],[products.Base_Price]]*orders_1[[#This Row],[Quantity]]</f>
        <v>47106.36</v>
      </c>
      <c r="N20" t="s">
        <v>15</v>
      </c>
      <c r="O20" t="s">
        <v>25</v>
      </c>
      <c r="P20" t="s">
        <v>11</v>
      </c>
    </row>
    <row r="21" spans="1:16" x14ac:dyDescent="0.3">
      <c r="A21" s="2">
        <v>10008</v>
      </c>
      <c r="B21" s="2">
        <v>895</v>
      </c>
      <c r="C21" s="2">
        <v>2084</v>
      </c>
      <c r="D21" s="2">
        <v>311</v>
      </c>
      <c r="E21" s="4">
        <v>45632</v>
      </c>
      <c r="F21" s="4">
        <v>45638</v>
      </c>
      <c r="G21" s="2">
        <f t="shared" si="0"/>
        <v>6</v>
      </c>
      <c r="H21" s="2">
        <v>5</v>
      </c>
      <c r="I21" t="s">
        <v>36</v>
      </c>
      <c r="J21" t="s">
        <v>21</v>
      </c>
      <c r="K21" s="2">
        <v>14.27</v>
      </c>
      <c r="L21" s="3">
        <v>223.58</v>
      </c>
      <c r="M21" s="3">
        <f>orders_1[[#This Row],[products.Base_Price]]*orders_1[[#This Row],[Quantity]]</f>
        <v>1117.9000000000001</v>
      </c>
      <c r="N21" t="s">
        <v>26</v>
      </c>
      <c r="O21" t="s">
        <v>10</v>
      </c>
      <c r="P21" t="s">
        <v>11</v>
      </c>
    </row>
    <row r="22" spans="1:16" x14ac:dyDescent="0.3">
      <c r="A22" s="2">
        <v>10063</v>
      </c>
      <c r="B22" s="2">
        <v>653</v>
      </c>
      <c r="C22" s="2">
        <v>2057</v>
      </c>
      <c r="D22" s="2">
        <v>317</v>
      </c>
      <c r="E22" s="4">
        <v>45544</v>
      </c>
      <c r="F22" s="4">
        <v>45546</v>
      </c>
      <c r="G22" s="2">
        <f t="shared" si="0"/>
        <v>2</v>
      </c>
      <c r="H22" s="2">
        <v>35</v>
      </c>
      <c r="I22" t="s">
        <v>36</v>
      </c>
      <c r="J22" t="s">
        <v>22</v>
      </c>
      <c r="K22" s="2">
        <v>34.299999999999997</v>
      </c>
      <c r="L22" s="3">
        <v>40.43</v>
      </c>
      <c r="M22" s="3">
        <f>orders_1[[#This Row],[products.Base_Price]]*orders_1[[#This Row],[Quantity]]</f>
        <v>1415.05</v>
      </c>
      <c r="N22" t="s">
        <v>20</v>
      </c>
      <c r="O22" t="s">
        <v>25</v>
      </c>
      <c r="P22" t="s">
        <v>19</v>
      </c>
    </row>
    <row r="23" spans="1:16" x14ac:dyDescent="0.3">
      <c r="A23" s="2">
        <v>10092</v>
      </c>
      <c r="B23" s="2">
        <v>803</v>
      </c>
      <c r="C23" s="2">
        <v>2084</v>
      </c>
      <c r="D23" s="2">
        <v>311</v>
      </c>
      <c r="E23" s="4">
        <v>45504</v>
      </c>
      <c r="F23" s="4">
        <v>45511</v>
      </c>
      <c r="G23" s="2">
        <f t="shared" si="0"/>
        <v>7</v>
      </c>
      <c r="H23" s="2">
        <v>41</v>
      </c>
      <c r="I23" t="s">
        <v>42</v>
      </c>
      <c r="J23" t="s">
        <v>21</v>
      </c>
      <c r="K23" s="2">
        <v>14.27</v>
      </c>
      <c r="L23" s="3">
        <v>223.58</v>
      </c>
      <c r="M23" s="3">
        <f>orders_1[[#This Row],[products.Base_Price]]*orders_1[[#This Row],[Quantity]]</f>
        <v>9166.7800000000007</v>
      </c>
      <c r="N23" t="s">
        <v>26</v>
      </c>
      <c r="O23" t="s">
        <v>10</v>
      </c>
      <c r="P23" t="s">
        <v>11</v>
      </c>
    </row>
    <row r="24" spans="1:16" x14ac:dyDescent="0.3">
      <c r="A24" s="2">
        <v>10086</v>
      </c>
      <c r="B24" s="2">
        <v>856</v>
      </c>
      <c r="C24" s="2">
        <v>2045</v>
      </c>
      <c r="D24" s="2">
        <v>305</v>
      </c>
      <c r="E24" s="4">
        <v>45470</v>
      </c>
      <c r="F24" s="4">
        <v>45472</v>
      </c>
      <c r="G24" s="2">
        <f t="shared" si="0"/>
        <v>2</v>
      </c>
      <c r="H24" s="2">
        <v>57</v>
      </c>
      <c r="I24" t="s">
        <v>39</v>
      </c>
      <c r="J24" t="s">
        <v>9</v>
      </c>
      <c r="K24" s="2">
        <v>41.3</v>
      </c>
      <c r="L24" s="3">
        <v>652.61</v>
      </c>
      <c r="M24" s="3">
        <f>orders_1[[#This Row],[products.Base_Price]]*orders_1[[#This Row],[Quantity]]</f>
        <v>37198.770000000004</v>
      </c>
      <c r="N24" t="s">
        <v>20</v>
      </c>
      <c r="O24" t="s">
        <v>10</v>
      </c>
      <c r="P24" t="s">
        <v>19</v>
      </c>
    </row>
    <row r="25" spans="1:16" x14ac:dyDescent="0.3">
      <c r="A25" s="2">
        <v>10009</v>
      </c>
      <c r="B25" s="2">
        <v>843</v>
      </c>
      <c r="C25" s="2">
        <v>2060</v>
      </c>
      <c r="D25" s="2">
        <v>318</v>
      </c>
      <c r="E25" s="4">
        <v>45453</v>
      </c>
      <c r="F25" s="4">
        <v>45459</v>
      </c>
      <c r="G25" s="2">
        <f t="shared" si="0"/>
        <v>6</v>
      </c>
      <c r="H25" s="2">
        <v>35</v>
      </c>
      <c r="I25" t="s">
        <v>39</v>
      </c>
      <c r="J25" t="s">
        <v>21</v>
      </c>
      <c r="K25" s="2">
        <v>3.65</v>
      </c>
      <c r="L25" s="3">
        <v>173.1</v>
      </c>
      <c r="M25" s="3">
        <f>orders_1[[#This Row],[products.Base_Price]]*orders_1[[#This Row],[Quantity]]</f>
        <v>6058.5</v>
      </c>
      <c r="N25" t="s">
        <v>17</v>
      </c>
      <c r="O25" t="s">
        <v>10</v>
      </c>
      <c r="P25" t="s">
        <v>19</v>
      </c>
    </row>
    <row r="26" spans="1:16" x14ac:dyDescent="0.3">
      <c r="A26" s="2">
        <v>10057</v>
      </c>
      <c r="B26" s="2">
        <v>741</v>
      </c>
      <c r="C26" s="2">
        <v>2060</v>
      </c>
      <c r="D26" s="2">
        <v>301</v>
      </c>
      <c r="E26" s="4">
        <v>45475</v>
      </c>
      <c r="F26" s="4">
        <v>45482</v>
      </c>
      <c r="G26" s="2">
        <f t="shared" si="0"/>
        <v>7</v>
      </c>
      <c r="H26" s="2">
        <v>4</v>
      </c>
      <c r="I26" t="s">
        <v>36</v>
      </c>
      <c r="J26" t="s">
        <v>21</v>
      </c>
      <c r="K26" s="2">
        <v>3.65</v>
      </c>
      <c r="L26" s="3">
        <v>173.1</v>
      </c>
      <c r="M26" s="3">
        <f>orders_1[[#This Row],[products.Base_Price]]*orders_1[[#This Row],[Quantity]]</f>
        <v>692.4</v>
      </c>
      <c r="N26" t="s">
        <v>8</v>
      </c>
      <c r="O26" t="s">
        <v>10</v>
      </c>
      <c r="P26" t="s">
        <v>11</v>
      </c>
    </row>
    <row r="27" spans="1:16" x14ac:dyDescent="0.3">
      <c r="A27" s="2">
        <v>10010</v>
      </c>
      <c r="B27" s="2">
        <v>527</v>
      </c>
      <c r="C27" s="2">
        <v>2088</v>
      </c>
      <c r="D27" s="2">
        <v>304</v>
      </c>
      <c r="E27" s="4">
        <v>45551</v>
      </c>
      <c r="F27" s="4">
        <v>45556</v>
      </c>
      <c r="G27" s="2">
        <f t="shared" si="0"/>
        <v>5</v>
      </c>
      <c r="H27" s="2">
        <v>70</v>
      </c>
      <c r="I27" t="s">
        <v>42</v>
      </c>
      <c r="J27" t="s">
        <v>13</v>
      </c>
      <c r="K27" s="2">
        <v>27.71</v>
      </c>
      <c r="L27" s="3">
        <v>820.21</v>
      </c>
      <c r="M27" s="3">
        <f>orders_1[[#This Row],[products.Base_Price]]*orders_1[[#This Row],[Quantity]]</f>
        <v>57414.700000000004</v>
      </c>
      <c r="N27" t="s">
        <v>17</v>
      </c>
      <c r="O27" t="s">
        <v>18</v>
      </c>
      <c r="P27" t="s">
        <v>19</v>
      </c>
    </row>
    <row r="28" spans="1:16" x14ac:dyDescent="0.3">
      <c r="A28" s="2">
        <v>10048</v>
      </c>
      <c r="B28" s="2">
        <v>582</v>
      </c>
      <c r="C28" s="2">
        <v>2010</v>
      </c>
      <c r="D28" s="2">
        <v>304</v>
      </c>
      <c r="E28" s="4">
        <v>45631</v>
      </c>
      <c r="F28" s="4">
        <v>45638</v>
      </c>
      <c r="G28" s="2">
        <f t="shared" si="0"/>
        <v>7</v>
      </c>
      <c r="H28" s="2">
        <v>61</v>
      </c>
      <c r="I28" t="s">
        <v>36</v>
      </c>
      <c r="J28" t="s">
        <v>13</v>
      </c>
      <c r="K28" s="2">
        <v>9.58</v>
      </c>
      <c r="L28" s="3">
        <v>440.93</v>
      </c>
      <c r="M28" s="3">
        <f>orders_1[[#This Row],[products.Base_Price]]*orders_1[[#This Row],[Quantity]]</f>
        <v>26896.73</v>
      </c>
      <c r="N28" t="s">
        <v>17</v>
      </c>
      <c r="O28" t="s">
        <v>18</v>
      </c>
      <c r="P28" t="s">
        <v>19</v>
      </c>
    </row>
    <row r="29" spans="1:16" x14ac:dyDescent="0.3">
      <c r="A29" s="2">
        <v>10011</v>
      </c>
      <c r="B29" s="2">
        <v>779</v>
      </c>
      <c r="C29" s="2">
        <v>2048</v>
      </c>
      <c r="D29" s="2">
        <v>305</v>
      </c>
      <c r="E29" s="4">
        <v>45565</v>
      </c>
      <c r="F29" s="4">
        <v>45570</v>
      </c>
      <c r="G29" s="2">
        <f t="shared" si="0"/>
        <v>5</v>
      </c>
      <c r="H29" s="2">
        <v>87</v>
      </c>
      <c r="I29" t="s">
        <v>36</v>
      </c>
      <c r="J29" t="s">
        <v>22</v>
      </c>
      <c r="K29" s="2">
        <v>6.74</v>
      </c>
      <c r="L29" s="3">
        <v>864.57</v>
      </c>
      <c r="M29" s="3">
        <f>orders_1[[#This Row],[products.Base_Price]]*orders_1[[#This Row],[Quantity]]</f>
        <v>75217.590000000011</v>
      </c>
      <c r="N29" t="s">
        <v>20</v>
      </c>
      <c r="O29" t="s">
        <v>10</v>
      </c>
      <c r="P29" t="s">
        <v>19</v>
      </c>
    </row>
    <row r="30" spans="1:16" x14ac:dyDescent="0.3">
      <c r="A30" s="2">
        <v>10101</v>
      </c>
      <c r="B30" s="2">
        <v>789</v>
      </c>
      <c r="C30" s="2">
        <v>2048</v>
      </c>
      <c r="D30" s="2">
        <v>315</v>
      </c>
      <c r="E30" s="4">
        <v>45557</v>
      </c>
      <c r="F30" s="4">
        <v>45560</v>
      </c>
      <c r="G30" s="2">
        <f t="shared" si="0"/>
        <v>3</v>
      </c>
      <c r="H30" s="2">
        <v>97</v>
      </c>
      <c r="I30" t="s">
        <v>42</v>
      </c>
      <c r="J30" t="s">
        <v>22</v>
      </c>
      <c r="K30" s="2">
        <v>6.74</v>
      </c>
      <c r="L30" s="3">
        <v>864.57</v>
      </c>
      <c r="M30" s="3">
        <f>orders_1[[#This Row],[products.Base_Price]]*orders_1[[#This Row],[Quantity]]</f>
        <v>83863.290000000008</v>
      </c>
      <c r="N30" t="s">
        <v>15</v>
      </c>
      <c r="O30" t="s">
        <v>25</v>
      </c>
      <c r="P30" t="s">
        <v>19</v>
      </c>
    </row>
    <row r="31" spans="1:16" x14ac:dyDescent="0.3">
      <c r="A31" s="2">
        <v>10012</v>
      </c>
      <c r="B31" s="2">
        <v>767</v>
      </c>
      <c r="C31" s="2">
        <v>2070</v>
      </c>
      <c r="D31" s="2">
        <v>318</v>
      </c>
      <c r="E31" s="4">
        <v>45367</v>
      </c>
      <c r="F31" s="4">
        <v>45374</v>
      </c>
      <c r="G31" s="2">
        <f t="shared" si="0"/>
        <v>7</v>
      </c>
      <c r="H31" s="2">
        <v>78</v>
      </c>
      <c r="I31" t="s">
        <v>36</v>
      </c>
      <c r="J31" t="s">
        <v>22</v>
      </c>
      <c r="K31" s="2">
        <v>22.6</v>
      </c>
      <c r="L31" s="3">
        <v>196.67</v>
      </c>
      <c r="M31" s="3">
        <f>orders_1[[#This Row],[products.Base_Price]]*orders_1[[#This Row],[Quantity]]</f>
        <v>15340.259999999998</v>
      </c>
      <c r="N31" t="s">
        <v>17</v>
      </c>
      <c r="O31" t="s">
        <v>10</v>
      </c>
      <c r="P31" t="s">
        <v>19</v>
      </c>
    </row>
    <row r="32" spans="1:16" x14ac:dyDescent="0.3">
      <c r="A32" s="2">
        <v>10045</v>
      </c>
      <c r="B32" s="2">
        <v>878</v>
      </c>
      <c r="C32" s="2">
        <v>2070</v>
      </c>
      <c r="D32" s="2">
        <v>318</v>
      </c>
      <c r="E32" s="4">
        <v>45445</v>
      </c>
      <c r="F32" s="4">
        <v>45454</v>
      </c>
      <c r="G32" s="2">
        <f t="shared" si="0"/>
        <v>9</v>
      </c>
      <c r="H32" s="2">
        <v>71</v>
      </c>
      <c r="I32" t="s">
        <v>39</v>
      </c>
      <c r="J32" t="s">
        <v>22</v>
      </c>
      <c r="K32" s="2">
        <v>22.6</v>
      </c>
      <c r="L32" s="3">
        <v>196.67</v>
      </c>
      <c r="M32" s="3">
        <f>orders_1[[#This Row],[products.Base_Price]]*orders_1[[#This Row],[Quantity]]</f>
        <v>13963.57</v>
      </c>
      <c r="N32" t="s">
        <v>17</v>
      </c>
      <c r="O32" t="s">
        <v>10</v>
      </c>
      <c r="P32" t="s">
        <v>19</v>
      </c>
    </row>
    <row r="33" spans="1:16" x14ac:dyDescent="0.3">
      <c r="A33" s="2">
        <v>10064</v>
      </c>
      <c r="B33" s="2">
        <v>507</v>
      </c>
      <c r="C33" s="2">
        <v>2070</v>
      </c>
      <c r="D33" s="2">
        <v>305</v>
      </c>
      <c r="E33" s="4">
        <v>45520</v>
      </c>
      <c r="F33" s="4">
        <v>45522</v>
      </c>
      <c r="G33" s="2">
        <f t="shared" si="0"/>
        <v>2</v>
      </c>
      <c r="H33" s="2">
        <v>76</v>
      </c>
      <c r="I33" t="s">
        <v>36</v>
      </c>
      <c r="J33" t="s">
        <v>22</v>
      </c>
      <c r="K33" s="2">
        <v>22.6</v>
      </c>
      <c r="L33" s="3">
        <v>196.67</v>
      </c>
      <c r="M33" s="3">
        <f>orders_1[[#This Row],[products.Base_Price]]*orders_1[[#This Row],[Quantity]]</f>
        <v>14946.919999999998</v>
      </c>
      <c r="N33" t="s">
        <v>20</v>
      </c>
      <c r="O33" t="s">
        <v>10</v>
      </c>
      <c r="P33" t="s">
        <v>19</v>
      </c>
    </row>
    <row r="34" spans="1:16" x14ac:dyDescent="0.3">
      <c r="A34" s="2">
        <v>10021</v>
      </c>
      <c r="B34" s="2">
        <v>689</v>
      </c>
      <c r="C34" s="2">
        <v>2012</v>
      </c>
      <c r="D34" s="2">
        <v>309</v>
      </c>
      <c r="E34" s="4">
        <v>45498</v>
      </c>
      <c r="F34" s="4">
        <v>45499</v>
      </c>
      <c r="G34" s="2">
        <f t="shared" si="0"/>
        <v>1</v>
      </c>
      <c r="H34" s="2">
        <v>19</v>
      </c>
      <c r="I34" t="s">
        <v>78</v>
      </c>
      <c r="J34" t="s">
        <v>21</v>
      </c>
      <c r="K34" s="2">
        <v>34.93</v>
      </c>
      <c r="L34" s="3">
        <v>327.92</v>
      </c>
      <c r="M34" s="3">
        <f>orders_1[[#This Row],[products.Base_Price]]*orders_1[[#This Row],[Quantity]]</f>
        <v>6230.4800000000005</v>
      </c>
      <c r="N34" t="s">
        <v>24</v>
      </c>
      <c r="O34" t="s">
        <v>25</v>
      </c>
      <c r="P34" t="s">
        <v>16</v>
      </c>
    </row>
    <row r="35" spans="1:16" x14ac:dyDescent="0.3">
      <c r="A35" s="2">
        <v>10091</v>
      </c>
      <c r="B35" s="2">
        <v>773</v>
      </c>
      <c r="C35" s="2">
        <v>2012</v>
      </c>
      <c r="D35" s="2">
        <v>319</v>
      </c>
      <c r="E35" s="4">
        <v>45344</v>
      </c>
      <c r="F35" s="4">
        <v>45346</v>
      </c>
      <c r="G35" s="2">
        <f t="shared" si="0"/>
        <v>2</v>
      </c>
      <c r="H35" s="2">
        <v>71</v>
      </c>
      <c r="I35" t="s">
        <v>36</v>
      </c>
      <c r="J35" t="s">
        <v>21</v>
      </c>
      <c r="K35" s="2">
        <v>34.93</v>
      </c>
      <c r="L35" s="3">
        <v>327.92</v>
      </c>
      <c r="M35" s="3">
        <f>orders_1[[#This Row],[products.Base_Price]]*orders_1[[#This Row],[Quantity]]</f>
        <v>23282.32</v>
      </c>
      <c r="N35" t="s">
        <v>20</v>
      </c>
      <c r="O35" t="s">
        <v>18</v>
      </c>
      <c r="P35" t="s">
        <v>11</v>
      </c>
    </row>
    <row r="36" spans="1:16" x14ac:dyDescent="0.3">
      <c r="A36" s="2">
        <v>10013</v>
      </c>
      <c r="B36" s="2">
        <v>516</v>
      </c>
      <c r="C36" s="2">
        <v>2023</v>
      </c>
      <c r="D36" s="2">
        <v>315</v>
      </c>
      <c r="E36" s="4">
        <v>45319</v>
      </c>
      <c r="F36" s="4">
        <v>45320</v>
      </c>
      <c r="G36" s="2">
        <f t="shared" si="0"/>
        <v>1</v>
      </c>
      <c r="H36" s="2">
        <v>15</v>
      </c>
      <c r="I36" t="s">
        <v>36</v>
      </c>
      <c r="J36" t="s">
        <v>13</v>
      </c>
      <c r="K36" s="2">
        <v>39.520000000000003</v>
      </c>
      <c r="L36" s="3">
        <v>618.29999999999995</v>
      </c>
      <c r="M36" s="3">
        <f>orders_1[[#This Row],[products.Base_Price]]*orders_1[[#This Row],[Quantity]]</f>
        <v>9274.5</v>
      </c>
      <c r="N36" t="s">
        <v>15</v>
      </c>
      <c r="O36" t="s">
        <v>25</v>
      </c>
      <c r="P36" t="s">
        <v>19</v>
      </c>
    </row>
    <row r="37" spans="1:16" x14ac:dyDescent="0.3">
      <c r="A37" s="2">
        <v>10014</v>
      </c>
      <c r="B37" s="2">
        <v>815</v>
      </c>
      <c r="C37" s="2">
        <v>2036</v>
      </c>
      <c r="D37" s="2">
        <v>319</v>
      </c>
      <c r="E37" s="4">
        <v>45442</v>
      </c>
      <c r="F37" s="4">
        <v>45443</v>
      </c>
      <c r="G37" s="2">
        <f t="shared" si="0"/>
        <v>1</v>
      </c>
      <c r="H37" s="2">
        <v>56</v>
      </c>
      <c r="I37" t="s">
        <v>36</v>
      </c>
      <c r="J37" t="s">
        <v>22</v>
      </c>
      <c r="K37" s="2">
        <v>39.39</v>
      </c>
      <c r="L37" s="3">
        <v>745.86</v>
      </c>
      <c r="M37" s="3">
        <f>orders_1[[#This Row],[products.Base_Price]]*orders_1[[#This Row],[Quantity]]</f>
        <v>41768.160000000003</v>
      </c>
      <c r="N37" t="s">
        <v>20</v>
      </c>
      <c r="O37" t="s">
        <v>18</v>
      </c>
      <c r="P37" t="s">
        <v>11</v>
      </c>
    </row>
    <row r="38" spans="1:16" x14ac:dyDescent="0.3">
      <c r="A38" s="2">
        <v>10015</v>
      </c>
      <c r="B38" s="2">
        <v>568</v>
      </c>
      <c r="C38" s="2">
        <v>2046</v>
      </c>
      <c r="D38" s="2">
        <v>308</v>
      </c>
      <c r="E38" s="4">
        <v>45351</v>
      </c>
      <c r="F38" s="4">
        <v>45358</v>
      </c>
      <c r="G38" s="2">
        <f t="shared" si="0"/>
        <v>7</v>
      </c>
      <c r="H38" s="2">
        <v>93</v>
      </c>
      <c r="I38" t="s">
        <v>42</v>
      </c>
      <c r="J38" t="s">
        <v>27</v>
      </c>
      <c r="K38" s="2">
        <v>38.130000000000003</v>
      </c>
      <c r="L38" s="3">
        <v>649.34</v>
      </c>
      <c r="M38" s="3">
        <f>orders_1[[#This Row],[products.Base_Price]]*orders_1[[#This Row],[Quantity]]</f>
        <v>60388.62</v>
      </c>
      <c r="N38" t="s">
        <v>23</v>
      </c>
      <c r="O38" t="s">
        <v>14</v>
      </c>
      <c r="P38" t="s">
        <v>19</v>
      </c>
    </row>
    <row r="39" spans="1:16" x14ac:dyDescent="0.3">
      <c r="A39" s="2">
        <v>10054</v>
      </c>
      <c r="B39" s="2">
        <v>778</v>
      </c>
      <c r="C39" s="2">
        <v>2046</v>
      </c>
      <c r="D39" s="2">
        <v>301</v>
      </c>
      <c r="E39" s="4">
        <v>45518</v>
      </c>
      <c r="F39" s="4">
        <v>45526</v>
      </c>
      <c r="G39" s="2">
        <f t="shared" si="0"/>
        <v>8</v>
      </c>
      <c r="H39" s="2">
        <v>17</v>
      </c>
      <c r="I39" t="s">
        <v>78</v>
      </c>
      <c r="J39" t="s">
        <v>27</v>
      </c>
      <c r="K39" s="2">
        <v>38.130000000000003</v>
      </c>
      <c r="L39" s="3">
        <v>649.34</v>
      </c>
      <c r="M39" s="3">
        <f>orders_1[[#This Row],[products.Base_Price]]*orders_1[[#This Row],[Quantity]]</f>
        <v>11038.78</v>
      </c>
      <c r="N39" t="s">
        <v>8</v>
      </c>
      <c r="O39" t="s">
        <v>10</v>
      </c>
      <c r="P39" t="s">
        <v>11</v>
      </c>
    </row>
    <row r="40" spans="1:16" x14ac:dyDescent="0.3">
      <c r="A40" s="2">
        <v>10088</v>
      </c>
      <c r="B40" s="2">
        <v>731</v>
      </c>
      <c r="C40" s="2">
        <v>2015</v>
      </c>
      <c r="D40" s="2">
        <v>305</v>
      </c>
      <c r="E40" s="4">
        <v>45502</v>
      </c>
      <c r="F40" s="4">
        <v>45509</v>
      </c>
      <c r="G40" s="2">
        <f t="shared" si="0"/>
        <v>7</v>
      </c>
      <c r="H40" s="2">
        <v>53</v>
      </c>
      <c r="I40" t="s">
        <v>39</v>
      </c>
      <c r="J40" t="s">
        <v>13</v>
      </c>
      <c r="K40" s="2">
        <v>35.520000000000003</v>
      </c>
      <c r="L40" s="3">
        <v>638.11</v>
      </c>
      <c r="M40" s="3">
        <f>orders_1[[#This Row],[products.Base_Price]]*orders_1[[#This Row],[Quantity]]</f>
        <v>33819.83</v>
      </c>
      <c r="N40" t="s">
        <v>20</v>
      </c>
      <c r="O40" t="s">
        <v>10</v>
      </c>
      <c r="P40" t="s">
        <v>19</v>
      </c>
    </row>
    <row r="41" spans="1:16" x14ac:dyDescent="0.3">
      <c r="A41" s="2">
        <v>10016</v>
      </c>
      <c r="B41" s="2">
        <v>883</v>
      </c>
      <c r="C41" s="2">
        <v>2005</v>
      </c>
      <c r="D41" s="2">
        <v>304</v>
      </c>
      <c r="E41" s="4">
        <v>45591</v>
      </c>
      <c r="F41" s="4">
        <v>45593</v>
      </c>
      <c r="G41" s="2">
        <f t="shared" si="0"/>
        <v>2</v>
      </c>
      <c r="H41" s="2">
        <v>47</v>
      </c>
      <c r="I41" t="s">
        <v>39</v>
      </c>
      <c r="J41" t="s">
        <v>9</v>
      </c>
      <c r="K41" s="2">
        <v>13.6</v>
      </c>
      <c r="L41" s="3">
        <v>606.04999999999995</v>
      </c>
      <c r="M41" s="3">
        <f>orders_1[[#This Row],[products.Base_Price]]*orders_1[[#This Row],[Quantity]]</f>
        <v>28484.35</v>
      </c>
      <c r="N41" t="s">
        <v>17</v>
      </c>
      <c r="O41" t="s">
        <v>18</v>
      </c>
      <c r="P41" t="s">
        <v>19</v>
      </c>
    </row>
    <row r="42" spans="1:16" x14ac:dyDescent="0.3">
      <c r="A42" s="2">
        <v>10051</v>
      </c>
      <c r="B42" s="2">
        <v>601</v>
      </c>
      <c r="C42" s="2">
        <v>2016</v>
      </c>
      <c r="D42" s="2">
        <v>312</v>
      </c>
      <c r="E42" s="4">
        <v>45437</v>
      </c>
      <c r="F42" s="4">
        <v>45447</v>
      </c>
      <c r="G42" s="2">
        <f t="shared" si="0"/>
        <v>10</v>
      </c>
      <c r="H42" s="2">
        <v>79</v>
      </c>
      <c r="I42" t="s">
        <v>36</v>
      </c>
      <c r="J42" t="s">
        <v>13</v>
      </c>
      <c r="K42" s="2">
        <v>12.52</v>
      </c>
      <c r="L42" s="3">
        <v>709.8</v>
      </c>
      <c r="M42" s="3">
        <f>orders_1[[#This Row],[products.Base_Price]]*orders_1[[#This Row],[Quantity]]</f>
        <v>56074.2</v>
      </c>
      <c r="N42" t="s">
        <v>15</v>
      </c>
      <c r="O42" t="s">
        <v>10</v>
      </c>
      <c r="P42" t="s">
        <v>11</v>
      </c>
    </row>
    <row r="43" spans="1:16" x14ac:dyDescent="0.3">
      <c r="A43" s="2">
        <v>10017</v>
      </c>
      <c r="B43" s="2">
        <v>708</v>
      </c>
      <c r="C43" s="2">
        <v>2009</v>
      </c>
      <c r="D43" s="2">
        <v>317</v>
      </c>
      <c r="E43" s="4">
        <v>45497</v>
      </c>
      <c r="F43" s="4">
        <v>45507</v>
      </c>
      <c r="G43" s="2">
        <f t="shared" si="0"/>
        <v>10</v>
      </c>
      <c r="H43" s="2">
        <v>25</v>
      </c>
      <c r="I43" t="s">
        <v>39</v>
      </c>
      <c r="J43" t="s">
        <v>21</v>
      </c>
      <c r="K43" s="2">
        <v>16.82</v>
      </c>
      <c r="L43" s="3">
        <v>376.01</v>
      </c>
      <c r="M43" s="3">
        <f>orders_1[[#This Row],[products.Base_Price]]*orders_1[[#This Row],[Quantity]]</f>
        <v>9400.25</v>
      </c>
      <c r="N43" t="s">
        <v>20</v>
      </c>
      <c r="O43" t="s">
        <v>25</v>
      </c>
      <c r="P43" t="s">
        <v>19</v>
      </c>
    </row>
    <row r="44" spans="1:16" x14ac:dyDescent="0.3">
      <c r="A44" s="2">
        <v>10029</v>
      </c>
      <c r="B44" s="2">
        <v>869</v>
      </c>
      <c r="C44" s="2">
        <v>2009</v>
      </c>
      <c r="D44" s="2">
        <v>305</v>
      </c>
      <c r="E44" s="4">
        <v>45513</v>
      </c>
      <c r="F44" s="4">
        <v>45519</v>
      </c>
      <c r="G44" s="2">
        <f t="shared" si="0"/>
        <v>6</v>
      </c>
      <c r="H44" s="2">
        <v>85</v>
      </c>
      <c r="I44" t="s">
        <v>78</v>
      </c>
      <c r="J44" t="s">
        <v>21</v>
      </c>
      <c r="K44" s="2">
        <v>16.82</v>
      </c>
      <c r="L44" s="3">
        <v>376.01</v>
      </c>
      <c r="M44" s="3">
        <f>orders_1[[#This Row],[products.Base_Price]]*orders_1[[#This Row],[Quantity]]</f>
        <v>31960.85</v>
      </c>
      <c r="N44" t="s">
        <v>20</v>
      </c>
      <c r="O44" t="s">
        <v>10</v>
      </c>
      <c r="P44" t="s">
        <v>19</v>
      </c>
    </row>
    <row r="45" spans="1:16" x14ac:dyDescent="0.3">
      <c r="A45" s="2">
        <v>10031</v>
      </c>
      <c r="B45" s="2">
        <v>824</v>
      </c>
      <c r="C45" s="2">
        <v>2017</v>
      </c>
      <c r="D45" s="2">
        <v>311</v>
      </c>
      <c r="E45" s="4">
        <v>45608</v>
      </c>
      <c r="F45" s="4">
        <v>45618</v>
      </c>
      <c r="G45" s="2">
        <f t="shared" si="0"/>
        <v>10</v>
      </c>
      <c r="H45" s="2">
        <v>77</v>
      </c>
      <c r="I45" t="s">
        <v>36</v>
      </c>
      <c r="J45" t="s">
        <v>22</v>
      </c>
      <c r="K45" s="2">
        <v>38.24</v>
      </c>
      <c r="L45" s="3">
        <v>788.08</v>
      </c>
      <c r="M45" s="3">
        <f>orders_1[[#This Row],[products.Base_Price]]*orders_1[[#This Row],[Quantity]]</f>
        <v>60682.16</v>
      </c>
      <c r="N45" t="s">
        <v>26</v>
      </c>
      <c r="O45" t="s">
        <v>10</v>
      </c>
      <c r="P45" t="s">
        <v>11</v>
      </c>
    </row>
    <row r="46" spans="1:16" x14ac:dyDescent="0.3">
      <c r="A46" s="2">
        <v>10018</v>
      </c>
      <c r="B46" s="2">
        <v>672</v>
      </c>
      <c r="C46" s="2">
        <v>2080</v>
      </c>
      <c r="D46" s="2">
        <v>306</v>
      </c>
      <c r="E46" s="4">
        <v>45601</v>
      </c>
      <c r="F46" s="4">
        <v>45604</v>
      </c>
      <c r="G46" s="2">
        <f t="shared" si="0"/>
        <v>3</v>
      </c>
      <c r="H46" s="2">
        <v>12</v>
      </c>
      <c r="I46" t="s">
        <v>36</v>
      </c>
      <c r="J46" t="s">
        <v>9</v>
      </c>
      <c r="K46" s="2">
        <v>29.56</v>
      </c>
      <c r="L46" s="3">
        <v>143.84</v>
      </c>
      <c r="M46" s="3">
        <f>orders_1[[#This Row],[products.Base_Price]]*orders_1[[#This Row],[Quantity]]</f>
        <v>1726.08</v>
      </c>
      <c r="N46" t="s">
        <v>8</v>
      </c>
      <c r="O46" t="s">
        <v>10</v>
      </c>
      <c r="P46" t="s">
        <v>16</v>
      </c>
    </row>
    <row r="47" spans="1:16" x14ac:dyDescent="0.3">
      <c r="A47" s="2">
        <v>10080</v>
      </c>
      <c r="B47" s="2">
        <v>792</v>
      </c>
      <c r="C47" s="2">
        <v>2080</v>
      </c>
      <c r="D47" s="2">
        <v>301</v>
      </c>
      <c r="E47" s="4">
        <v>45550</v>
      </c>
      <c r="F47" s="4">
        <v>45551</v>
      </c>
      <c r="G47" s="2">
        <f t="shared" si="0"/>
        <v>1</v>
      </c>
      <c r="H47" s="2">
        <v>86</v>
      </c>
      <c r="I47" t="s">
        <v>36</v>
      </c>
      <c r="J47" t="s">
        <v>9</v>
      </c>
      <c r="K47" s="2">
        <v>29.56</v>
      </c>
      <c r="L47" s="3">
        <v>143.84</v>
      </c>
      <c r="M47" s="3">
        <f>orders_1[[#This Row],[products.Base_Price]]*orders_1[[#This Row],[Quantity]]</f>
        <v>12370.24</v>
      </c>
      <c r="N47" t="s">
        <v>8</v>
      </c>
      <c r="O47" t="s">
        <v>10</v>
      </c>
      <c r="P47" t="s">
        <v>11</v>
      </c>
    </row>
    <row r="48" spans="1:16" x14ac:dyDescent="0.3">
      <c r="A48" s="2">
        <v>10020</v>
      </c>
      <c r="B48" s="2">
        <v>737</v>
      </c>
      <c r="C48" s="2">
        <v>2091</v>
      </c>
      <c r="D48" s="2">
        <v>305</v>
      </c>
      <c r="E48" s="4">
        <v>45388</v>
      </c>
      <c r="F48" s="4">
        <v>45398</v>
      </c>
      <c r="G48" s="2">
        <f t="shared" si="0"/>
        <v>10</v>
      </c>
      <c r="H48" s="2">
        <v>48</v>
      </c>
      <c r="I48" t="s">
        <v>42</v>
      </c>
      <c r="J48" t="s">
        <v>21</v>
      </c>
      <c r="K48" s="2">
        <v>10.41</v>
      </c>
      <c r="L48" s="3">
        <v>271.61</v>
      </c>
      <c r="M48" s="3">
        <f>orders_1[[#This Row],[products.Base_Price]]*orders_1[[#This Row],[Quantity]]</f>
        <v>13037.28</v>
      </c>
      <c r="N48" t="s">
        <v>20</v>
      </c>
      <c r="O48" t="s">
        <v>10</v>
      </c>
      <c r="P48" t="s">
        <v>19</v>
      </c>
    </row>
    <row r="49" spans="1:16" x14ac:dyDescent="0.3">
      <c r="A49" s="2">
        <v>10030</v>
      </c>
      <c r="B49" s="2">
        <v>839</v>
      </c>
      <c r="C49" s="2">
        <v>2091</v>
      </c>
      <c r="D49" s="2">
        <v>304</v>
      </c>
      <c r="E49" s="4">
        <v>45469</v>
      </c>
      <c r="F49" s="4">
        <v>45472</v>
      </c>
      <c r="G49" s="2">
        <f t="shared" si="0"/>
        <v>3</v>
      </c>
      <c r="H49" s="2">
        <v>81</v>
      </c>
      <c r="I49" t="s">
        <v>42</v>
      </c>
      <c r="J49" t="s">
        <v>21</v>
      </c>
      <c r="K49" s="2">
        <v>10.41</v>
      </c>
      <c r="L49" s="3">
        <v>271.61</v>
      </c>
      <c r="M49" s="3">
        <f>orders_1[[#This Row],[products.Base_Price]]*orders_1[[#This Row],[Quantity]]</f>
        <v>22000.41</v>
      </c>
      <c r="N49" t="s">
        <v>17</v>
      </c>
      <c r="O49" t="s">
        <v>18</v>
      </c>
      <c r="P49" t="s">
        <v>19</v>
      </c>
    </row>
    <row r="50" spans="1:16" x14ac:dyDescent="0.3">
      <c r="A50" s="2">
        <v>10072</v>
      </c>
      <c r="B50" s="2">
        <v>816</v>
      </c>
      <c r="C50" s="2">
        <v>2020</v>
      </c>
      <c r="D50" s="2">
        <v>308</v>
      </c>
      <c r="E50" s="4">
        <v>45530</v>
      </c>
      <c r="F50" s="4">
        <v>45537</v>
      </c>
      <c r="G50" s="2">
        <f t="shared" si="0"/>
        <v>7</v>
      </c>
      <c r="H50" s="2">
        <v>64</v>
      </c>
      <c r="I50" t="s">
        <v>78</v>
      </c>
      <c r="J50" t="s">
        <v>27</v>
      </c>
      <c r="K50" s="2">
        <v>35.94</v>
      </c>
      <c r="L50" s="3">
        <v>44.04</v>
      </c>
      <c r="M50" s="3">
        <f>orders_1[[#This Row],[products.Base_Price]]*orders_1[[#This Row],[Quantity]]</f>
        <v>2818.56</v>
      </c>
      <c r="N50" t="s">
        <v>23</v>
      </c>
      <c r="O50" t="s">
        <v>14</v>
      </c>
      <c r="P50" t="s">
        <v>19</v>
      </c>
    </row>
    <row r="51" spans="1:16" x14ac:dyDescent="0.3">
      <c r="A51" s="2">
        <v>10084</v>
      </c>
      <c r="B51" s="2">
        <v>673</v>
      </c>
      <c r="C51" s="2">
        <v>2020</v>
      </c>
      <c r="D51" s="2">
        <v>307</v>
      </c>
      <c r="E51" s="4">
        <v>45445</v>
      </c>
      <c r="F51" s="4">
        <v>45446</v>
      </c>
      <c r="G51" s="2">
        <f t="shared" si="0"/>
        <v>1</v>
      </c>
      <c r="H51" s="2">
        <v>22</v>
      </c>
      <c r="I51" t="s">
        <v>42</v>
      </c>
      <c r="J51" t="s">
        <v>27</v>
      </c>
      <c r="K51" s="2">
        <v>35.94</v>
      </c>
      <c r="L51" s="3">
        <v>44.04</v>
      </c>
      <c r="M51" s="3">
        <f>orders_1[[#This Row],[products.Base_Price]]*orders_1[[#This Row],[Quantity]]</f>
        <v>968.88</v>
      </c>
      <c r="N51" t="s">
        <v>17</v>
      </c>
      <c r="O51" t="s">
        <v>10</v>
      </c>
      <c r="P51" t="s">
        <v>11</v>
      </c>
    </row>
    <row r="52" spans="1:16" x14ac:dyDescent="0.3">
      <c r="A52" s="2">
        <v>10046</v>
      </c>
      <c r="B52" s="2">
        <v>597</v>
      </c>
      <c r="C52" s="2">
        <v>2021</v>
      </c>
      <c r="D52" s="2">
        <v>317</v>
      </c>
      <c r="E52" s="4">
        <v>45388</v>
      </c>
      <c r="F52" s="4">
        <v>45393</v>
      </c>
      <c r="G52" s="2">
        <f t="shared" si="0"/>
        <v>5</v>
      </c>
      <c r="H52" s="2">
        <v>23</v>
      </c>
      <c r="I52" t="s">
        <v>78</v>
      </c>
      <c r="J52" t="s">
        <v>9</v>
      </c>
      <c r="K52" s="2">
        <v>18.77</v>
      </c>
      <c r="L52" s="3">
        <v>259.72000000000003</v>
      </c>
      <c r="M52" s="3">
        <f>orders_1[[#This Row],[products.Base_Price]]*orders_1[[#This Row],[Quantity]]</f>
        <v>5973.56</v>
      </c>
      <c r="N52" t="s">
        <v>20</v>
      </c>
      <c r="O52" t="s">
        <v>25</v>
      </c>
      <c r="P52" t="s">
        <v>19</v>
      </c>
    </row>
    <row r="53" spans="1:16" x14ac:dyDescent="0.3">
      <c r="A53" s="2">
        <v>10022</v>
      </c>
      <c r="B53" s="2">
        <v>865</v>
      </c>
      <c r="C53" s="2">
        <v>2065</v>
      </c>
      <c r="D53" s="2">
        <v>317</v>
      </c>
      <c r="E53" s="4">
        <v>45536</v>
      </c>
      <c r="F53" s="4">
        <v>45538</v>
      </c>
      <c r="G53" s="2">
        <f t="shared" si="0"/>
        <v>2</v>
      </c>
      <c r="H53" s="2">
        <v>29</v>
      </c>
      <c r="I53" t="s">
        <v>36</v>
      </c>
      <c r="J53" t="s">
        <v>13</v>
      </c>
      <c r="K53" s="2">
        <v>26.94</v>
      </c>
      <c r="L53" s="3">
        <v>155.15</v>
      </c>
      <c r="M53" s="3">
        <f>orders_1[[#This Row],[products.Base_Price]]*orders_1[[#This Row],[Quantity]]</f>
        <v>4499.3500000000004</v>
      </c>
      <c r="N53" t="s">
        <v>20</v>
      </c>
      <c r="O53" t="s">
        <v>25</v>
      </c>
      <c r="P53" t="s">
        <v>19</v>
      </c>
    </row>
    <row r="54" spans="1:16" x14ac:dyDescent="0.3">
      <c r="A54" s="2">
        <v>10023</v>
      </c>
      <c r="B54" s="2">
        <v>813</v>
      </c>
      <c r="C54" s="2">
        <v>2095</v>
      </c>
      <c r="D54" s="2">
        <v>310</v>
      </c>
      <c r="E54" s="4">
        <v>45538</v>
      </c>
      <c r="F54" s="4">
        <v>45542</v>
      </c>
      <c r="G54" s="2">
        <f t="shared" si="0"/>
        <v>4</v>
      </c>
      <c r="H54" s="2">
        <v>9</v>
      </c>
      <c r="I54" t="s">
        <v>42</v>
      </c>
      <c r="J54" t="s">
        <v>13</v>
      </c>
      <c r="K54" s="2">
        <v>38.81</v>
      </c>
      <c r="L54" s="3">
        <v>761.63</v>
      </c>
      <c r="M54" s="3">
        <f>orders_1[[#This Row],[products.Base_Price]]*orders_1[[#This Row],[Quantity]]</f>
        <v>6854.67</v>
      </c>
      <c r="N54" t="s">
        <v>26</v>
      </c>
      <c r="O54" t="s">
        <v>25</v>
      </c>
      <c r="P54" t="s">
        <v>11</v>
      </c>
    </row>
    <row r="55" spans="1:16" x14ac:dyDescent="0.3">
      <c r="A55" s="2">
        <v>10036</v>
      </c>
      <c r="B55" s="2">
        <v>735</v>
      </c>
      <c r="C55" s="2">
        <v>2095</v>
      </c>
      <c r="D55" s="2">
        <v>309</v>
      </c>
      <c r="E55" s="4">
        <v>45489</v>
      </c>
      <c r="F55" s="4">
        <v>45490</v>
      </c>
      <c r="G55" s="2">
        <f t="shared" si="0"/>
        <v>1</v>
      </c>
      <c r="H55" s="2">
        <v>79</v>
      </c>
      <c r="I55" t="s">
        <v>36</v>
      </c>
      <c r="J55" t="s">
        <v>13</v>
      </c>
      <c r="K55" s="2">
        <v>38.81</v>
      </c>
      <c r="L55" s="3">
        <v>761.63</v>
      </c>
      <c r="M55" s="3">
        <f>orders_1[[#This Row],[products.Base_Price]]*orders_1[[#This Row],[Quantity]]</f>
        <v>60168.77</v>
      </c>
      <c r="N55" t="s">
        <v>24</v>
      </c>
      <c r="O55" t="s">
        <v>25</v>
      </c>
      <c r="P55" t="s">
        <v>16</v>
      </c>
    </row>
    <row r="56" spans="1:16" x14ac:dyDescent="0.3">
      <c r="A56" s="2">
        <v>10037</v>
      </c>
      <c r="B56" s="2">
        <v>575</v>
      </c>
      <c r="C56" s="2">
        <v>2095</v>
      </c>
      <c r="D56" s="2">
        <v>311</v>
      </c>
      <c r="E56" s="4">
        <v>45452</v>
      </c>
      <c r="F56" s="4">
        <v>45456</v>
      </c>
      <c r="G56" s="2">
        <f t="shared" si="0"/>
        <v>4</v>
      </c>
      <c r="H56" s="2">
        <v>23</v>
      </c>
      <c r="I56" t="s">
        <v>42</v>
      </c>
      <c r="J56" t="s">
        <v>13</v>
      </c>
      <c r="K56" s="2">
        <v>38.81</v>
      </c>
      <c r="L56" s="3">
        <v>761.63</v>
      </c>
      <c r="M56" s="3">
        <f>orders_1[[#This Row],[products.Base_Price]]*orders_1[[#This Row],[Quantity]]</f>
        <v>17517.490000000002</v>
      </c>
      <c r="N56" t="s">
        <v>26</v>
      </c>
      <c r="O56" t="s">
        <v>10</v>
      </c>
      <c r="P56" t="s">
        <v>11</v>
      </c>
    </row>
    <row r="57" spans="1:16" x14ac:dyDescent="0.3">
      <c r="A57" s="2">
        <v>10066</v>
      </c>
      <c r="B57" s="2">
        <v>608</v>
      </c>
      <c r="C57" s="2">
        <v>2044</v>
      </c>
      <c r="D57" s="2">
        <v>320</v>
      </c>
      <c r="E57" s="4">
        <v>45366</v>
      </c>
      <c r="F57" s="4">
        <v>45376</v>
      </c>
      <c r="G57" s="2">
        <f t="shared" si="0"/>
        <v>10</v>
      </c>
      <c r="H57" s="2">
        <v>48</v>
      </c>
      <c r="I57" t="s">
        <v>39</v>
      </c>
      <c r="J57" t="s">
        <v>21</v>
      </c>
      <c r="K57" s="2">
        <v>11.44</v>
      </c>
      <c r="L57" s="3">
        <v>939.99</v>
      </c>
      <c r="M57" s="3">
        <f>orders_1[[#This Row],[products.Base_Price]]*orders_1[[#This Row],[Quantity]]</f>
        <v>45119.520000000004</v>
      </c>
      <c r="N57" t="s">
        <v>15</v>
      </c>
      <c r="O57" t="s">
        <v>25</v>
      </c>
      <c r="P57" t="s">
        <v>11</v>
      </c>
    </row>
    <row r="58" spans="1:16" x14ac:dyDescent="0.3">
      <c r="A58" s="2">
        <v>10025</v>
      </c>
      <c r="B58" s="2">
        <v>829</v>
      </c>
      <c r="C58" s="2">
        <v>2055</v>
      </c>
      <c r="D58" s="2">
        <v>304</v>
      </c>
      <c r="E58" s="4">
        <v>45299</v>
      </c>
      <c r="F58" s="4">
        <v>45303</v>
      </c>
      <c r="G58" s="2">
        <f t="shared" si="0"/>
        <v>4</v>
      </c>
      <c r="H58" s="2">
        <v>67</v>
      </c>
      <c r="I58" t="s">
        <v>78</v>
      </c>
      <c r="J58" t="s">
        <v>27</v>
      </c>
      <c r="K58" s="2">
        <v>26.24</v>
      </c>
      <c r="L58" s="3">
        <v>312.67</v>
      </c>
      <c r="M58" s="3">
        <f>orders_1[[#This Row],[products.Base_Price]]*orders_1[[#This Row],[Quantity]]</f>
        <v>20948.89</v>
      </c>
      <c r="N58" t="s">
        <v>17</v>
      </c>
      <c r="O58" t="s">
        <v>18</v>
      </c>
      <c r="P58" t="s">
        <v>19</v>
      </c>
    </row>
    <row r="59" spans="1:16" x14ac:dyDescent="0.3">
      <c r="A59" s="2">
        <v>10049</v>
      </c>
      <c r="B59" s="2">
        <v>680</v>
      </c>
      <c r="C59" s="2">
        <v>2055</v>
      </c>
      <c r="D59" s="2">
        <v>306</v>
      </c>
      <c r="E59" s="4">
        <v>45495</v>
      </c>
      <c r="F59" s="4">
        <v>45496</v>
      </c>
      <c r="G59" s="2">
        <f t="shared" si="0"/>
        <v>1</v>
      </c>
      <c r="H59" s="2">
        <v>59</v>
      </c>
      <c r="I59" t="s">
        <v>36</v>
      </c>
      <c r="J59" t="s">
        <v>27</v>
      </c>
      <c r="K59" s="2">
        <v>26.24</v>
      </c>
      <c r="L59" s="3">
        <v>312.67</v>
      </c>
      <c r="M59" s="3">
        <f>orders_1[[#This Row],[products.Base_Price]]*orders_1[[#This Row],[Quantity]]</f>
        <v>18447.530000000002</v>
      </c>
      <c r="N59" t="s">
        <v>8</v>
      </c>
      <c r="O59" t="s">
        <v>10</v>
      </c>
      <c r="P59" t="s">
        <v>16</v>
      </c>
    </row>
    <row r="60" spans="1:16" x14ac:dyDescent="0.3">
      <c r="A60" s="2">
        <v>10026</v>
      </c>
      <c r="B60" s="2">
        <v>661</v>
      </c>
      <c r="C60" s="2">
        <v>2066</v>
      </c>
      <c r="D60" s="2">
        <v>316</v>
      </c>
      <c r="E60" s="4">
        <v>45569</v>
      </c>
      <c r="F60" s="4">
        <v>45578</v>
      </c>
      <c r="G60" s="2">
        <f t="shared" si="0"/>
        <v>9</v>
      </c>
      <c r="H60" s="2">
        <v>31</v>
      </c>
      <c r="I60" t="s">
        <v>42</v>
      </c>
      <c r="J60" t="s">
        <v>9</v>
      </c>
      <c r="K60" s="2">
        <v>43.64</v>
      </c>
      <c r="L60" s="3">
        <v>832.31</v>
      </c>
      <c r="M60" s="3">
        <f>orders_1[[#This Row],[products.Base_Price]]*orders_1[[#This Row],[Quantity]]</f>
        <v>25801.609999999997</v>
      </c>
      <c r="N60" t="s">
        <v>24</v>
      </c>
      <c r="O60" t="s">
        <v>25</v>
      </c>
      <c r="P60" t="s">
        <v>19</v>
      </c>
    </row>
    <row r="61" spans="1:16" x14ac:dyDescent="0.3">
      <c r="A61" s="2">
        <v>10043</v>
      </c>
      <c r="B61" s="2">
        <v>798</v>
      </c>
      <c r="C61" s="2">
        <v>2066</v>
      </c>
      <c r="D61" s="2">
        <v>315</v>
      </c>
      <c r="E61" s="4">
        <v>45440</v>
      </c>
      <c r="F61" s="4">
        <v>45444</v>
      </c>
      <c r="G61" s="2">
        <f t="shared" si="0"/>
        <v>4</v>
      </c>
      <c r="H61" s="2">
        <v>30</v>
      </c>
      <c r="I61" t="s">
        <v>36</v>
      </c>
      <c r="J61" t="s">
        <v>9</v>
      </c>
      <c r="K61" s="2">
        <v>43.64</v>
      </c>
      <c r="L61" s="3">
        <v>832.31</v>
      </c>
      <c r="M61" s="3">
        <f>orders_1[[#This Row],[products.Base_Price]]*orders_1[[#This Row],[Quantity]]</f>
        <v>24969.3</v>
      </c>
      <c r="N61" t="s">
        <v>15</v>
      </c>
      <c r="O61" t="s">
        <v>25</v>
      </c>
      <c r="P61" t="s">
        <v>19</v>
      </c>
    </row>
    <row r="62" spans="1:16" x14ac:dyDescent="0.3">
      <c r="A62" s="2">
        <v>10027</v>
      </c>
      <c r="B62" s="2">
        <v>569</v>
      </c>
      <c r="C62" s="2">
        <v>2098</v>
      </c>
      <c r="D62" s="2">
        <v>307</v>
      </c>
      <c r="E62" s="4">
        <v>45554</v>
      </c>
      <c r="F62" s="4">
        <v>45559</v>
      </c>
      <c r="G62" s="2">
        <f t="shared" si="0"/>
        <v>5</v>
      </c>
      <c r="H62" s="2">
        <v>50</v>
      </c>
      <c r="I62" t="s">
        <v>78</v>
      </c>
      <c r="J62" t="s">
        <v>13</v>
      </c>
      <c r="K62" s="2">
        <v>25.35</v>
      </c>
      <c r="L62" s="3">
        <v>571.58000000000004</v>
      </c>
      <c r="M62" s="3">
        <f>orders_1[[#This Row],[products.Base_Price]]*orders_1[[#This Row],[Quantity]]</f>
        <v>28579.000000000004</v>
      </c>
      <c r="N62" t="s">
        <v>17</v>
      </c>
      <c r="O62" t="s">
        <v>10</v>
      </c>
      <c r="P62" t="s">
        <v>11</v>
      </c>
    </row>
    <row r="63" spans="1:16" x14ac:dyDescent="0.3">
      <c r="A63" s="2">
        <v>10077</v>
      </c>
      <c r="B63" s="2">
        <v>705</v>
      </c>
      <c r="C63" s="2">
        <v>2098</v>
      </c>
      <c r="D63" s="2">
        <v>311</v>
      </c>
      <c r="E63" s="4">
        <v>45466</v>
      </c>
      <c r="F63" s="4">
        <v>45470</v>
      </c>
      <c r="G63" s="2">
        <f t="shared" si="0"/>
        <v>4</v>
      </c>
      <c r="H63" s="2">
        <v>45</v>
      </c>
      <c r="I63" t="s">
        <v>39</v>
      </c>
      <c r="J63" t="s">
        <v>13</v>
      </c>
      <c r="K63" s="2">
        <v>25.35</v>
      </c>
      <c r="L63" s="3">
        <v>571.58000000000004</v>
      </c>
      <c r="M63" s="3">
        <f>orders_1[[#This Row],[products.Base_Price]]*orders_1[[#This Row],[Quantity]]</f>
        <v>25721.100000000002</v>
      </c>
      <c r="N63" t="s">
        <v>26</v>
      </c>
      <c r="O63" t="s">
        <v>10</v>
      </c>
      <c r="P63" t="s">
        <v>11</v>
      </c>
    </row>
    <row r="64" spans="1:16" x14ac:dyDescent="0.3">
      <c r="A64" s="2">
        <v>10095</v>
      </c>
      <c r="B64" s="2">
        <v>706</v>
      </c>
      <c r="C64" s="2">
        <v>2027</v>
      </c>
      <c r="D64" s="2">
        <v>316</v>
      </c>
      <c r="E64" s="4">
        <v>45566</v>
      </c>
      <c r="F64" s="4">
        <v>45572</v>
      </c>
      <c r="G64" s="2">
        <f t="shared" si="0"/>
        <v>6</v>
      </c>
      <c r="H64" s="2">
        <v>42</v>
      </c>
      <c r="I64" t="s">
        <v>78</v>
      </c>
      <c r="J64" t="s">
        <v>13</v>
      </c>
      <c r="K64" s="2">
        <v>45.95</v>
      </c>
      <c r="L64" s="3">
        <v>454.58</v>
      </c>
      <c r="M64" s="3">
        <f>orders_1[[#This Row],[products.Base_Price]]*orders_1[[#This Row],[Quantity]]</f>
        <v>19092.36</v>
      </c>
      <c r="N64" t="s">
        <v>24</v>
      </c>
      <c r="O64" t="s">
        <v>25</v>
      </c>
      <c r="P64" t="s">
        <v>19</v>
      </c>
    </row>
    <row r="65" spans="1:16" x14ac:dyDescent="0.3">
      <c r="A65" s="2">
        <v>10078</v>
      </c>
      <c r="B65" s="2">
        <v>820</v>
      </c>
      <c r="C65" s="2">
        <v>2028</v>
      </c>
      <c r="D65" s="2">
        <v>318</v>
      </c>
      <c r="E65" s="4">
        <v>45447</v>
      </c>
      <c r="F65" s="4">
        <v>45452</v>
      </c>
      <c r="G65" s="2">
        <f t="shared" si="0"/>
        <v>5</v>
      </c>
      <c r="H65" s="2">
        <v>71</v>
      </c>
      <c r="I65" t="s">
        <v>42</v>
      </c>
      <c r="J65" t="s">
        <v>13</v>
      </c>
      <c r="K65" s="2">
        <v>30.34</v>
      </c>
      <c r="L65" s="3">
        <v>630.65</v>
      </c>
      <c r="M65" s="3">
        <f>orders_1[[#This Row],[products.Base_Price]]*orders_1[[#This Row],[Quantity]]</f>
        <v>44776.15</v>
      </c>
      <c r="N65" t="s">
        <v>17</v>
      </c>
      <c r="O65" t="s">
        <v>10</v>
      </c>
      <c r="P65" t="s">
        <v>19</v>
      </c>
    </row>
    <row r="66" spans="1:16" x14ac:dyDescent="0.3">
      <c r="A66" s="2">
        <v>10100</v>
      </c>
      <c r="B66" s="2">
        <v>736</v>
      </c>
      <c r="C66" s="2">
        <v>2028</v>
      </c>
      <c r="D66" s="2">
        <v>301</v>
      </c>
      <c r="E66" s="4">
        <v>45333</v>
      </c>
      <c r="F66" s="4">
        <v>45342</v>
      </c>
      <c r="G66" s="2">
        <f t="shared" ref="G66:G129" si="1">F66-E66</f>
        <v>9</v>
      </c>
      <c r="H66" s="2">
        <v>25</v>
      </c>
      <c r="I66" t="s">
        <v>78</v>
      </c>
      <c r="J66" t="s">
        <v>13</v>
      </c>
      <c r="K66" s="2">
        <v>30.34</v>
      </c>
      <c r="L66" s="3">
        <v>630.65</v>
      </c>
      <c r="M66" s="3">
        <f>orders_1[[#This Row],[products.Base_Price]]*orders_1[[#This Row],[Quantity]]</f>
        <v>15766.25</v>
      </c>
      <c r="N66" t="s">
        <v>8</v>
      </c>
      <c r="O66" t="s">
        <v>10</v>
      </c>
      <c r="P66" t="s">
        <v>11</v>
      </c>
    </row>
    <row r="67" spans="1:16" x14ac:dyDescent="0.3">
      <c r="A67" s="2">
        <v>10053</v>
      </c>
      <c r="B67" s="2">
        <v>824</v>
      </c>
      <c r="C67" s="2">
        <v>2029</v>
      </c>
      <c r="D67" s="2">
        <v>306</v>
      </c>
      <c r="E67" s="4">
        <v>45344</v>
      </c>
      <c r="F67" s="4">
        <v>45352</v>
      </c>
      <c r="G67" s="2">
        <f t="shared" si="1"/>
        <v>8</v>
      </c>
      <c r="H67" s="2">
        <v>49</v>
      </c>
      <c r="I67" t="s">
        <v>78</v>
      </c>
      <c r="J67" t="s">
        <v>21</v>
      </c>
      <c r="K67" s="2">
        <v>9.19</v>
      </c>
      <c r="L67" s="3">
        <v>357.06</v>
      </c>
      <c r="M67" s="3">
        <f>orders_1[[#This Row],[products.Base_Price]]*orders_1[[#This Row],[Quantity]]</f>
        <v>17495.939999999999</v>
      </c>
      <c r="N67" t="s">
        <v>8</v>
      </c>
      <c r="O67" t="s">
        <v>10</v>
      </c>
      <c r="P67" t="s">
        <v>16</v>
      </c>
    </row>
    <row r="68" spans="1:16" x14ac:dyDescent="0.3">
      <c r="A68" s="2">
        <v>10034</v>
      </c>
      <c r="B68" s="2">
        <v>509</v>
      </c>
      <c r="C68" s="2">
        <v>2030</v>
      </c>
      <c r="D68" s="2">
        <v>313</v>
      </c>
      <c r="E68" s="4">
        <v>45430</v>
      </c>
      <c r="F68" s="4">
        <v>45435</v>
      </c>
      <c r="G68" s="2">
        <f t="shared" si="1"/>
        <v>5</v>
      </c>
      <c r="H68" s="2">
        <v>58</v>
      </c>
      <c r="I68" t="s">
        <v>42</v>
      </c>
      <c r="J68" t="s">
        <v>13</v>
      </c>
      <c r="K68" s="2">
        <v>27.52</v>
      </c>
      <c r="L68" s="3">
        <v>537.03</v>
      </c>
      <c r="M68" s="3">
        <f>orders_1[[#This Row],[products.Base_Price]]*orders_1[[#This Row],[Quantity]]</f>
        <v>31147.739999999998</v>
      </c>
      <c r="N68" t="s">
        <v>15</v>
      </c>
      <c r="O68" t="s">
        <v>25</v>
      </c>
      <c r="P68" t="s">
        <v>16</v>
      </c>
    </row>
    <row r="69" spans="1:16" x14ac:dyDescent="0.3">
      <c r="A69" s="2">
        <v>10098</v>
      </c>
      <c r="B69" s="2">
        <v>590</v>
      </c>
      <c r="C69" s="2">
        <v>2030</v>
      </c>
      <c r="D69" s="2">
        <v>307</v>
      </c>
      <c r="E69" s="4">
        <v>45482</v>
      </c>
      <c r="F69" s="4">
        <v>45489</v>
      </c>
      <c r="G69" s="2">
        <f t="shared" si="1"/>
        <v>7</v>
      </c>
      <c r="H69" s="2">
        <v>85</v>
      </c>
      <c r="I69" t="s">
        <v>78</v>
      </c>
      <c r="J69" t="s">
        <v>13</v>
      </c>
      <c r="K69" s="2">
        <v>27.52</v>
      </c>
      <c r="L69" s="3">
        <v>537.03</v>
      </c>
      <c r="M69" s="3">
        <f>orders_1[[#This Row],[products.Base_Price]]*orders_1[[#This Row],[Quantity]]</f>
        <v>45647.549999999996</v>
      </c>
      <c r="N69" t="s">
        <v>17</v>
      </c>
      <c r="O69" t="s">
        <v>10</v>
      </c>
      <c r="P69" t="s">
        <v>11</v>
      </c>
    </row>
    <row r="70" spans="1:16" x14ac:dyDescent="0.3">
      <c r="A70" s="2">
        <v>10044</v>
      </c>
      <c r="B70" s="2">
        <v>612</v>
      </c>
      <c r="C70" s="2">
        <v>2031</v>
      </c>
      <c r="D70" s="2">
        <v>314</v>
      </c>
      <c r="E70" s="4">
        <v>45567</v>
      </c>
      <c r="F70" s="4">
        <v>45573</v>
      </c>
      <c r="G70" s="2">
        <f t="shared" si="1"/>
        <v>6</v>
      </c>
      <c r="H70" s="2">
        <v>86</v>
      </c>
      <c r="I70" t="s">
        <v>36</v>
      </c>
      <c r="J70" t="s">
        <v>27</v>
      </c>
      <c r="K70" s="2">
        <v>24.61</v>
      </c>
      <c r="L70" s="3">
        <v>342.86</v>
      </c>
      <c r="M70" s="3">
        <f>orders_1[[#This Row],[products.Base_Price]]*orders_1[[#This Row],[Quantity]]</f>
        <v>29485.960000000003</v>
      </c>
      <c r="N70" t="s">
        <v>17</v>
      </c>
      <c r="O70" t="s">
        <v>14</v>
      </c>
      <c r="P70" t="s">
        <v>19</v>
      </c>
    </row>
    <row r="71" spans="1:16" x14ac:dyDescent="0.3">
      <c r="A71" s="2">
        <v>10082</v>
      </c>
      <c r="B71" s="2">
        <v>881</v>
      </c>
      <c r="C71" s="2">
        <v>2031</v>
      </c>
      <c r="D71" s="2">
        <v>306</v>
      </c>
      <c r="E71" s="4">
        <v>45656</v>
      </c>
      <c r="F71" s="4">
        <v>45660</v>
      </c>
      <c r="G71" s="2">
        <f t="shared" si="1"/>
        <v>4</v>
      </c>
      <c r="H71" s="2">
        <v>3</v>
      </c>
      <c r="I71" t="s">
        <v>39</v>
      </c>
      <c r="J71" t="s">
        <v>27</v>
      </c>
      <c r="K71" s="2">
        <v>24.61</v>
      </c>
      <c r="L71" s="3">
        <v>342.86</v>
      </c>
      <c r="M71" s="3">
        <f>orders_1[[#This Row],[products.Base_Price]]*orders_1[[#This Row],[Quantity]]</f>
        <v>1028.58</v>
      </c>
      <c r="N71" t="s">
        <v>8</v>
      </c>
      <c r="O71" t="s">
        <v>10</v>
      </c>
      <c r="P71" t="s">
        <v>16</v>
      </c>
    </row>
    <row r="72" spans="1:16" x14ac:dyDescent="0.3">
      <c r="A72" s="2">
        <v>10033</v>
      </c>
      <c r="B72" s="2">
        <v>890</v>
      </c>
      <c r="C72" s="2">
        <v>2056</v>
      </c>
      <c r="D72" s="2">
        <v>319</v>
      </c>
      <c r="E72" s="4">
        <v>45346</v>
      </c>
      <c r="F72" s="4">
        <v>45348</v>
      </c>
      <c r="G72" s="2">
        <f t="shared" si="1"/>
        <v>2</v>
      </c>
      <c r="H72" s="2">
        <v>92</v>
      </c>
      <c r="I72" t="s">
        <v>78</v>
      </c>
      <c r="J72" t="s">
        <v>9</v>
      </c>
      <c r="K72" s="2">
        <v>18.559999999999999</v>
      </c>
      <c r="L72" s="3">
        <v>564.01</v>
      </c>
      <c r="M72" s="3">
        <f>orders_1[[#This Row],[products.Base_Price]]*orders_1[[#This Row],[Quantity]]</f>
        <v>51888.92</v>
      </c>
      <c r="N72" t="s">
        <v>20</v>
      </c>
      <c r="O72" t="s">
        <v>18</v>
      </c>
      <c r="P72" t="s">
        <v>11</v>
      </c>
    </row>
    <row r="73" spans="1:16" x14ac:dyDescent="0.3">
      <c r="A73" s="2">
        <v>10090</v>
      </c>
      <c r="B73" s="2">
        <v>626</v>
      </c>
      <c r="C73" s="2">
        <v>2056</v>
      </c>
      <c r="D73" s="2">
        <v>309</v>
      </c>
      <c r="E73" s="4">
        <v>45599</v>
      </c>
      <c r="F73" s="4">
        <v>45605</v>
      </c>
      <c r="G73" s="2">
        <f t="shared" si="1"/>
        <v>6</v>
      </c>
      <c r="H73" s="2">
        <v>14</v>
      </c>
      <c r="I73" t="s">
        <v>36</v>
      </c>
      <c r="J73" t="s">
        <v>9</v>
      </c>
      <c r="K73" s="2">
        <v>18.559999999999999</v>
      </c>
      <c r="L73" s="3">
        <v>564.01</v>
      </c>
      <c r="M73" s="3">
        <f>orders_1[[#This Row],[products.Base_Price]]*orders_1[[#This Row],[Quantity]]</f>
        <v>7896.1399999999994</v>
      </c>
      <c r="N73" t="s">
        <v>24</v>
      </c>
      <c r="O73" t="s">
        <v>25</v>
      </c>
      <c r="P73" t="s">
        <v>16</v>
      </c>
    </row>
    <row r="74" spans="1:16" x14ac:dyDescent="0.3">
      <c r="A74" s="2">
        <v>10035</v>
      </c>
      <c r="B74" s="2">
        <v>562</v>
      </c>
      <c r="C74" s="2">
        <v>2096</v>
      </c>
      <c r="D74" s="2">
        <v>316</v>
      </c>
      <c r="E74" s="4">
        <v>45425</v>
      </c>
      <c r="F74" s="4">
        <v>45428</v>
      </c>
      <c r="G74" s="2">
        <f t="shared" si="1"/>
        <v>3</v>
      </c>
      <c r="H74" s="2">
        <v>45</v>
      </c>
      <c r="I74" t="s">
        <v>39</v>
      </c>
      <c r="J74" t="s">
        <v>22</v>
      </c>
      <c r="K74" s="2">
        <v>20.04</v>
      </c>
      <c r="L74" s="3">
        <v>70.19</v>
      </c>
      <c r="M74" s="3">
        <f>orders_1[[#This Row],[products.Base_Price]]*orders_1[[#This Row],[Quantity]]</f>
        <v>3158.5499999999997</v>
      </c>
      <c r="N74" t="s">
        <v>24</v>
      </c>
      <c r="O74" t="s">
        <v>25</v>
      </c>
      <c r="P74" t="s">
        <v>19</v>
      </c>
    </row>
    <row r="75" spans="1:16" x14ac:dyDescent="0.3">
      <c r="A75" s="2">
        <v>10061</v>
      </c>
      <c r="B75" s="2">
        <v>610</v>
      </c>
      <c r="C75" s="2">
        <v>2035</v>
      </c>
      <c r="D75" s="2">
        <v>311</v>
      </c>
      <c r="E75" s="4">
        <v>45648</v>
      </c>
      <c r="F75" s="4">
        <v>45651</v>
      </c>
      <c r="G75" s="2">
        <f t="shared" si="1"/>
        <v>3</v>
      </c>
      <c r="H75" s="2">
        <v>45</v>
      </c>
      <c r="I75" t="s">
        <v>78</v>
      </c>
      <c r="J75" t="s">
        <v>27</v>
      </c>
      <c r="K75" s="2">
        <v>18.55</v>
      </c>
      <c r="L75" s="3">
        <v>636.37</v>
      </c>
      <c r="M75" s="3">
        <f>orders_1[[#This Row],[products.Base_Price]]*orders_1[[#This Row],[Quantity]]</f>
        <v>28636.65</v>
      </c>
      <c r="N75" t="s">
        <v>26</v>
      </c>
      <c r="O75" t="s">
        <v>10</v>
      </c>
      <c r="P75" t="s">
        <v>11</v>
      </c>
    </row>
    <row r="76" spans="1:16" x14ac:dyDescent="0.3">
      <c r="A76" s="2">
        <v>10099</v>
      </c>
      <c r="B76" s="2">
        <v>883</v>
      </c>
      <c r="C76" s="2">
        <v>2035</v>
      </c>
      <c r="D76" s="2">
        <v>313</v>
      </c>
      <c r="E76" s="4">
        <v>45333</v>
      </c>
      <c r="F76" s="4">
        <v>45335</v>
      </c>
      <c r="G76" s="2">
        <f t="shared" si="1"/>
        <v>2</v>
      </c>
      <c r="H76" s="2">
        <v>90</v>
      </c>
      <c r="I76" t="s">
        <v>42</v>
      </c>
      <c r="J76" t="s">
        <v>27</v>
      </c>
      <c r="K76" s="2">
        <v>18.55</v>
      </c>
      <c r="L76" s="3">
        <v>636.37</v>
      </c>
      <c r="M76" s="3">
        <f>orders_1[[#This Row],[products.Base_Price]]*orders_1[[#This Row],[Quantity]]</f>
        <v>57273.3</v>
      </c>
      <c r="N76" t="s">
        <v>15</v>
      </c>
      <c r="O76" t="s">
        <v>25</v>
      </c>
      <c r="P76" t="s">
        <v>16</v>
      </c>
    </row>
    <row r="77" spans="1:16" x14ac:dyDescent="0.3">
      <c r="A77" s="2">
        <v>10055</v>
      </c>
      <c r="B77" s="2">
        <v>569</v>
      </c>
      <c r="C77" s="2">
        <v>2037</v>
      </c>
      <c r="D77" s="2">
        <v>311</v>
      </c>
      <c r="E77" s="4">
        <v>45476</v>
      </c>
      <c r="F77" s="4">
        <v>45481</v>
      </c>
      <c r="G77" s="2">
        <f t="shared" si="1"/>
        <v>5</v>
      </c>
      <c r="H77" s="2">
        <v>22</v>
      </c>
      <c r="I77" t="s">
        <v>78</v>
      </c>
      <c r="J77" t="s">
        <v>21</v>
      </c>
      <c r="K77" s="2">
        <v>29.23</v>
      </c>
      <c r="L77" s="3">
        <v>491.44</v>
      </c>
      <c r="M77" s="3">
        <f>orders_1[[#This Row],[products.Base_Price]]*orders_1[[#This Row],[Quantity]]</f>
        <v>10811.68</v>
      </c>
      <c r="N77" t="s">
        <v>26</v>
      </c>
      <c r="O77" t="s">
        <v>10</v>
      </c>
      <c r="P77" t="s">
        <v>11</v>
      </c>
    </row>
    <row r="78" spans="1:16" x14ac:dyDescent="0.3">
      <c r="A78" s="2">
        <v>10089</v>
      </c>
      <c r="B78" s="2">
        <v>522</v>
      </c>
      <c r="C78" s="2">
        <v>2037</v>
      </c>
      <c r="D78" s="2">
        <v>306</v>
      </c>
      <c r="E78" s="4">
        <v>45632</v>
      </c>
      <c r="F78" s="4">
        <v>45638</v>
      </c>
      <c r="G78" s="2">
        <f t="shared" si="1"/>
        <v>6</v>
      </c>
      <c r="H78" s="2">
        <v>96</v>
      </c>
      <c r="I78" t="s">
        <v>39</v>
      </c>
      <c r="J78" t="s">
        <v>21</v>
      </c>
      <c r="K78" s="2">
        <v>29.23</v>
      </c>
      <c r="L78" s="3">
        <v>491.44</v>
      </c>
      <c r="M78" s="3">
        <f>orders_1[[#This Row],[products.Base_Price]]*orders_1[[#This Row],[Quantity]]</f>
        <v>47178.239999999998</v>
      </c>
      <c r="N78" t="s">
        <v>8</v>
      </c>
      <c r="O78" t="s">
        <v>10</v>
      </c>
      <c r="P78" t="s">
        <v>16</v>
      </c>
    </row>
    <row r="79" spans="1:16" x14ac:dyDescent="0.3">
      <c r="A79" s="2">
        <v>10038</v>
      </c>
      <c r="B79" s="2">
        <v>815</v>
      </c>
      <c r="C79" s="2">
        <v>2062</v>
      </c>
      <c r="D79" s="2">
        <v>301</v>
      </c>
      <c r="E79" s="4">
        <v>45365</v>
      </c>
      <c r="F79" s="4">
        <v>45367</v>
      </c>
      <c r="G79" s="2">
        <f t="shared" si="1"/>
        <v>2</v>
      </c>
      <c r="H79" s="2">
        <v>64</v>
      </c>
      <c r="I79" t="s">
        <v>78</v>
      </c>
      <c r="J79" t="s">
        <v>9</v>
      </c>
      <c r="K79" s="2">
        <v>32.479999999999997</v>
      </c>
      <c r="L79" s="3">
        <v>409.49</v>
      </c>
      <c r="M79" s="3">
        <f>orders_1[[#This Row],[products.Base_Price]]*orders_1[[#This Row],[Quantity]]</f>
        <v>26207.360000000001</v>
      </c>
      <c r="N79" t="s">
        <v>8</v>
      </c>
      <c r="O79" t="s">
        <v>10</v>
      </c>
      <c r="P79" t="s">
        <v>11</v>
      </c>
    </row>
    <row r="80" spans="1:16" x14ac:dyDescent="0.3">
      <c r="A80" s="2">
        <v>10052</v>
      </c>
      <c r="B80" s="2">
        <v>624</v>
      </c>
      <c r="C80" s="2">
        <v>2062</v>
      </c>
      <c r="D80" s="2">
        <v>315</v>
      </c>
      <c r="E80" s="4">
        <v>45394</v>
      </c>
      <c r="F80" s="4">
        <v>45398</v>
      </c>
      <c r="G80" s="2">
        <f t="shared" si="1"/>
        <v>4</v>
      </c>
      <c r="H80" s="2">
        <v>56</v>
      </c>
      <c r="I80" t="s">
        <v>78</v>
      </c>
      <c r="J80" t="s">
        <v>9</v>
      </c>
      <c r="K80" s="2">
        <v>32.479999999999997</v>
      </c>
      <c r="L80" s="3">
        <v>409.49</v>
      </c>
      <c r="M80" s="3">
        <f>orders_1[[#This Row],[products.Base_Price]]*orders_1[[#This Row],[Quantity]]</f>
        <v>22931.440000000002</v>
      </c>
      <c r="N80" t="s">
        <v>15</v>
      </c>
      <c r="O80" t="s">
        <v>25</v>
      </c>
      <c r="P80" t="s">
        <v>19</v>
      </c>
    </row>
    <row r="81" spans="1:16" x14ac:dyDescent="0.3">
      <c r="A81" s="2">
        <v>10039</v>
      </c>
      <c r="B81" s="2">
        <v>520</v>
      </c>
      <c r="C81" s="2">
        <v>2075</v>
      </c>
      <c r="D81" s="2">
        <v>309</v>
      </c>
      <c r="E81" s="4">
        <v>45493</v>
      </c>
      <c r="F81" s="4">
        <v>45496</v>
      </c>
      <c r="G81" s="2">
        <f t="shared" si="1"/>
        <v>3</v>
      </c>
      <c r="H81" s="2">
        <v>90</v>
      </c>
      <c r="I81" t="s">
        <v>78</v>
      </c>
      <c r="J81" t="s">
        <v>27</v>
      </c>
      <c r="K81" s="2">
        <v>16.57</v>
      </c>
      <c r="L81" s="3">
        <v>429.9</v>
      </c>
      <c r="M81" s="3">
        <f>orders_1[[#This Row],[products.Base_Price]]*orders_1[[#This Row],[Quantity]]</f>
        <v>38691</v>
      </c>
      <c r="N81" t="s">
        <v>24</v>
      </c>
      <c r="O81" t="s">
        <v>25</v>
      </c>
      <c r="P81" t="s">
        <v>16</v>
      </c>
    </row>
    <row r="82" spans="1:16" x14ac:dyDescent="0.3">
      <c r="A82" s="2">
        <v>10040</v>
      </c>
      <c r="B82" s="2">
        <v>871</v>
      </c>
      <c r="C82" s="2">
        <v>2040</v>
      </c>
      <c r="D82" s="2">
        <v>318</v>
      </c>
      <c r="E82" s="4">
        <v>45579</v>
      </c>
      <c r="F82" s="4">
        <v>45584</v>
      </c>
      <c r="G82" s="2">
        <f t="shared" si="1"/>
        <v>5</v>
      </c>
      <c r="H82" s="2">
        <v>94</v>
      </c>
      <c r="I82" t="s">
        <v>36</v>
      </c>
      <c r="J82" t="s">
        <v>27</v>
      </c>
      <c r="K82" s="2">
        <v>3.71</v>
      </c>
      <c r="L82" s="3">
        <v>27.53</v>
      </c>
      <c r="M82" s="3">
        <f>orders_1[[#This Row],[products.Base_Price]]*orders_1[[#This Row],[Quantity]]</f>
        <v>2587.8200000000002</v>
      </c>
      <c r="N82" t="s">
        <v>17</v>
      </c>
      <c r="O82" t="s">
        <v>10</v>
      </c>
      <c r="P82" t="s">
        <v>19</v>
      </c>
    </row>
    <row r="83" spans="1:16" x14ac:dyDescent="0.3">
      <c r="A83" s="2">
        <v>10071</v>
      </c>
      <c r="B83" s="2">
        <v>800</v>
      </c>
      <c r="C83" s="2">
        <v>2041</v>
      </c>
      <c r="D83" s="2">
        <v>312</v>
      </c>
      <c r="E83" s="4">
        <v>45419</v>
      </c>
      <c r="F83" s="4">
        <v>45421</v>
      </c>
      <c r="G83" s="2">
        <f t="shared" si="1"/>
        <v>2</v>
      </c>
      <c r="H83" s="2">
        <v>1</v>
      </c>
      <c r="I83" t="s">
        <v>78</v>
      </c>
      <c r="J83" t="s">
        <v>22</v>
      </c>
      <c r="K83" s="2">
        <v>48.2</v>
      </c>
      <c r="L83" s="3">
        <v>792.77</v>
      </c>
      <c r="M83" s="3">
        <f>orders_1[[#This Row],[products.Base_Price]]*orders_1[[#This Row],[Quantity]]</f>
        <v>792.77</v>
      </c>
      <c r="N83" t="s">
        <v>15</v>
      </c>
      <c r="O83" t="s">
        <v>10</v>
      </c>
      <c r="P83" t="s">
        <v>11</v>
      </c>
    </row>
    <row r="84" spans="1:16" x14ac:dyDescent="0.3">
      <c r="A84" s="2">
        <v>10042</v>
      </c>
      <c r="B84" s="2">
        <v>519</v>
      </c>
      <c r="C84" s="2">
        <v>2097</v>
      </c>
      <c r="D84" s="2">
        <v>309</v>
      </c>
      <c r="E84" s="4">
        <v>45442</v>
      </c>
      <c r="F84" s="4">
        <v>45448</v>
      </c>
      <c r="G84" s="2">
        <f t="shared" si="1"/>
        <v>6</v>
      </c>
      <c r="H84" s="2">
        <v>13</v>
      </c>
      <c r="I84" t="s">
        <v>78</v>
      </c>
      <c r="J84" t="s">
        <v>27</v>
      </c>
      <c r="K84" s="2">
        <v>30.63</v>
      </c>
      <c r="L84" s="3">
        <v>828.74</v>
      </c>
      <c r="M84" s="3">
        <f>orders_1[[#This Row],[products.Base_Price]]*orders_1[[#This Row],[Quantity]]</f>
        <v>10773.62</v>
      </c>
      <c r="N84" t="s">
        <v>24</v>
      </c>
      <c r="O84" t="s">
        <v>25</v>
      </c>
      <c r="P84" t="s">
        <v>16</v>
      </c>
    </row>
    <row r="85" spans="1:16" x14ac:dyDescent="0.3">
      <c r="A85" s="2">
        <v>10069</v>
      </c>
      <c r="B85" s="2">
        <v>556</v>
      </c>
      <c r="C85" s="2">
        <v>2043</v>
      </c>
      <c r="D85" s="2">
        <v>304</v>
      </c>
      <c r="E85" s="4">
        <v>45363</v>
      </c>
      <c r="F85" s="4">
        <v>45369</v>
      </c>
      <c r="G85" s="2">
        <f t="shared" si="1"/>
        <v>6</v>
      </c>
      <c r="H85" s="2">
        <v>26</v>
      </c>
      <c r="I85" t="s">
        <v>42</v>
      </c>
      <c r="J85" t="s">
        <v>27</v>
      </c>
      <c r="K85" s="2">
        <v>14.98</v>
      </c>
      <c r="L85" s="3">
        <v>375.85</v>
      </c>
      <c r="M85" s="3">
        <f>orders_1[[#This Row],[products.Base_Price]]*orders_1[[#This Row],[Quantity]]</f>
        <v>9772.1</v>
      </c>
      <c r="N85" t="s">
        <v>17</v>
      </c>
      <c r="O85" t="s">
        <v>18</v>
      </c>
      <c r="P85" t="s">
        <v>19</v>
      </c>
    </row>
    <row r="86" spans="1:16" x14ac:dyDescent="0.3">
      <c r="A86" s="2">
        <v>10094</v>
      </c>
      <c r="B86" s="2">
        <v>714</v>
      </c>
      <c r="C86" s="2">
        <v>2043</v>
      </c>
      <c r="D86" s="2">
        <v>305</v>
      </c>
      <c r="E86" s="4">
        <v>45587</v>
      </c>
      <c r="F86" s="4">
        <v>45596</v>
      </c>
      <c r="G86" s="2">
        <f t="shared" si="1"/>
        <v>9</v>
      </c>
      <c r="H86" s="2">
        <v>61</v>
      </c>
      <c r="I86" t="s">
        <v>36</v>
      </c>
      <c r="J86" t="s">
        <v>27</v>
      </c>
      <c r="K86" s="2">
        <v>14.98</v>
      </c>
      <c r="L86" s="3">
        <v>375.85</v>
      </c>
      <c r="M86" s="3">
        <f>orders_1[[#This Row],[products.Base_Price]]*orders_1[[#This Row],[Quantity]]</f>
        <v>22926.850000000002</v>
      </c>
      <c r="N86" t="s">
        <v>20</v>
      </c>
      <c r="O86" t="s">
        <v>10</v>
      </c>
      <c r="P86" t="s">
        <v>19</v>
      </c>
    </row>
    <row r="87" spans="1:16" x14ac:dyDescent="0.3">
      <c r="A87" s="2">
        <v>10073</v>
      </c>
      <c r="B87" s="2">
        <v>736</v>
      </c>
      <c r="C87" s="2">
        <v>2076</v>
      </c>
      <c r="D87" s="2">
        <v>302</v>
      </c>
      <c r="E87" s="4">
        <v>45632</v>
      </c>
      <c r="F87" s="4">
        <v>45636</v>
      </c>
      <c r="G87" s="2">
        <f t="shared" si="1"/>
        <v>4</v>
      </c>
      <c r="H87" s="2">
        <v>89</v>
      </c>
      <c r="I87" t="s">
        <v>39</v>
      </c>
      <c r="J87" t="s">
        <v>13</v>
      </c>
      <c r="K87" s="2">
        <v>14.63</v>
      </c>
      <c r="L87" s="3">
        <v>638.11</v>
      </c>
      <c r="M87" s="3">
        <f>orders_1[[#This Row],[products.Base_Price]]*orders_1[[#This Row],[Quantity]]</f>
        <v>56791.79</v>
      </c>
      <c r="N87" t="s">
        <v>12</v>
      </c>
      <c r="O87" t="s">
        <v>14</v>
      </c>
      <c r="P87" t="s">
        <v>11</v>
      </c>
    </row>
    <row r="88" spans="1:16" x14ac:dyDescent="0.3">
      <c r="A88" s="2">
        <v>10047</v>
      </c>
      <c r="B88" s="2">
        <v>813</v>
      </c>
      <c r="C88" s="2">
        <v>2074</v>
      </c>
      <c r="D88" s="2">
        <v>313</v>
      </c>
      <c r="E88" s="4">
        <v>45524</v>
      </c>
      <c r="F88" s="4">
        <v>45532</v>
      </c>
      <c r="G88" s="2">
        <f t="shared" si="1"/>
        <v>8</v>
      </c>
      <c r="H88" s="2">
        <v>98</v>
      </c>
      <c r="I88" t="s">
        <v>42</v>
      </c>
      <c r="J88" t="s">
        <v>13</v>
      </c>
      <c r="K88" s="2">
        <v>41.45</v>
      </c>
      <c r="L88" s="3">
        <v>650.42999999999995</v>
      </c>
      <c r="M88" s="3">
        <f>orders_1[[#This Row],[products.Base_Price]]*orders_1[[#This Row],[Quantity]]</f>
        <v>63742.139999999992</v>
      </c>
      <c r="N88" t="s">
        <v>15</v>
      </c>
      <c r="O88" t="s">
        <v>25</v>
      </c>
      <c r="P88" t="s">
        <v>16</v>
      </c>
    </row>
    <row r="89" spans="1:16" x14ac:dyDescent="0.3">
      <c r="A89" s="2">
        <v>10076</v>
      </c>
      <c r="B89" s="2">
        <v>638</v>
      </c>
      <c r="C89" s="2">
        <v>2047</v>
      </c>
      <c r="D89" s="2">
        <v>306</v>
      </c>
      <c r="E89" s="4">
        <v>45471</v>
      </c>
      <c r="F89" s="4">
        <v>45480</v>
      </c>
      <c r="G89" s="2">
        <f t="shared" si="1"/>
        <v>9</v>
      </c>
      <c r="H89" s="2">
        <v>86</v>
      </c>
      <c r="I89" t="s">
        <v>42</v>
      </c>
      <c r="J89" t="s">
        <v>27</v>
      </c>
      <c r="K89" s="2">
        <v>31.72</v>
      </c>
      <c r="L89" s="3">
        <v>210.46</v>
      </c>
      <c r="M89" s="3">
        <f>orders_1[[#This Row],[products.Base_Price]]*orders_1[[#This Row],[Quantity]]</f>
        <v>18099.560000000001</v>
      </c>
      <c r="N89" t="s">
        <v>8</v>
      </c>
      <c r="O89" t="s">
        <v>10</v>
      </c>
      <c r="P89" t="s">
        <v>16</v>
      </c>
    </row>
    <row r="90" spans="1:16" x14ac:dyDescent="0.3">
      <c r="A90" s="2">
        <v>10050</v>
      </c>
      <c r="B90" s="2">
        <v>569</v>
      </c>
      <c r="C90" s="2">
        <v>2100</v>
      </c>
      <c r="D90" s="2">
        <v>304</v>
      </c>
      <c r="E90" s="4">
        <v>45433</v>
      </c>
      <c r="F90" s="4">
        <v>45434</v>
      </c>
      <c r="G90" s="2">
        <f t="shared" si="1"/>
        <v>1</v>
      </c>
      <c r="H90" s="2">
        <v>32</v>
      </c>
      <c r="I90" t="s">
        <v>39</v>
      </c>
      <c r="J90" t="s">
        <v>27</v>
      </c>
      <c r="K90" s="2">
        <v>2.2799999999999998</v>
      </c>
      <c r="L90" s="3">
        <v>813.8</v>
      </c>
      <c r="M90" s="3">
        <f>orders_1[[#This Row],[products.Base_Price]]*orders_1[[#This Row],[Quantity]]</f>
        <v>26041.599999999999</v>
      </c>
      <c r="N90" t="s">
        <v>17</v>
      </c>
      <c r="O90" t="s">
        <v>18</v>
      </c>
      <c r="P90" t="s">
        <v>19</v>
      </c>
    </row>
    <row r="91" spans="1:16" x14ac:dyDescent="0.3">
      <c r="A91" s="2">
        <v>10083</v>
      </c>
      <c r="B91" s="2">
        <v>787</v>
      </c>
      <c r="C91" s="2">
        <v>2050</v>
      </c>
      <c r="D91" s="2">
        <v>317</v>
      </c>
      <c r="E91" s="4">
        <v>45435</v>
      </c>
      <c r="F91" s="4">
        <v>45436</v>
      </c>
      <c r="G91" s="2">
        <f t="shared" si="1"/>
        <v>1</v>
      </c>
      <c r="H91" s="2">
        <v>2</v>
      </c>
      <c r="I91" t="s">
        <v>78</v>
      </c>
      <c r="J91" t="s">
        <v>21</v>
      </c>
      <c r="K91" s="2">
        <v>36.43</v>
      </c>
      <c r="L91" s="3">
        <v>507.16</v>
      </c>
      <c r="M91" s="3">
        <f>orders_1[[#This Row],[products.Base_Price]]*orders_1[[#This Row],[Quantity]]</f>
        <v>1014.32</v>
      </c>
      <c r="N91" t="s">
        <v>20</v>
      </c>
      <c r="O91" t="s">
        <v>25</v>
      </c>
      <c r="P91" t="s">
        <v>19</v>
      </c>
    </row>
    <row r="92" spans="1:16" x14ac:dyDescent="0.3">
      <c r="A92" s="2">
        <v>10087</v>
      </c>
      <c r="B92" s="2">
        <v>868</v>
      </c>
      <c r="C92" s="2">
        <v>2050</v>
      </c>
      <c r="D92" s="2">
        <v>310</v>
      </c>
      <c r="E92" s="4">
        <v>45591</v>
      </c>
      <c r="F92" s="4">
        <v>45597</v>
      </c>
      <c r="G92" s="2">
        <f t="shared" si="1"/>
        <v>6</v>
      </c>
      <c r="H92" s="2">
        <v>76</v>
      </c>
      <c r="I92" t="s">
        <v>39</v>
      </c>
      <c r="J92" t="s">
        <v>21</v>
      </c>
      <c r="K92" s="2">
        <v>36.43</v>
      </c>
      <c r="L92" s="3">
        <v>507.16</v>
      </c>
      <c r="M92" s="3">
        <f>orders_1[[#This Row],[products.Base_Price]]*orders_1[[#This Row],[Quantity]]</f>
        <v>38544.160000000003</v>
      </c>
      <c r="N92" t="s">
        <v>26</v>
      </c>
      <c r="O92" t="s">
        <v>25</v>
      </c>
      <c r="P92" t="s">
        <v>11</v>
      </c>
    </row>
    <row r="93" spans="1:16" x14ac:dyDescent="0.3">
      <c r="A93" s="2">
        <v>10079</v>
      </c>
      <c r="B93" s="2">
        <v>601</v>
      </c>
      <c r="C93" s="2">
        <v>2058</v>
      </c>
      <c r="D93" s="2">
        <v>315</v>
      </c>
      <c r="E93" s="4">
        <v>45490</v>
      </c>
      <c r="F93" s="4">
        <v>45496</v>
      </c>
      <c r="G93" s="2">
        <f t="shared" si="1"/>
        <v>6</v>
      </c>
      <c r="H93" s="2">
        <v>57</v>
      </c>
      <c r="I93" t="s">
        <v>78</v>
      </c>
      <c r="J93" t="s">
        <v>27</v>
      </c>
      <c r="K93" s="2">
        <v>28.48</v>
      </c>
      <c r="L93" s="3">
        <v>13.34</v>
      </c>
      <c r="M93" s="3">
        <f>orders_1[[#This Row],[products.Base_Price]]*orders_1[[#This Row],[Quantity]]</f>
        <v>760.38</v>
      </c>
      <c r="N93" t="s">
        <v>15</v>
      </c>
      <c r="O93" t="s">
        <v>25</v>
      </c>
      <c r="P93" t="s">
        <v>19</v>
      </c>
    </row>
    <row r="94" spans="1:16" x14ac:dyDescent="0.3">
      <c r="A94" s="2">
        <v>10059</v>
      </c>
      <c r="B94" s="2">
        <v>514</v>
      </c>
      <c r="C94" s="2">
        <v>2071</v>
      </c>
      <c r="D94" s="2">
        <v>320</v>
      </c>
      <c r="E94" s="4">
        <v>45514</v>
      </c>
      <c r="F94" s="4">
        <v>45518</v>
      </c>
      <c r="G94" s="2">
        <f t="shared" si="1"/>
        <v>4</v>
      </c>
      <c r="H94" s="2">
        <v>73</v>
      </c>
      <c r="I94" t="s">
        <v>78</v>
      </c>
      <c r="J94" t="s">
        <v>27</v>
      </c>
      <c r="K94" s="2">
        <v>47.19</v>
      </c>
      <c r="L94" s="3">
        <v>711.14</v>
      </c>
      <c r="M94" s="3">
        <f>orders_1[[#This Row],[products.Base_Price]]*orders_1[[#This Row],[Quantity]]</f>
        <v>51913.22</v>
      </c>
      <c r="N94" t="s">
        <v>15</v>
      </c>
      <c r="O94" t="s">
        <v>25</v>
      </c>
      <c r="P94" t="s">
        <v>11</v>
      </c>
    </row>
    <row r="95" spans="1:16" x14ac:dyDescent="0.3">
      <c r="A95" s="2">
        <v>10070</v>
      </c>
      <c r="B95" s="2">
        <v>735</v>
      </c>
      <c r="C95" s="2">
        <v>2071</v>
      </c>
      <c r="D95" s="2">
        <v>312</v>
      </c>
      <c r="E95" s="4">
        <v>45486</v>
      </c>
      <c r="F95" s="4">
        <v>45490</v>
      </c>
      <c r="G95" s="2">
        <f t="shared" si="1"/>
        <v>4</v>
      </c>
      <c r="H95" s="2">
        <v>46</v>
      </c>
      <c r="I95" t="s">
        <v>36</v>
      </c>
      <c r="J95" t="s">
        <v>27</v>
      </c>
      <c r="K95" s="2">
        <v>47.19</v>
      </c>
      <c r="L95" s="3">
        <v>711.14</v>
      </c>
      <c r="M95" s="3">
        <f>orders_1[[#This Row],[products.Base_Price]]*orders_1[[#This Row],[Quantity]]</f>
        <v>32712.44</v>
      </c>
      <c r="N95" t="s">
        <v>15</v>
      </c>
      <c r="O95" t="s">
        <v>10</v>
      </c>
      <c r="P95" t="s">
        <v>11</v>
      </c>
    </row>
    <row r="96" spans="1:16" x14ac:dyDescent="0.3">
      <c r="A96" s="2">
        <v>10097</v>
      </c>
      <c r="B96" s="2">
        <v>760</v>
      </c>
      <c r="C96" s="2">
        <v>2071</v>
      </c>
      <c r="D96" s="2">
        <v>306</v>
      </c>
      <c r="E96" s="4">
        <v>45542</v>
      </c>
      <c r="F96" s="4">
        <v>45545</v>
      </c>
      <c r="G96" s="2">
        <f t="shared" si="1"/>
        <v>3</v>
      </c>
      <c r="H96" s="2">
        <v>70</v>
      </c>
      <c r="I96" t="s">
        <v>42</v>
      </c>
      <c r="J96" t="s">
        <v>27</v>
      </c>
      <c r="K96" s="2">
        <v>47.19</v>
      </c>
      <c r="L96" s="3">
        <v>711.14</v>
      </c>
      <c r="M96" s="3">
        <f>orders_1[[#This Row],[products.Base_Price]]*orders_1[[#This Row],[Quantity]]</f>
        <v>49779.799999999996</v>
      </c>
      <c r="N96" t="s">
        <v>8</v>
      </c>
      <c r="O96" t="s">
        <v>10</v>
      </c>
      <c r="P96" t="s">
        <v>16</v>
      </c>
    </row>
    <row r="97" spans="1:16" x14ac:dyDescent="0.3">
      <c r="A97" s="2">
        <v>10068</v>
      </c>
      <c r="B97" s="2">
        <v>544</v>
      </c>
      <c r="C97" s="2">
        <v>2059</v>
      </c>
      <c r="D97" s="2">
        <v>310</v>
      </c>
      <c r="E97" s="4">
        <v>45581</v>
      </c>
      <c r="F97" s="4">
        <v>45589</v>
      </c>
      <c r="G97" s="2">
        <f t="shared" si="1"/>
        <v>8</v>
      </c>
      <c r="H97" s="2">
        <v>54</v>
      </c>
      <c r="I97" t="s">
        <v>42</v>
      </c>
      <c r="J97" t="s">
        <v>9</v>
      </c>
      <c r="K97" s="2">
        <v>17.760000000000002</v>
      </c>
      <c r="L97" s="3">
        <v>279.55</v>
      </c>
      <c r="M97" s="3">
        <f>orders_1[[#This Row],[products.Base_Price]]*orders_1[[#This Row],[Quantity]]</f>
        <v>15095.7</v>
      </c>
      <c r="N97" t="s">
        <v>26</v>
      </c>
      <c r="O97" t="s">
        <v>25</v>
      </c>
      <c r="P97" t="s">
        <v>11</v>
      </c>
    </row>
    <row r="98" spans="1:16" x14ac:dyDescent="0.3">
      <c r="A98" s="2">
        <v>10065</v>
      </c>
      <c r="B98" s="2">
        <v>834</v>
      </c>
      <c r="C98" s="2">
        <v>2033</v>
      </c>
      <c r="D98" s="2">
        <v>311</v>
      </c>
      <c r="E98" s="4">
        <v>45657</v>
      </c>
      <c r="F98" s="4">
        <v>45661</v>
      </c>
      <c r="G98" s="2">
        <f t="shared" si="1"/>
        <v>4</v>
      </c>
      <c r="H98" s="2">
        <v>78</v>
      </c>
      <c r="I98" t="s">
        <v>39</v>
      </c>
      <c r="J98" t="s">
        <v>22</v>
      </c>
      <c r="K98" s="2">
        <v>8.33</v>
      </c>
      <c r="L98" s="3">
        <v>629.69000000000005</v>
      </c>
      <c r="M98" s="3">
        <f>orders_1[[#This Row],[products.Base_Price]]*orders_1[[#This Row],[Quantity]]</f>
        <v>49115.820000000007</v>
      </c>
      <c r="N98" t="s">
        <v>26</v>
      </c>
      <c r="O98" t="s">
        <v>10</v>
      </c>
      <c r="P98" t="s">
        <v>11</v>
      </c>
    </row>
    <row r="99" spans="1:16" x14ac:dyDescent="0.3">
      <c r="A99" s="2">
        <v>10067</v>
      </c>
      <c r="B99" s="2">
        <v>844</v>
      </c>
      <c r="C99" s="2">
        <v>2092</v>
      </c>
      <c r="D99" s="2">
        <v>312</v>
      </c>
      <c r="E99" s="4">
        <v>45389</v>
      </c>
      <c r="F99" s="4">
        <v>45399</v>
      </c>
      <c r="G99" s="2">
        <f t="shared" si="1"/>
        <v>10</v>
      </c>
      <c r="H99" s="2">
        <v>61</v>
      </c>
      <c r="I99" t="s">
        <v>36</v>
      </c>
      <c r="J99" t="s">
        <v>22</v>
      </c>
      <c r="K99" s="2">
        <v>30.97</v>
      </c>
      <c r="L99" s="3">
        <v>521.23</v>
      </c>
      <c r="M99" s="3">
        <f>orders_1[[#This Row],[products.Base_Price]]*orders_1[[#This Row],[Quantity]]</f>
        <v>31795.030000000002</v>
      </c>
      <c r="N99" t="s">
        <v>15</v>
      </c>
      <c r="O99" t="s">
        <v>10</v>
      </c>
      <c r="P99" t="s">
        <v>11</v>
      </c>
    </row>
    <row r="100" spans="1:16" x14ac:dyDescent="0.3">
      <c r="A100" s="2">
        <v>10093</v>
      </c>
      <c r="B100" s="2">
        <v>716</v>
      </c>
      <c r="C100" s="2">
        <v>2072</v>
      </c>
      <c r="D100" s="2">
        <v>306</v>
      </c>
      <c r="E100" s="4">
        <v>45616</v>
      </c>
      <c r="F100" s="4">
        <v>45618</v>
      </c>
      <c r="G100" s="2">
        <f t="shared" si="1"/>
        <v>2</v>
      </c>
      <c r="H100" s="2">
        <v>49</v>
      </c>
      <c r="I100" t="s">
        <v>42</v>
      </c>
      <c r="J100" t="s">
        <v>9</v>
      </c>
      <c r="K100" s="2">
        <v>26.22</v>
      </c>
      <c r="L100" s="3">
        <v>576.57000000000005</v>
      </c>
      <c r="M100" s="3">
        <f>orders_1[[#This Row],[products.Base_Price]]*orders_1[[#This Row],[Quantity]]</f>
        <v>28251.930000000004</v>
      </c>
      <c r="N100" t="s">
        <v>8</v>
      </c>
      <c r="O100" t="s">
        <v>10</v>
      </c>
      <c r="P100" t="s">
        <v>16</v>
      </c>
    </row>
    <row r="101" spans="1:16" x14ac:dyDescent="0.3">
      <c r="A101" s="2">
        <v>10096</v>
      </c>
      <c r="B101" s="2">
        <v>692</v>
      </c>
      <c r="C101" s="2">
        <v>2083</v>
      </c>
      <c r="D101" s="2">
        <v>318</v>
      </c>
      <c r="E101" s="4">
        <v>45462</v>
      </c>
      <c r="F101" s="4">
        <v>45471</v>
      </c>
      <c r="G101" s="2">
        <f t="shared" si="1"/>
        <v>9</v>
      </c>
      <c r="H101" s="2">
        <v>8</v>
      </c>
      <c r="I101" t="s">
        <v>36</v>
      </c>
      <c r="J101" t="s">
        <v>22</v>
      </c>
      <c r="K101" s="2">
        <v>13.79</v>
      </c>
      <c r="L101" s="3">
        <v>843.82</v>
      </c>
      <c r="M101" s="3">
        <f>orders_1[[#This Row],[products.Base_Price]]*orders_1[[#This Row],[Quantity]]</f>
        <v>6750.56</v>
      </c>
      <c r="N101" t="s">
        <v>17</v>
      </c>
      <c r="O101" t="s">
        <v>10</v>
      </c>
      <c r="P101" t="s">
        <v>19</v>
      </c>
    </row>
    <row r="102" spans="1:16" x14ac:dyDescent="0.3">
      <c r="A102" s="2">
        <v>10085</v>
      </c>
      <c r="B102" s="2">
        <v>860</v>
      </c>
      <c r="C102" s="2">
        <v>2094</v>
      </c>
      <c r="D102" s="2">
        <v>305</v>
      </c>
      <c r="E102" s="4">
        <v>45331</v>
      </c>
      <c r="F102" s="4">
        <v>45332</v>
      </c>
      <c r="G102" s="2">
        <f t="shared" si="1"/>
        <v>1</v>
      </c>
      <c r="H102" s="2">
        <v>75</v>
      </c>
      <c r="I102" t="s">
        <v>36</v>
      </c>
      <c r="J102" t="s">
        <v>27</v>
      </c>
      <c r="K102" s="2">
        <v>22.56</v>
      </c>
      <c r="L102" s="3">
        <v>393.53</v>
      </c>
      <c r="M102" s="3">
        <f>orders_1[[#This Row],[products.Base_Price]]*orders_1[[#This Row],[Quantity]]</f>
        <v>29514.749999999996</v>
      </c>
      <c r="N102" t="s">
        <v>20</v>
      </c>
      <c r="O102" t="s">
        <v>10</v>
      </c>
      <c r="P102" t="s">
        <v>19</v>
      </c>
    </row>
    <row r="103" spans="1:16" x14ac:dyDescent="0.3">
      <c r="A103" s="2">
        <v>10102</v>
      </c>
      <c r="B103" s="2">
        <v>751</v>
      </c>
      <c r="C103" s="2">
        <v>2055</v>
      </c>
      <c r="D103" s="2">
        <v>318</v>
      </c>
      <c r="E103" s="4">
        <v>45420</v>
      </c>
      <c r="F103" s="4">
        <v>45427</v>
      </c>
      <c r="G103" s="2">
        <f t="shared" si="1"/>
        <v>7</v>
      </c>
      <c r="H103" s="2">
        <v>50</v>
      </c>
      <c r="I103" t="s">
        <v>36</v>
      </c>
      <c r="J103" t="s">
        <v>27</v>
      </c>
      <c r="K103" s="2">
        <v>26.24</v>
      </c>
      <c r="L103" s="3">
        <v>312.67</v>
      </c>
      <c r="M103" s="3">
        <f>orders_1[[#This Row],[products.Base_Price]]*orders_1[[#This Row],[Quantity]]</f>
        <v>15633.5</v>
      </c>
      <c r="N103" t="s">
        <v>17</v>
      </c>
      <c r="O103" t="s">
        <v>10</v>
      </c>
      <c r="P103" t="s">
        <v>19</v>
      </c>
    </row>
    <row r="104" spans="1:16" x14ac:dyDescent="0.3">
      <c r="A104" s="2">
        <v>10103</v>
      </c>
      <c r="B104" s="2">
        <v>533</v>
      </c>
      <c r="C104" s="2">
        <v>2041</v>
      </c>
      <c r="D104" s="2">
        <v>307</v>
      </c>
      <c r="E104" s="4">
        <v>45466</v>
      </c>
      <c r="F104" s="4">
        <v>45471</v>
      </c>
      <c r="G104" s="2">
        <f t="shared" si="1"/>
        <v>5</v>
      </c>
      <c r="H104" s="2">
        <v>67</v>
      </c>
      <c r="I104" t="s">
        <v>78</v>
      </c>
      <c r="J104" t="s">
        <v>22</v>
      </c>
      <c r="K104" s="2">
        <v>48.2</v>
      </c>
      <c r="L104" s="3">
        <v>792.77</v>
      </c>
      <c r="M104" s="3">
        <f>orders_1[[#This Row],[products.Base_Price]]*orders_1[[#This Row],[Quantity]]</f>
        <v>53115.59</v>
      </c>
      <c r="N104" t="s">
        <v>17</v>
      </c>
      <c r="O104" t="s">
        <v>10</v>
      </c>
      <c r="P104" t="s">
        <v>11</v>
      </c>
    </row>
    <row r="105" spans="1:16" x14ac:dyDescent="0.3">
      <c r="A105" s="2">
        <v>10104</v>
      </c>
      <c r="B105" s="2">
        <v>596</v>
      </c>
      <c r="C105" s="2">
        <v>2011</v>
      </c>
      <c r="D105" s="2">
        <v>308</v>
      </c>
      <c r="E105" s="4">
        <v>45590</v>
      </c>
      <c r="F105" s="4">
        <v>45599</v>
      </c>
      <c r="G105" s="2">
        <f t="shared" si="1"/>
        <v>9</v>
      </c>
      <c r="H105" s="2">
        <v>82</v>
      </c>
      <c r="I105" t="s">
        <v>78</v>
      </c>
      <c r="J105" t="s">
        <v>21</v>
      </c>
      <c r="K105" s="2">
        <v>12.75</v>
      </c>
      <c r="L105" s="3">
        <v>987.99</v>
      </c>
      <c r="M105" s="3">
        <f>orders_1[[#This Row],[products.Base_Price]]*orders_1[[#This Row],[Quantity]]</f>
        <v>81015.180000000008</v>
      </c>
      <c r="N105" t="s">
        <v>23</v>
      </c>
      <c r="O105" t="s">
        <v>14</v>
      </c>
      <c r="P105" t="s">
        <v>19</v>
      </c>
    </row>
    <row r="106" spans="1:16" x14ac:dyDescent="0.3">
      <c r="A106" s="2">
        <v>10105</v>
      </c>
      <c r="B106" s="2">
        <v>715</v>
      </c>
      <c r="C106" s="2">
        <v>2078</v>
      </c>
      <c r="D106" s="2">
        <v>303</v>
      </c>
      <c r="E106" s="4">
        <v>45321</v>
      </c>
      <c r="F106" s="4">
        <v>45328</v>
      </c>
      <c r="G106" s="2">
        <f t="shared" si="1"/>
        <v>7</v>
      </c>
      <c r="H106" s="2">
        <v>40</v>
      </c>
      <c r="I106" t="s">
        <v>78</v>
      </c>
      <c r="J106" t="s">
        <v>21</v>
      </c>
      <c r="K106" s="2">
        <v>14.85</v>
      </c>
      <c r="L106" s="3">
        <v>517.03</v>
      </c>
      <c r="M106" s="3">
        <f>orders_1[[#This Row],[products.Base_Price]]*orders_1[[#This Row],[Quantity]]</f>
        <v>20681.199999999997</v>
      </c>
      <c r="N106" t="s">
        <v>15</v>
      </c>
      <c r="O106" t="s">
        <v>10</v>
      </c>
      <c r="P106" t="s">
        <v>16</v>
      </c>
    </row>
    <row r="107" spans="1:16" x14ac:dyDescent="0.3">
      <c r="A107" s="2">
        <v>10106</v>
      </c>
      <c r="B107" s="2">
        <v>676</v>
      </c>
      <c r="C107" s="2">
        <v>2049</v>
      </c>
      <c r="D107" s="2">
        <v>319</v>
      </c>
      <c r="E107" s="4">
        <v>45544</v>
      </c>
      <c r="F107" s="4">
        <v>45554</v>
      </c>
      <c r="G107" s="2">
        <f t="shared" si="1"/>
        <v>10</v>
      </c>
      <c r="H107" s="2">
        <v>94</v>
      </c>
      <c r="I107" t="s">
        <v>78</v>
      </c>
      <c r="J107" t="s">
        <v>27</v>
      </c>
      <c r="K107" s="2">
        <v>17.52</v>
      </c>
      <c r="L107" s="3">
        <v>832.77</v>
      </c>
      <c r="M107" s="3">
        <f>orders_1[[#This Row],[products.Base_Price]]*orders_1[[#This Row],[Quantity]]</f>
        <v>78280.38</v>
      </c>
      <c r="N107" t="s">
        <v>20</v>
      </c>
      <c r="O107" t="s">
        <v>18</v>
      </c>
      <c r="P107" t="s">
        <v>11</v>
      </c>
    </row>
    <row r="108" spans="1:16" x14ac:dyDescent="0.3">
      <c r="A108" s="2">
        <v>10107</v>
      </c>
      <c r="B108" s="2">
        <v>542</v>
      </c>
      <c r="C108" s="2">
        <v>2023</v>
      </c>
      <c r="D108" s="2">
        <v>311</v>
      </c>
      <c r="E108" s="4">
        <v>45537</v>
      </c>
      <c r="F108" s="4">
        <v>45543</v>
      </c>
      <c r="G108" s="2">
        <f t="shared" si="1"/>
        <v>6</v>
      </c>
      <c r="H108" s="2">
        <v>3</v>
      </c>
      <c r="I108" t="s">
        <v>42</v>
      </c>
      <c r="J108" t="s">
        <v>13</v>
      </c>
      <c r="K108" s="2">
        <v>39.520000000000003</v>
      </c>
      <c r="L108" s="3">
        <v>618.29999999999995</v>
      </c>
      <c r="M108" s="3">
        <f>orders_1[[#This Row],[products.Base_Price]]*orders_1[[#This Row],[Quantity]]</f>
        <v>1854.8999999999999</v>
      </c>
      <c r="N108" t="s">
        <v>26</v>
      </c>
      <c r="O108" t="s">
        <v>10</v>
      </c>
      <c r="P108" t="s">
        <v>11</v>
      </c>
    </row>
    <row r="109" spans="1:16" x14ac:dyDescent="0.3">
      <c r="A109" s="2">
        <v>10108</v>
      </c>
      <c r="B109" s="2">
        <v>500</v>
      </c>
      <c r="C109" s="2">
        <v>2039</v>
      </c>
      <c r="D109" s="2">
        <v>319</v>
      </c>
      <c r="E109" s="4">
        <v>45340</v>
      </c>
      <c r="F109" s="4">
        <v>45348</v>
      </c>
      <c r="G109" s="2">
        <f t="shared" si="1"/>
        <v>8</v>
      </c>
      <c r="H109" s="2">
        <v>69</v>
      </c>
      <c r="I109" t="s">
        <v>78</v>
      </c>
      <c r="J109" t="s">
        <v>27</v>
      </c>
      <c r="K109" s="2">
        <v>2.69</v>
      </c>
      <c r="L109" s="3">
        <v>350.51</v>
      </c>
      <c r="M109" s="3">
        <f>orders_1[[#This Row],[products.Base_Price]]*orders_1[[#This Row],[Quantity]]</f>
        <v>24185.19</v>
      </c>
      <c r="N109" t="s">
        <v>20</v>
      </c>
      <c r="O109" t="s">
        <v>18</v>
      </c>
      <c r="P109" t="s">
        <v>11</v>
      </c>
    </row>
    <row r="110" spans="1:16" x14ac:dyDescent="0.3">
      <c r="A110" s="2">
        <v>10109</v>
      </c>
      <c r="B110" s="2">
        <v>695</v>
      </c>
      <c r="C110" s="2">
        <v>2072</v>
      </c>
      <c r="D110" s="2">
        <v>307</v>
      </c>
      <c r="E110" s="4">
        <v>45653</v>
      </c>
      <c r="F110" s="4">
        <v>45654</v>
      </c>
      <c r="G110" s="2">
        <f t="shared" si="1"/>
        <v>1</v>
      </c>
      <c r="H110" s="2">
        <v>10</v>
      </c>
      <c r="I110" t="s">
        <v>39</v>
      </c>
      <c r="J110" t="s">
        <v>9</v>
      </c>
      <c r="K110" s="2">
        <v>26.22</v>
      </c>
      <c r="L110" s="3">
        <v>576.57000000000005</v>
      </c>
      <c r="M110" s="3">
        <f>orders_1[[#This Row],[products.Base_Price]]*orders_1[[#This Row],[Quantity]]</f>
        <v>5765.7000000000007</v>
      </c>
      <c r="N110" t="s">
        <v>17</v>
      </c>
      <c r="O110" t="s">
        <v>10</v>
      </c>
      <c r="P110" t="s">
        <v>11</v>
      </c>
    </row>
    <row r="111" spans="1:16" x14ac:dyDescent="0.3">
      <c r="A111" s="2">
        <v>10110</v>
      </c>
      <c r="B111" s="2">
        <v>799</v>
      </c>
      <c r="C111" s="2">
        <v>2099</v>
      </c>
      <c r="D111" s="2">
        <v>313</v>
      </c>
      <c r="E111" s="4">
        <v>45548</v>
      </c>
      <c r="F111" s="4">
        <v>45551</v>
      </c>
      <c r="G111" s="2">
        <f t="shared" si="1"/>
        <v>3</v>
      </c>
      <c r="H111" s="2">
        <v>5</v>
      </c>
      <c r="I111" t="s">
        <v>42</v>
      </c>
      <c r="J111" t="s">
        <v>21</v>
      </c>
      <c r="K111" s="2">
        <v>31.62</v>
      </c>
      <c r="L111" s="3">
        <v>652.77</v>
      </c>
      <c r="M111" s="3">
        <f>orders_1[[#This Row],[products.Base_Price]]*orders_1[[#This Row],[Quantity]]</f>
        <v>3263.85</v>
      </c>
      <c r="N111" t="s">
        <v>15</v>
      </c>
      <c r="O111" t="s">
        <v>25</v>
      </c>
      <c r="P111" t="s">
        <v>16</v>
      </c>
    </row>
    <row r="112" spans="1:16" x14ac:dyDescent="0.3">
      <c r="A112" s="2">
        <v>10111</v>
      </c>
      <c r="B112" s="2">
        <v>849</v>
      </c>
      <c r="C112" s="2">
        <v>2085</v>
      </c>
      <c r="D112" s="2">
        <v>310</v>
      </c>
      <c r="E112" s="4">
        <v>45383</v>
      </c>
      <c r="F112" s="4">
        <v>45385</v>
      </c>
      <c r="G112" s="2">
        <f t="shared" si="1"/>
        <v>2</v>
      </c>
      <c r="H112" s="2">
        <v>49</v>
      </c>
      <c r="I112" t="s">
        <v>39</v>
      </c>
      <c r="J112" t="s">
        <v>22</v>
      </c>
      <c r="K112" s="2">
        <v>47.56</v>
      </c>
      <c r="L112" s="3">
        <v>131.63</v>
      </c>
      <c r="M112" s="3">
        <f>orders_1[[#This Row],[products.Base_Price]]*orders_1[[#This Row],[Quantity]]</f>
        <v>6449.87</v>
      </c>
      <c r="N112" t="s">
        <v>26</v>
      </c>
      <c r="O112" t="s">
        <v>25</v>
      </c>
      <c r="P112" t="s">
        <v>11</v>
      </c>
    </row>
    <row r="113" spans="1:16" x14ac:dyDescent="0.3">
      <c r="A113" s="2">
        <v>10112</v>
      </c>
      <c r="B113" s="2">
        <v>875</v>
      </c>
      <c r="C113" s="2">
        <v>2083</v>
      </c>
      <c r="D113" s="2">
        <v>306</v>
      </c>
      <c r="E113" s="4">
        <v>45493</v>
      </c>
      <c r="F113" s="4">
        <v>45495</v>
      </c>
      <c r="G113" s="2">
        <f t="shared" si="1"/>
        <v>2</v>
      </c>
      <c r="H113" s="2">
        <v>41</v>
      </c>
      <c r="I113" t="s">
        <v>36</v>
      </c>
      <c r="J113" t="s">
        <v>22</v>
      </c>
      <c r="K113" s="2">
        <v>13.79</v>
      </c>
      <c r="L113" s="3">
        <v>843.82</v>
      </c>
      <c r="M113" s="3">
        <f>orders_1[[#This Row],[products.Base_Price]]*orders_1[[#This Row],[Quantity]]</f>
        <v>34596.620000000003</v>
      </c>
      <c r="N113" t="s">
        <v>8</v>
      </c>
      <c r="O113" t="s">
        <v>10</v>
      </c>
      <c r="P113" t="s">
        <v>16</v>
      </c>
    </row>
    <row r="114" spans="1:16" x14ac:dyDescent="0.3">
      <c r="A114" s="2">
        <v>10113</v>
      </c>
      <c r="B114" s="2">
        <v>763</v>
      </c>
      <c r="C114" s="2">
        <v>2080</v>
      </c>
      <c r="D114" s="2">
        <v>318</v>
      </c>
      <c r="E114" s="4">
        <v>45540</v>
      </c>
      <c r="F114" s="4">
        <v>45546</v>
      </c>
      <c r="G114" s="2">
        <f t="shared" si="1"/>
        <v>6</v>
      </c>
      <c r="H114" s="2">
        <v>93</v>
      </c>
      <c r="I114" t="s">
        <v>42</v>
      </c>
      <c r="J114" t="s">
        <v>9</v>
      </c>
      <c r="K114" s="2">
        <v>29.56</v>
      </c>
      <c r="L114" s="3">
        <v>143.84</v>
      </c>
      <c r="M114" s="3">
        <f>orders_1[[#This Row],[products.Base_Price]]*orders_1[[#This Row],[Quantity]]</f>
        <v>13377.12</v>
      </c>
      <c r="N114" t="s">
        <v>17</v>
      </c>
      <c r="O114" t="s">
        <v>10</v>
      </c>
      <c r="P114" t="s">
        <v>19</v>
      </c>
    </row>
    <row r="115" spans="1:16" x14ac:dyDescent="0.3">
      <c r="A115" s="2">
        <v>10114</v>
      </c>
      <c r="B115" s="2">
        <v>813</v>
      </c>
      <c r="C115" s="2">
        <v>2025</v>
      </c>
      <c r="D115" s="2">
        <v>307</v>
      </c>
      <c r="E115" s="4">
        <v>45421</v>
      </c>
      <c r="F115" s="4">
        <v>45430</v>
      </c>
      <c r="G115" s="2">
        <f t="shared" si="1"/>
        <v>9</v>
      </c>
      <c r="H115" s="2">
        <v>34</v>
      </c>
      <c r="I115" t="s">
        <v>36</v>
      </c>
      <c r="J115" t="s">
        <v>13</v>
      </c>
      <c r="K115" s="2">
        <v>3.39</v>
      </c>
      <c r="L115" s="3">
        <v>303.87</v>
      </c>
      <c r="M115" s="3">
        <f>orders_1[[#This Row],[products.Base_Price]]*orders_1[[#This Row],[Quantity]]</f>
        <v>10331.58</v>
      </c>
      <c r="N115" t="s">
        <v>17</v>
      </c>
      <c r="O115" t="s">
        <v>10</v>
      </c>
      <c r="P115" t="s">
        <v>11</v>
      </c>
    </row>
    <row r="116" spans="1:16" x14ac:dyDescent="0.3">
      <c r="A116" s="2">
        <v>10115</v>
      </c>
      <c r="B116" s="2">
        <v>679</v>
      </c>
      <c r="C116" s="2">
        <v>2052</v>
      </c>
      <c r="D116" s="2">
        <v>305</v>
      </c>
      <c r="E116" s="4">
        <v>45575</v>
      </c>
      <c r="F116" s="4">
        <v>45580</v>
      </c>
      <c r="G116" s="2">
        <f t="shared" si="1"/>
        <v>5</v>
      </c>
      <c r="H116" s="2">
        <v>10</v>
      </c>
      <c r="I116" t="s">
        <v>36</v>
      </c>
      <c r="J116" t="s">
        <v>27</v>
      </c>
      <c r="K116" s="2">
        <v>47.35</v>
      </c>
      <c r="L116" s="3">
        <v>665.2</v>
      </c>
      <c r="M116" s="3">
        <f>orders_1[[#This Row],[products.Base_Price]]*orders_1[[#This Row],[Quantity]]</f>
        <v>6652</v>
      </c>
      <c r="N116" t="s">
        <v>20</v>
      </c>
      <c r="O116" t="s">
        <v>10</v>
      </c>
      <c r="P116" t="s">
        <v>19</v>
      </c>
    </row>
    <row r="117" spans="1:16" x14ac:dyDescent="0.3">
      <c r="A117" s="2">
        <v>10116</v>
      </c>
      <c r="B117" s="2">
        <v>740</v>
      </c>
      <c r="C117" s="2">
        <v>2081</v>
      </c>
      <c r="D117" s="2">
        <v>319</v>
      </c>
      <c r="E117" s="4">
        <v>45366</v>
      </c>
      <c r="F117" s="4">
        <v>45373</v>
      </c>
      <c r="G117" s="2">
        <f t="shared" si="1"/>
        <v>7</v>
      </c>
      <c r="H117" s="2">
        <v>65</v>
      </c>
      <c r="I117" t="s">
        <v>78</v>
      </c>
      <c r="J117" t="s">
        <v>21</v>
      </c>
      <c r="K117" s="2">
        <v>20.72</v>
      </c>
      <c r="L117" s="3">
        <v>668.31</v>
      </c>
      <c r="M117" s="3">
        <f>orders_1[[#This Row],[products.Base_Price]]*orders_1[[#This Row],[Quantity]]</f>
        <v>43440.149999999994</v>
      </c>
      <c r="N117" t="s">
        <v>20</v>
      </c>
      <c r="O117" t="s">
        <v>18</v>
      </c>
      <c r="P117" t="s">
        <v>11</v>
      </c>
    </row>
    <row r="118" spans="1:16" x14ac:dyDescent="0.3">
      <c r="A118" s="2">
        <v>10117</v>
      </c>
      <c r="B118" s="2">
        <v>712</v>
      </c>
      <c r="C118" s="2">
        <v>2050</v>
      </c>
      <c r="D118" s="2">
        <v>319</v>
      </c>
      <c r="E118" s="4">
        <v>45302</v>
      </c>
      <c r="F118" s="4">
        <v>45304</v>
      </c>
      <c r="G118" s="2">
        <f t="shared" si="1"/>
        <v>2</v>
      </c>
      <c r="H118" s="2">
        <v>80</v>
      </c>
      <c r="I118" t="s">
        <v>42</v>
      </c>
      <c r="J118" t="s">
        <v>21</v>
      </c>
      <c r="K118" s="2">
        <v>36.43</v>
      </c>
      <c r="L118" s="3">
        <v>507.16</v>
      </c>
      <c r="M118" s="3">
        <f>orders_1[[#This Row],[products.Base_Price]]*orders_1[[#This Row],[Quantity]]</f>
        <v>40572.800000000003</v>
      </c>
      <c r="N118" t="s">
        <v>20</v>
      </c>
      <c r="O118" t="s">
        <v>18</v>
      </c>
      <c r="P118" t="s">
        <v>11</v>
      </c>
    </row>
    <row r="119" spans="1:16" x14ac:dyDescent="0.3">
      <c r="A119" s="2">
        <v>10118</v>
      </c>
      <c r="B119" s="2">
        <v>602</v>
      </c>
      <c r="C119" s="2">
        <v>2056</v>
      </c>
      <c r="D119" s="2">
        <v>310</v>
      </c>
      <c r="E119" s="4">
        <v>45546</v>
      </c>
      <c r="F119" s="4">
        <v>45552</v>
      </c>
      <c r="G119" s="2">
        <f t="shared" si="1"/>
        <v>6</v>
      </c>
      <c r="H119" s="2">
        <v>36</v>
      </c>
      <c r="I119" t="s">
        <v>39</v>
      </c>
      <c r="J119" t="s">
        <v>9</v>
      </c>
      <c r="K119" s="2">
        <v>18.559999999999999</v>
      </c>
      <c r="L119" s="3">
        <v>564.01</v>
      </c>
      <c r="M119" s="3">
        <f>orders_1[[#This Row],[products.Base_Price]]*orders_1[[#This Row],[Quantity]]</f>
        <v>20304.36</v>
      </c>
      <c r="N119" t="s">
        <v>26</v>
      </c>
      <c r="O119" t="s">
        <v>25</v>
      </c>
      <c r="P119" t="s">
        <v>11</v>
      </c>
    </row>
    <row r="120" spans="1:16" x14ac:dyDescent="0.3">
      <c r="A120" s="2">
        <v>10119</v>
      </c>
      <c r="B120" s="2">
        <v>894</v>
      </c>
      <c r="C120" s="2">
        <v>2010</v>
      </c>
      <c r="D120" s="2">
        <v>320</v>
      </c>
      <c r="E120" s="4">
        <v>45585</v>
      </c>
      <c r="F120" s="4">
        <v>45587</v>
      </c>
      <c r="G120" s="2">
        <f t="shared" si="1"/>
        <v>2</v>
      </c>
      <c r="H120" s="2">
        <v>59</v>
      </c>
      <c r="I120" t="s">
        <v>39</v>
      </c>
      <c r="J120" t="s">
        <v>13</v>
      </c>
      <c r="K120" s="2">
        <v>9.58</v>
      </c>
      <c r="L120" s="3">
        <v>440.93</v>
      </c>
      <c r="M120" s="3">
        <f>orders_1[[#This Row],[products.Base_Price]]*orders_1[[#This Row],[Quantity]]</f>
        <v>26014.87</v>
      </c>
      <c r="N120" t="s">
        <v>15</v>
      </c>
      <c r="O120" t="s">
        <v>25</v>
      </c>
      <c r="P120" t="s">
        <v>11</v>
      </c>
    </row>
    <row r="121" spans="1:16" x14ac:dyDescent="0.3">
      <c r="A121" s="2">
        <v>10120</v>
      </c>
      <c r="B121" s="2">
        <v>770</v>
      </c>
      <c r="C121" s="2">
        <v>2089</v>
      </c>
      <c r="D121" s="2">
        <v>317</v>
      </c>
      <c r="E121" s="4">
        <v>45390</v>
      </c>
      <c r="F121" s="4">
        <v>45400</v>
      </c>
      <c r="G121" s="2">
        <f t="shared" si="1"/>
        <v>10</v>
      </c>
      <c r="H121" s="2">
        <v>82</v>
      </c>
      <c r="I121" t="s">
        <v>39</v>
      </c>
      <c r="J121" t="s">
        <v>22</v>
      </c>
      <c r="K121" s="2">
        <v>19.170000000000002</v>
      </c>
      <c r="L121" s="3">
        <v>513.33000000000004</v>
      </c>
      <c r="M121" s="3">
        <f>orders_1[[#This Row],[products.Base_Price]]*orders_1[[#This Row],[Quantity]]</f>
        <v>42093.060000000005</v>
      </c>
      <c r="N121" t="s">
        <v>20</v>
      </c>
      <c r="O121" t="s">
        <v>25</v>
      </c>
      <c r="P121" t="s">
        <v>19</v>
      </c>
    </row>
    <row r="122" spans="1:16" x14ac:dyDescent="0.3">
      <c r="A122" s="2">
        <v>10121</v>
      </c>
      <c r="B122" s="2">
        <v>601</v>
      </c>
      <c r="C122" s="2">
        <v>2007</v>
      </c>
      <c r="D122" s="2">
        <v>301</v>
      </c>
      <c r="E122" s="4">
        <v>45600</v>
      </c>
      <c r="F122" s="4">
        <v>45607</v>
      </c>
      <c r="G122" s="2">
        <f t="shared" si="1"/>
        <v>7</v>
      </c>
      <c r="H122" s="2">
        <v>60</v>
      </c>
      <c r="I122" t="s">
        <v>78</v>
      </c>
      <c r="J122" t="s">
        <v>21</v>
      </c>
      <c r="K122" s="2">
        <v>48.07</v>
      </c>
      <c r="L122" s="3">
        <v>759.78</v>
      </c>
      <c r="M122" s="3">
        <f>orders_1[[#This Row],[products.Base_Price]]*orders_1[[#This Row],[Quantity]]</f>
        <v>45586.799999999996</v>
      </c>
      <c r="N122" t="s">
        <v>8</v>
      </c>
      <c r="O122" t="s">
        <v>10</v>
      </c>
      <c r="P122" t="s">
        <v>11</v>
      </c>
    </row>
    <row r="123" spans="1:16" x14ac:dyDescent="0.3">
      <c r="A123" s="2">
        <v>10122</v>
      </c>
      <c r="B123" s="2">
        <v>720</v>
      </c>
      <c r="C123" s="2">
        <v>2052</v>
      </c>
      <c r="D123" s="2">
        <v>311</v>
      </c>
      <c r="E123" s="4">
        <v>45571</v>
      </c>
      <c r="F123" s="4">
        <v>45580</v>
      </c>
      <c r="G123" s="2">
        <f t="shared" si="1"/>
        <v>9</v>
      </c>
      <c r="H123" s="2">
        <v>74</v>
      </c>
      <c r="I123" t="s">
        <v>36</v>
      </c>
      <c r="J123" t="s">
        <v>27</v>
      </c>
      <c r="K123" s="2">
        <v>47.35</v>
      </c>
      <c r="L123" s="3">
        <v>665.2</v>
      </c>
      <c r="M123" s="3">
        <f>orders_1[[#This Row],[products.Base_Price]]*orders_1[[#This Row],[Quantity]]</f>
        <v>49224.800000000003</v>
      </c>
      <c r="N123" t="s">
        <v>26</v>
      </c>
      <c r="O123" t="s">
        <v>10</v>
      </c>
      <c r="P123" t="s">
        <v>11</v>
      </c>
    </row>
    <row r="124" spans="1:16" x14ac:dyDescent="0.3">
      <c r="A124" s="2">
        <v>10123</v>
      </c>
      <c r="B124" s="2">
        <v>713</v>
      </c>
      <c r="C124" s="2">
        <v>2010</v>
      </c>
      <c r="D124" s="2">
        <v>314</v>
      </c>
      <c r="E124" s="4">
        <v>45551</v>
      </c>
      <c r="F124" s="4">
        <v>45553</v>
      </c>
      <c r="G124" s="2">
        <f t="shared" si="1"/>
        <v>2</v>
      </c>
      <c r="H124" s="2">
        <v>7</v>
      </c>
      <c r="I124" t="s">
        <v>39</v>
      </c>
      <c r="J124" t="s">
        <v>13</v>
      </c>
      <c r="K124" s="2">
        <v>9.58</v>
      </c>
      <c r="L124" s="3">
        <v>440.93</v>
      </c>
      <c r="M124" s="3">
        <f>orders_1[[#This Row],[products.Base_Price]]*orders_1[[#This Row],[Quantity]]</f>
        <v>3086.51</v>
      </c>
      <c r="N124" t="s">
        <v>17</v>
      </c>
      <c r="O124" t="s">
        <v>14</v>
      </c>
      <c r="P124" t="s">
        <v>19</v>
      </c>
    </row>
    <row r="125" spans="1:16" x14ac:dyDescent="0.3">
      <c r="A125" s="2">
        <v>10124</v>
      </c>
      <c r="B125" s="2">
        <v>853</v>
      </c>
      <c r="C125" s="2">
        <v>2006</v>
      </c>
      <c r="D125" s="2">
        <v>314</v>
      </c>
      <c r="E125" s="4">
        <v>45500</v>
      </c>
      <c r="F125" s="4">
        <v>45501</v>
      </c>
      <c r="G125" s="2">
        <f t="shared" si="1"/>
        <v>1</v>
      </c>
      <c r="H125" s="2">
        <v>71</v>
      </c>
      <c r="I125" t="s">
        <v>39</v>
      </c>
      <c r="J125" t="s">
        <v>22</v>
      </c>
      <c r="K125" s="2">
        <v>41.47</v>
      </c>
      <c r="L125" s="3">
        <v>541.85</v>
      </c>
      <c r="M125" s="3">
        <f>orders_1[[#This Row],[products.Base_Price]]*orders_1[[#This Row],[Quantity]]</f>
        <v>38471.35</v>
      </c>
      <c r="N125" t="s">
        <v>17</v>
      </c>
      <c r="O125" t="s">
        <v>14</v>
      </c>
      <c r="P125" t="s">
        <v>19</v>
      </c>
    </row>
    <row r="126" spans="1:16" x14ac:dyDescent="0.3">
      <c r="A126" s="2">
        <v>10125</v>
      </c>
      <c r="B126" s="2">
        <v>686</v>
      </c>
      <c r="C126" s="2">
        <v>2033</v>
      </c>
      <c r="D126" s="2">
        <v>317</v>
      </c>
      <c r="E126" s="4">
        <v>45595</v>
      </c>
      <c r="F126" s="4">
        <v>45600</v>
      </c>
      <c r="G126" s="2">
        <f t="shared" si="1"/>
        <v>5</v>
      </c>
      <c r="H126" s="2">
        <v>93</v>
      </c>
      <c r="I126" t="s">
        <v>78</v>
      </c>
      <c r="J126" t="s">
        <v>22</v>
      </c>
      <c r="K126" s="2">
        <v>8.33</v>
      </c>
      <c r="L126" s="3">
        <v>629.69000000000005</v>
      </c>
      <c r="M126" s="3">
        <f>orders_1[[#This Row],[products.Base_Price]]*orders_1[[#This Row],[Quantity]]</f>
        <v>58561.170000000006</v>
      </c>
      <c r="N126" t="s">
        <v>20</v>
      </c>
      <c r="O126" t="s">
        <v>25</v>
      </c>
      <c r="P126" t="s">
        <v>19</v>
      </c>
    </row>
    <row r="127" spans="1:16" x14ac:dyDescent="0.3">
      <c r="A127" s="2">
        <v>10126</v>
      </c>
      <c r="B127" s="2">
        <v>506</v>
      </c>
      <c r="C127" s="2">
        <v>2079</v>
      </c>
      <c r="D127" s="2">
        <v>301</v>
      </c>
      <c r="E127" s="4">
        <v>45469</v>
      </c>
      <c r="F127" s="4">
        <v>45479</v>
      </c>
      <c r="G127" s="2">
        <f t="shared" si="1"/>
        <v>10</v>
      </c>
      <c r="H127" s="2">
        <v>1</v>
      </c>
      <c r="I127" t="s">
        <v>39</v>
      </c>
      <c r="J127" t="s">
        <v>22</v>
      </c>
      <c r="K127" s="2">
        <v>12.3</v>
      </c>
      <c r="L127" s="3">
        <v>99.7</v>
      </c>
      <c r="M127" s="3">
        <f>orders_1[[#This Row],[products.Base_Price]]*orders_1[[#This Row],[Quantity]]</f>
        <v>99.7</v>
      </c>
      <c r="N127" t="s">
        <v>8</v>
      </c>
      <c r="O127" t="s">
        <v>10</v>
      </c>
      <c r="P127" t="s">
        <v>11</v>
      </c>
    </row>
    <row r="128" spans="1:16" x14ac:dyDescent="0.3">
      <c r="A128" s="2">
        <v>10127</v>
      </c>
      <c r="B128" s="2">
        <v>506</v>
      </c>
      <c r="C128" s="2">
        <v>2043</v>
      </c>
      <c r="D128" s="2">
        <v>307</v>
      </c>
      <c r="E128" s="4">
        <v>45565</v>
      </c>
      <c r="F128" s="4">
        <v>45574</v>
      </c>
      <c r="G128" s="2">
        <f t="shared" si="1"/>
        <v>9</v>
      </c>
      <c r="H128" s="2">
        <v>92</v>
      </c>
      <c r="I128" t="s">
        <v>36</v>
      </c>
      <c r="J128" t="s">
        <v>27</v>
      </c>
      <c r="K128" s="2">
        <v>14.98</v>
      </c>
      <c r="L128" s="3">
        <v>375.85</v>
      </c>
      <c r="M128" s="3">
        <f>orders_1[[#This Row],[products.Base_Price]]*orders_1[[#This Row],[Quantity]]</f>
        <v>34578.200000000004</v>
      </c>
      <c r="N128" t="s">
        <v>17</v>
      </c>
      <c r="O128" t="s">
        <v>10</v>
      </c>
      <c r="P128" t="s">
        <v>11</v>
      </c>
    </row>
    <row r="129" spans="1:16" x14ac:dyDescent="0.3">
      <c r="A129" s="2">
        <v>10128</v>
      </c>
      <c r="B129" s="2">
        <v>703</v>
      </c>
      <c r="C129" s="2">
        <v>2100</v>
      </c>
      <c r="D129" s="2">
        <v>314</v>
      </c>
      <c r="E129" s="4">
        <v>45649</v>
      </c>
      <c r="F129" s="4">
        <v>45658</v>
      </c>
      <c r="G129" s="2">
        <f t="shared" si="1"/>
        <v>9</v>
      </c>
      <c r="H129" s="2">
        <v>62</v>
      </c>
      <c r="I129" t="s">
        <v>39</v>
      </c>
      <c r="J129" t="s">
        <v>27</v>
      </c>
      <c r="K129" s="2">
        <v>2.2799999999999998</v>
      </c>
      <c r="L129" s="3">
        <v>813.8</v>
      </c>
      <c r="M129" s="3">
        <f>orders_1[[#This Row],[products.Base_Price]]*orders_1[[#This Row],[Quantity]]</f>
        <v>50455.6</v>
      </c>
      <c r="N129" t="s">
        <v>17</v>
      </c>
      <c r="O129" t="s">
        <v>14</v>
      </c>
      <c r="P129" t="s">
        <v>19</v>
      </c>
    </row>
    <row r="130" spans="1:16" x14ac:dyDescent="0.3">
      <c r="A130" s="2">
        <v>10129</v>
      </c>
      <c r="B130" s="2">
        <v>603</v>
      </c>
      <c r="C130" s="2">
        <v>2071</v>
      </c>
      <c r="D130" s="2">
        <v>309</v>
      </c>
      <c r="E130" s="4">
        <v>45596</v>
      </c>
      <c r="F130" s="4">
        <v>45597</v>
      </c>
      <c r="G130" s="2">
        <f t="shared" ref="G130:G193" si="2">F130-E130</f>
        <v>1</v>
      </c>
      <c r="H130" s="2">
        <v>32</v>
      </c>
      <c r="I130" t="s">
        <v>42</v>
      </c>
      <c r="J130" t="s">
        <v>27</v>
      </c>
      <c r="K130" s="2">
        <v>47.19</v>
      </c>
      <c r="L130" s="3">
        <v>711.14</v>
      </c>
      <c r="M130" s="3">
        <f>orders_1[[#This Row],[products.Base_Price]]*orders_1[[#This Row],[Quantity]]</f>
        <v>22756.48</v>
      </c>
      <c r="N130" t="s">
        <v>24</v>
      </c>
      <c r="O130" t="s">
        <v>25</v>
      </c>
      <c r="P130" t="s">
        <v>16</v>
      </c>
    </row>
    <row r="131" spans="1:16" x14ac:dyDescent="0.3">
      <c r="A131" s="2">
        <v>10130</v>
      </c>
      <c r="B131" s="2">
        <v>596</v>
      </c>
      <c r="C131" s="2">
        <v>2080</v>
      </c>
      <c r="D131" s="2">
        <v>312</v>
      </c>
      <c r="E131" s="4">
        <v>45566</v>
      </c>
      <c r="F131" s="4">
        <v>45572</v>
      </c>
      <c r="G131" s="2">
        <f t="shared" si="2"/>
        <v>6</v>
      </c>
      <c r="H131" s="2">
        <v>8</v>
      </c>
      <c r="I131" t="s">
        <v>42</v>
      </c>
      <c r="J131" t="s">
        <v>9</v>
      </c>
      <c r="K131" s="2">
        <v>29.56</v>
      </c>
      <c r="L131" s="3">
        <v>143.84</v>
      </c>
      <c r="M131" s="3">
        <f>orders_1[[#This Row],[products.Base_Price]]*orders_1[[#This Row],[Quantity]]</f>
        <v>1150.72</v>
      </c>
      <c r="N131" t="s">
        <v>15</v>
      </c>
      <c r="O131" t="s">
        <v>10</v>
      </c>
      <c r="P131" t="s">
        <v>11</v>
      </c>
    </row>
    <row r="132" spans="1:16" x14ac:dyDescent="0.3">
      <c r="A132" s="2">
        <v>10131</v>
      </c>
      <c r="B132" s="2">
        <v>659</v>
      </c>
      <c r="C132" s="2">
        <v>2012</v>
      </c>
      <c r="D132" s="2">
        <v>304</v>
      </c>
      <c r="E132" s="4">
        <v>45482</v>
      </c>
      <c r="F132" s="4">
        <v>45489</v>
      </c>
      <c r="G132" s="2">
        <f t="shared" si="2"/>
        <v>7</v>
      </c>
      <c r="H132" s="2">
        <v>21</v>
      </c>
      <c r="I132" t="s">
        <v>39</v>
      </c>
      <c r="J132" t="s">
        <v>21</v>
      </c>
      <c r="K132" s="2">
        <v>34.93</v>
      </c>
      <c r="L132" s="3">
        <v>327.92</v>
      </c>
      <c r="M132" s="3">
        <f>orders_1[[#This Row],[products.Base_Price]]*orders_1[[#This Row],[Quantity]]</f>
        <v>6886.3200000000006</v>
      </c>
      <c r="N132" t="s">
        <v>17</v>
      </c>
      <c r="O132" t="s">
        <v>18</v>
      </c>
      <c r="P132" t="s">
        <v>19</v>
      </c>
    </row>
    <row r="133" spans="1:16" x14ac:dyDescent="0.3">
      <c r="A133" s="2">
        <v>10132</v>
      </c>
      <c r="B133" s="2">
        <v>582</v>
      </c>
      <c r="C133" s="2">
        <v>2054</v>
      </c>
      <c r="D133" s="2">
        <v>315</v>
      </c>
      <c r="E133" s="4">
        <v>45469</v>
      </c>
      <c r="F133" s="4">
        <v>45475</v>
      </c>
      <c r="G133" s="2">
        <f t="shared" si="2"/>
        <v>6</v>
      </c>
      <c r="H133" s="2">
        <v>66</v>
      </c>
      <c r="I133" t="s">
        <v>39</v>
      </c>
      <c r="J133" t="s">
        <v>9</v>
      </c>
      <c r="K133" s="2">
        <v>5.63</v>
      </c>
      <c r="L133" s="3">
        <v>304.22000000000003</v>
      </c>
      <c r="M133" s="3">
        <f>orders_1[[#This Row],[products.Base_Price]]*orders_1[[#This Row],[Quantity]]</f>
        <v>20078.52</v>
      </c>
      <c r="N133" t="s">
        <v>15</v>
      </c>
      <c r="O133" t="s">
        <v>25</v>
      </c>
      <c r="P133" t="s">
        <v>19</v>
      </c>
    </row>
    <row r="134" spans="1:16" x14ac:dyDescent="0.3">
      <c r="A134" s="2">
        <v>10133</v>
      </c>
      <c r="B134" s="2">
        <v>835</v>
      </c>
      <c r="C134" s="2">
        <v>2059</v>
      </c>
      <c r="D134" s="2">
        <v>306</v>
      </c>
      <c r="E134" s="4">
        <v>45528</v>
      </c>
      <c r="F134" s="4">
        <v>45538</v>
      </c>
      <c r="G134" s="2">
        <f t="shared" si="2"/>
        <v>10</v>
      </c>
      <c r="H134" s="2">
        <v>24</v>
      </c>
      <c r="I134" t="s">
        <v>39</v>
      </c>
      <c r="J134" t="s">
        <v>9</v>
      </c>
      <c r="K134" s="2">
        <v>17.760000000000002</v>
      </c>
      <c r="L134" s="3">
        <v>279.55</v>
      </c>
      <c r="M134" s="3">
        <f>orders_1[[#This Row],[products.Base_Price]]*orders_1[[#This Row],[Quantity]]</f>
        <v>6709.2000000000007</v>
      </c>
      <c r="N134" t="s">
        <v>8</v>
      </c>
      <c r="O134" t="s">
        <v>10</v>
      </c>
      <c r="P134" t="s">
        <v>16</v>
      </c>
    </row>
    <row r="135" spans="1:16" x14ac:dyDescent="0.3">
      <c r="A135" s="2">
        <v>10134</v>
      </c>
      <c r="B135" s="2">
        <v>776</v>
      </c>
      <c r="C135" s="2">
        <v>2072</v>
      </c>
      <c r="D135" s="2">
        <v>314</v>
      </c>
      <c r="E135" s="4">
        <v>45418</v>
      </c>
      <c r="F135" s="4">
        <v>45427</v>
      </c>
      <c r="G135" s="2">
        <f t="shared" si="2"/>
        <v>9</v>
      </c>
      <c r="H135" s="2">
        <v>64</v>
      </c>
      <c r="I135" t="s">
        <v>39</v>
      </c>
      <c r="J135" t="s">
        <v>9</v>
      </c>
      <c r="K135" s="2">
        <v>26.22</v>
      </c>
      <c r="L135" s="3">
        <v>576.57000000000005</v>
      </c>
      <c r="M135" s="3">
        <f>orders_1[[#This Row],[products.Base_Price]]*orders_1[[#This Row],[Quantity]]</f>
        <v>36900.480000000003</v>
      </c>
      <c r="N135" t="s">
        <v>17</v>
      </c>
      <c r="O135" t="s">
        <v>14</v>
      </c>
      <c r="P135" t="s">
        <v>19</v>
      </c>
    </row>
    <row r="136" spans="1:16" x14ac:dyDescent="0.3">
      <c r="A136" s="2">
        <v>10135</v>
      </c>
      <c r="B136" s="2">
        <v>803</v>
      </c>
      <c r="C136" s="2">
        <v>2013</v>
      </c>
      <c r="D136" s="2">
        <v>314</v>
      </c>
      <c r="E136" s="4">
        <v>45419</v>
      </c>
      <c r="F136" s="4">
        <v>45424</v>
      </c>
      <c r="G136" s="2">
        <f t="shared" si="2"/>
        <v>5</v>
      </c>
      <c r="H136" s="2">
        <v>52</v>
      </c>
      <c r="I136" t="s">
        <v>42</v>
      </c>
      <c r="J136" t="s">
        <v>13</v>
      </c>
      <c r="K136" s="2">
        <v>19.53</v>
      </c>
      <c r="L136" s="3">
        <v>563.69000000000005</v>
      </c>
      <c r="M136" s="3">
        <f>orders_1[[#This Row],[products.Base_Price]]*orders_1[[#This Row],[Quantity]]</f>
        <v>29311.880000000005</v>
      </c>
      <c r="N136" t="s">
        <v>17</v>
      </c>
      <c r="O136" t="s">
        <v>14</v>
      </c>
      <c r="P136" t="s">
        <v>19</v>
      </c>
    </row>
    <row r="137" spans="1:16" x14ac:dyDescent="0.3">
      <c r="A137" s="2">
        <v>10136</v>
      </c>
      <c r="B137" s="2">
        <v>834</v>
      </c>
      <c r="C137" s="2">
        <v>2052</v>
      </c>
      <c r="D137" s="2">
        <v>303</v>
      </c>
      <c r="E137" s="4">
        <v>45357</v>
      </c>
      <c r="F137" s="4">
        <v>45365</v>
      </c>
      <c r="G137" s="2">
        <f t="shared" si="2"/>
        <v>8</v>
      </c>
      <c r="H137" s="2">
        <v>49</v>
      </c>
      <c r="I137" t="s">
        <v>36</v>
      </c>
      <c r="J137" t="s">
        <v>27</v>
      </c>
      <c r="K137" s="2">
        <v>47.35</v>
      </c>
      <c r="L137" s="3">
        <v>665.2</v>
      </c>
      <c r="M137" s="3">
        <f>orders_1[[#This Row],[products.Base_Price]]*orders_1[[#This Row],[Quantity]]</f>
        <v>32594.800000000003</v>
      </c>
      <c r="N137" t="s">
        <v>15</v>
      </c>
      <c r="O137" t="s">
        <v>10</v>
      </c>
      <c r="P137" t="s">
        <v>16</v>
      </c>
    </row>
    <row r="138" spans="1:16" x14ac:dyDescent="0.3">
      <c r="A138" s="2">
        <v>10137</v>
      </c>
      <c r="B138" s="2">
        <v>582</v>
      </c>
      <c r="C138" s="2">
        <v>2047</v>
      </c>
      <c r="D138" s="2">
        <v>316</v>
      </c>
      <c r="E138" s="4">
        <v>45298</v>
      </c>
      <c r="F138" s="4">
        <v>45305</v>
      </c>
      <c r="G138" s="2">
        <f t="shared" si="2"/>
        <v>7</v>
      </c>
      <c r="H138" s="2">
        <v>26</v>
      </c>
      <c r="I138" t="s">
        <v>39</v>
      </c>
      <c r="J138" t="s">
        <v>27</v>
      </c>
      <c r="K138" s="2">
        <v>31.72</v>
      </c>
      <c r="L138" s="3">
        <v>210.46</v>
      </c>
      <c r="M138" s="3">
        <f>orders_1[[#This Row],[products.Base_Price]]*orders_1[[#This Row],[Quantity]]</f>
        <v>5471.96</v>
      </c>
      <c r="N138" t="s">
        <v>24</v>
      </c>
      <c r="O138" t="s">
        <v>25</v>
      </c>
      <c r="P138" t="s">
        <v>19</v>
      </c>
    </row>
    <row r="139" spans="1:16" x14ac:dyDescent="0.3">
      <c r="A139" s="2">
        <v>10138</v>
      </c>
      <c r="B139" s="2">
        <v>696</v>
      </c>
      <c r="C139" s="2">
        <v>2027</v>
      </c>
      <c r="D139" s="2">
        <v>316</v>
      </c>
      <c r="E139" s="4">
        <v>45618</v>
      </c>
      <c r="F139" s="4">
        <v>45627</v>
      </c>
      <c r="G139" s="2">
        <f t="shared" si="2"/>
        <v>9</v>
      </c>
      <c r="H139" s="2">
        <v>56</v>
      </c>
      <c r="I139" t="s">
        <v>39</v>
      </c>
      <c r="J139" t="s">
        <v>13</v>
      </c>
      <c r="K139" s="2">
        <v>45.95</v>
      </c>
      <c r="L139" s="3">
        <v>454.58</v>
      </c>
      <c r="M139" s="3">
        <f>orders_1[[#This Row],[products.Base_Price]]*orders_1[[#This Row],[Quantity]]</f>
        <v>25456.48</v>
      </c>
      <c r="N139" t="s">
        <v>24</v>
      </c>
      <c r="O139" t="s">
        <v>25</v>
      </c>
      <c r="P139" t="s">
        <v>19</v>
      </c>
    </row>
    <row r="140" spans="1:16" x14ac:dyDescent="0.3">
      <c r="A140" s="2">
        <v>10139</v>
      </c>
      <c r="B140" s="2">
        <v>771</v>
      </c>
      <c r="C140" s="2">
        <v>2055</v>
      </c>
      <c r="D140" s="2">
        <v>315</v>
      </c>
      <c r="E140" s="4">
        <v>45466</v>
      </c>
      <c r="F140" s="4">
        <v>45476</v>
      </c>
      <c r="G140" s="2">
        <f t="shared" si="2"/>
        <v>10</v>
      </c>
      <c r="H140" s="2">
        <v>71</v>
      </c>
      <c r="I140" t="s">
        <v>78</v>
      </c>
      <c r="J140" t="s">
        <v>27</v>
      </c>
      <c r="K140" s="2">
        <v>26.24</v>
      </c>
      <c r="L140" s="3">
        <v>312.67</v>
      </c>
      <c r="M140" s="3">
        <f>orders_1[[#This Row],[products.Base_Price]]*orders_1[[#This Row],[Quantity]]</f>
        <v>22199.57</v>
      </c>
      <c r="N140" t="s">
        <v>15</v>
      </c>
      <c r="O140" t="s">
        <v>25</v>
      </c>
      <c r="P140" t="s">
        <v>19</v>
      </c>
    </row>
    <row r="141" spans="1:16" x14ac:dyDescent="0.3">
      <c r="A141" s="2">
        <v>10140</v>
      </c>
      <c r="B141" s="2">
        <v>559</v>
      </c>
      <c r="C141" s="2">
        <v>2084</v>
      </c>
      <c r="D141" s="2">
        <v>316</v>
      </c>
      <c r="E141" s="4">
        <v>45451</v>
      </c>
      <c r="F141" s="4">
        <v>45453</v>
      </c>
      <c r="G141" s="2">
        <f t="shared" si="2"/>
        <v>2</v>
      </c>
      <c r="H141" s="2">
        <v>88</v>
      </c>
      <c r="I141" t="s">
        <v>78</v>
      </c>
      <c r="J141" t="s">
        <v>21</v>
      </c>
      <c r="K141" s="2">
        <v>14.27</v>
      </c>
      <c r="L141" s="3">
        <v>223.58</v>
      </c>
      <c r="M141" s="3">
        <f>orders_1[[#This Row],[products.Base_Price]]*orders_1[[#This Row],[Quantity]]</f>
        <v>19675.04</v>
      </c>
      <c r="N141" t="s">
        <v>24</v>
      </c>
      <c r="O141" t="s">
        <v>25</v>
      </c>
      <c r="P141" t="s">
        <v>19</v>
      </c>
    </row>
    <row r="142" spans="1:16" x14ac:dyDescent="0.3">
      <c r="A142" s="2">
        <v>10141</v>
      </c>
      <c r="B142" s="2">
        <v>716</v>
      </c>
      <c r="C142" s="2">
        <v>2093</v>
      </c>
      <c r="D142" s="2">
        <v>318</v>
      </c>
      <c r="E142" s="4">
        <v>45585</v>
      </c>
      <c r="F142" s="4">
        <v>45593</v>
      </c>
      <c r="G142" s="2">
        <f t="shared" si="2"/>
        <v>8</v>
      </c>
      <c r="H142" s="2">
        <v>13</v>
      </c>
      <c r="I142" t="s">
        <v>42</v>
      </c>
      <c r="J142" t="s">
        <v>9</v>
      </c>
      <c r="K142" s="2">
        <v>25.73</v>
      </c>
      <c r="L142" s="3">
        <v>537.69000000000005</v>
      </c>
      <c r="M142" s="3">
        <f>orders_1[[#This Row],[products.Base_Price]]*orders_1[[#This Row],[Quantity]]</f>
        <v>6989.9700000000012</v>
      </c>
      <c r="N142" t="s">
        <v>17</v>
      </c>
      <c r="O142" t="s">
        <v>10</v>
      </c>
      <c r="P142" t="s">
        <v>19</v>
      </c>
    </row>
    <row r="143" spans="1:16" x14ac:dyDescent="0.3">
      <c r="A143" s="2">
        <v>10142</v>
      </c>
      <c r="B143" s="2">
        <v>532</v>
      </c>
      <c r="C143" s="2">
        <v>2085</v>
      </c>
      <c r="D143" s="2">
        <v>305</v>
      </c>
      <c r="E143" s="4">
        <v>45346</v>
      </c>
      <c r="F143" s="4">
        <v>45353</v>
      </c>
      <c r="G143" s="2">
        <f t="shared" si="2"/>
        <v>7</v>
      </c>
      <c r="H143" s="2">
        <v>99</v>
      </c>
      <c r="I143" t="s">
        <v>36</v>
      </c>
      <c r="J143" t="s">
        <v>22</v>
      </c>
      <c r="K143" s="2">
        <v>47.56</v>
      </c>
      <c r="L143" s="3">
        <v>131.63</v>
      </c>
      <c r="M143" s="3">
        <f>orders_1[[#This Row],[products.Base_Price]]*orders_1[[#This Row],[Quantity]]</f>
        <v>13031.369999999999</v>
      </c>
      <c r="N143" t="s">
        <v>20</v>
      </c>
      <c r="O143" t="s">
        <v>10</v>
      </c>
      <c r="P143" t="s">
        <v>19</v>
      </c>
    </row>
    <row r="144" spans="1:16" x14ac:dyDescent="0.3">
      <c r="A144" s="2">
        <v>10143</v>
      </c>
      <c r="B144" s="2">
        <v>730</v>
      </c>
      <c r="C144" s="2">
        <v>2016</v>
      </c>
      <c r="D144" s="2">
        <v>302</v>
      </c>
      <c r="E144" s="4">
        <v>45590</v>
      </c>
      <c r="F144" s="4">
        <v>45593</v>
      </c>
      <c r="G144" s="2">
        <f t="shared" si="2"/>
        <v>3</v>
      </c>
      <c r="H144" s="2">
        <v>53</v>
      </c>
      <c r="I144" t="s">
        <v>78</v>
      </c>
      <c r="J144" t="s">
        <v>13</v>
      </c>
      <c r="K144" s="2">
        <v>12.52</v>
      </c>
      <c r="L144" s="3">
        <v>709.8</v>
      </c>
      <c r="M144" s="3">
        <f>orders_1[[#This Row],[products.Base_Price]]*orders_1[[#This Row],[Quantity]]</f>
        <v>37619.399999999994</v>
      </c>
      <c r="N144" t="s">
        <v>12</v>
      </c>
      <c r="O144" t="s">
        <v>14</v>
      </c>
      <c r="P144" t="s">
        <v>11</v>
      </c>
    </row>
    <row r="145" spans="1:16" x14ac:dyDescent="0.3">
      <c r="A145" s="2">
        <v>10144</v>
      </c>
      <c r="B145" s="2">
        <v>573</v>
      </c>
      <c r="C145" s="2">
        <v>2076</v>
      </c>
      <c r="D145" s="2">
        <v>319</v>
      </c>
      <c r="E145" s="4">
        <v>45387</v>
      </c>
      <c r="F145" s="4">
        <v>45390</v>
      </c>
      <c r="G145" s="2">
        <f t="shared" si="2"/>
        <v>3</v>
      </c>
      <c r="H145" s="2">
        <v>31</v>
      </c>
      <c r="I145" t="s">
        <v>36</v>
      </c>
      <c r="J145" t="s">
        <v>13</v>
      </c>
      <c r="K145" s="2">
        <v>14.63</v>
      </c>
      <c r="L145" s="3">
        <v>638.11</v>
      </c>
      <c r="M145" s="3">
        <f>orders_1[[#This Row],[products.Base_Price]]*orders_1[[#This Row],[Quantity]]</f>
        <v>19781.41</v>
      </c>
      <c r="N145" t="s">
        <v>20</v>
      </c>
      <c r="O145" t="s">
        <v>18</v>
      </c>
      <c r="P145" t="s">
        <v>11</v>
      </c>
    </row>
    <row r="146" spans="1:16" x14ac:dyDescent="0.3">
      <c r="A146" s="2">
        <v>10145</v>
      </c>
      <c r="B146" s="2">
        <v>604</v>
      </c>
      <c r="C146" s="2">
        <v>2066</v>
      </c>
      <c r="D146" s="2">
        <v>303</v>
      </c>
      <c r="E146" s="4">
        <v>45491</v>
      </c>
      <c r="F146" s="4">
        <v>45497</v>
      </c>
      <c r="G146" s="2">
        <f t="shared" si="2"/>
        <v>6</v>
      </c>
      <c r="H146" s="2">
        <v>3</v>
      </c>
      <c r="I146" t="s">
        <v>78</v>
      </c>
      <c r="J146" t="s">
        <v>9</v>
      </c>
      <c r="K146" s="2">
        <v>43.64</v>
      </c>
      <c r="L146" s="3">
        <v>832.31</v>
      </c>
      <c r="M146" s="3">
        <f>orders_1[[#This Row],[products.Base_Price]]*orders_1[[#This Row],[Quantity]]</f>
        <v>2496.9299999999998</v>
      </c>
      <c r="N146" t="s">
        <v>15</v>
      </c>
      <c r="O146" t="s">
        <v>10</v>
      </c>
      <c r="P146" t="s">
        <v>16</v>
      </c>
    </row>
    <row r="147" spans="1:16" x14ac:dyDescent="0.3">
      <c r="A147" s="2">
        <v>10146</v>
      </c>
      <c r="B147" s="2">
        <v>597</v>
      </c>
      <c r="C147" s="2">
        <v>2080</v>
      </c>
      <c r="D147" s="2">
        <v>315</v>
      </c>
      <c r="E147" s="4">
        <v>45534</v>
      </c>
      <c r="F147" s="4">
        <v>45536</v>
      </c>
      <c r="G147" s="2">
        <f t="shared" si="2"/>
        <v>2</v>
      </c>
      <c r="H147" s="2">
        <v>37</v>
      </c>
      <c r="I147" t="s">
        <v>39</v>
      </c>
      <c r="J147" t="s">
        <v>9</v>
      </c>
      <c r="K147" s="2">
        <v>29.56</v>
      </c>
      <c r="L147" s="3">
        <v>143.84</v>
      </c>
      <c r="M147" s="3">
        <f>orders_1[[#This Row],[products.Base_Price]]*orders_1[[#This Row],[Quantity]]</f>
        <v>5322.08</v>
      </c>
      <c r="N147" t="s">
        <v>15</v>
      </c>
      <c r="O147" t="s">
        <v>25</v>
      </c>
      <c r="P147" t="s">
        <v>19</v>
      </c>
    </row>
    <row r="148" spans="1:16" x14ac:dyDescent="0.3">
      <c r="A148" s="2">
        <v>10147</v>
      </c>
      <c r="B148" s="2">
        <v>812</v>
      </c>
      <c r="C148" s="2">
        <v>2040</v>
      </c>
      <c r="D148" s="2">
        <v>304</v>
      </c>
      <c r="E148" s="4">
        <v>45521</v>
      </c>
      <c r="F148" s="4">
        <v>45527</v>
      </c>
      <c r="G148" s="2">
        <f t="shared" si="2"/>
        <v>6</v>
      </c>
      <c r="H148" s="2">
        <v>4</v>
      </c>
      <c r="I148" t="s">
        <v>39</v>
      </c>
      <c r="J148" t="s">
        <v>27</v>
      </c>
      <c r="K148" s="2">
        <v>3.71</v>
      </c>
      <c r="L148" s="3">
        <v>27.53</v>
      </c>
      <c r="M148" s="3">
        <f>orders_1[[#This Row],[products.Base_Price]]*orders_1[[#This Row],[Quantity]]</f>
        <v>110.12</v>
      </c>
      <c r="N148" t="s">
        <v>17</v>
      </c>
      <c r="O148" t="s">
        <v>18</v>
      </c>
      <c r="P148" t="s">
        <v>19</v>
      </c>
    </row>
    <row r="149" spans="1:16" x14ac:dyDescent="0.3">
      <c r="A149" s="2">
        <v>10148</v>
      </c>
      <c r="B149" s="2">
        <v>807</v>
      </c>
      <c r="C149" s="2">
        <v>2050</v>
      </c>
      <c r="D149" s="2">
        <v>314</v>
      </c>
      <c r="E149" s="4">
        <v>45599</v>
      </c>
      <c r="F149" s="4">
        <v>45607</v>
      </c>
      <c r="G149" s="2">
        <f t="shared" si="2"/>
        <v>8</v>
      </c>
      <c r="H149" s="2">
        <v>72</v>
      </c>
      <c r="I149" t="s">
        <v>39</v>
      </c>
      <c r="J149" t="s">
        <v>21</v>
      </c>
      <c r="K149" s="2">
        <v>36.43</v>
      </c>
      <c r="L149" s="3">
        <v>507.16</v>
      </c>
      <c r="M149" s="3">
        <f>orders_1[[#This Row],[products.Base_Price]]*orders_1[[#This Row],[Quantity]]</f>
        <v>36515.520000000004</v>
      </c>
      <c r="N149" t="s">
        <v>17</v>
      </c>
      <c r="O149" t="s">
        <v>14</v>
      </c>
      <c r="P149" t="s">
        <v>19</v>
      </c>
    </row>
    <row r="150" spans="1:16" x14ac:dyDescent="0.3">
      <c r="A150" s="2">
        <v>10149</v>
      </c>
      <c r="B150" s="2">
        <v>536</v>
      </c>
      <c r="C150" s="2">
        <v>2030</v>
      </c>
      <c r="D150" s="2">
        <v>320</v>
      </c>
      <c r="E150" s="4">
        <v>45496</v>
      </c>
      <c r="F150" s="4">
        <v>45505</v>
      </c>
      <c r="G150" s="2">
        <f t="shared" si="2"/>
        <v>9</v>
      </c>
      <c r="H150" s="2">
        <v>27</v>
      </c>
      <c r="I150" t="s">
        <v>78</v>
      </c>
      <c r="J150" t="s">
        <v>13</v>
      </c>
      <c r="K150" s="2">
        <v>27.52</v>
      </c>
      <c r="L150" s="3">
        <v>537.03</v>
      </c>
      <c r="M150" s="3">
        <f>orders_1[[#This Row],[products.Base_Price]]*orders_1[[#This Row],[Quantity]]</f>
        <v>14499.81</v>
      </c>
      <c r="N150" t="s">
        <v>15</v>
      </c>
      <c r="O150" t="s">
        <v>25</v>
      </c>
      <c r="P150" t="s">
        <v>11</v>
      </c>
    </row>
    <row r="151" spans="1:16" x14ac:dyDescent="0.3">
      <c r="A151" s="2">
        <v>10150</v>
      </c>
      <c r="B151" s="2">
        <v>674</v>
      </c>
      <c r="C151" s="2">
        <v>2067</v>
      </c>
      <c r="D151" s="2">
        <v>318</v>
      </c>
      <c r="E151" s="4">
        <v>45469</v>
      </c>
      <c r="F151" s="4">
        <v>45473</v>
      </c>
      <c r="G151" s="2">
        <f t="shared" si="2"/>
        <v>4</v>
      </c>
      <c r="H151" s="2">
        <v>71</v>
      </c>
      <c r="I151" t="s">
        <v>36</v>
      </c>
      <c r="J151" t="s">
        <v>9</v>
      </c>
      <c r="K151" s="2">
        <v>24.79</v>
      </c>
      <c r="L151" s="3">
        <v>48.68</v>
      </c>
      <c r="M151" s="3">
        <f>orders_1[[#This Row],[products.Base_Price]]*orders_1[[#This Row],[Quantity]]</f>
        <v>3456.28</v>
      </c>
      <c r="N151" t="s">
        <v>17</v>
      </c>
      <c r="O151" t="s">
        <v>10</v>
      </c>
      <c r="P151" t="s">
        <v>19</v>
      </c>
    </row>
    <row r="152" spans="1:16" x14ac:dyDescent="0.3">
      <c r="A152" s="2">
        <v>10151</v>
      </c>
      <c r="B152" s="2">
        <v>880</v>
      </c>
      <c r="C152" s="2">
        <v>2099</v>
      </c>
      <c r="D152" s="2">
        <v>307</v>
      </c>
      <c r="E152" s="4">
        <v>45349</v>
      </c>
      <c r="F152" s="4">
        <v>45355</v>
      </c>
      <c r="G152" s="2">
        <f t="shared" si="2"/>
        <v>6</v>
      </c>
      <c r="H152" s="2">
        <v>20</v>
      </c>
      <c r="I152" t="s">
        <v>78</v>
      </c>
      <c r="J152" t="s">
        <v>21</v>
      </c>
      <c r="K152" s="2">
        <v>31.62</v>
      </c>
      <c r="L152" s="3">
        <v>652.77</v>
      </c>
      <c r="M152" s="3">
        <f>orders_1[[#This Row],[products.Base_Price]]*orders_1[[#This Row],[Quantity]]</f>
        <v>13055.4</v>
      </c>
      <c r="N152" t="s">
        <v>17</v>
      </c>
      <c r="O152" t="s">
        <v>10</v>
      </c>
      <c r="P152" t="s">
        <v>11</v>
      </c>
    </row>
    <row r="153" spans="1:16" x14ac:dyDescent="0.3">
      <c r="A153" s="2">
        <v>10152</v>
      </c>
      <c r="B153" s="2">
        <v>590</v>
      </c>
      <c r="C153" s="2">
        <v>2054</v>
      </c>
      <c r="D153" s="2">
        <v>313</v>
      </c>
      <c r="E153" s="4">
        <v>45474</v>
      </c>
      <c r="F153" s="4">
        <v>45479</v>
      </c>
      <c r="G153" s="2">
        <f t="shared" si="2"/>
        <v>5</v>
      </c>
      <c r="H153" s="2">
        <v>78</v>
      </c>
      <c r="I153" t="s">
        <v>42</v>
      </c>
      <c r="J153" t="s">
        <v>9</v>
      </c>
      <c r="K153" s="2">
        <v>5.63</v>
      </c>
      <c r="L153" s="3">
        <v>304.22000000000003</v>
      </c>
      <c r="M153" s="3">
        <f>orders_1[[#This Row],[products.Base_Price]]*orders_1[[#This Row],[Quantity]]</f>
        <v>23729.160000000003</v>
      </c>
      <c r="N153" t="s">
        <v>15</v>
      </c>
      <c r="O153" t="s">
        <v>25</v>
      </c>
      <c r="P153" t="s">
        <v>16</v>
      </c>
    </row>
    <row r="154" spans="1:16" x14ac:dyDescent="0.3">
      <c r="A154" s="2">
        <v>10153</v>
      </c>
      <c r="B154" s="2">
        <v>573</v>
      </c>
      <c r="C154" s="2">
        <v>2098</v>
      </c>
      <c r="D154" s="2">
        <v>302</v>
      </c>
      <c r="E154" s="4">
        <v>45491</v>
      </c>
      <c r="F154" s="4">
        <v>45494</v>
      </c>
      <c r="G154" s="2">
        <f t="shared" si="2"/>
        <v>3</v>
      </c>
      <c r="H154" s="2">
        <v>98</v>
      </c>
      <c r="I154" t="s">
        <v>78</v>
      </c>
      <c r="J154" t="s">
        <v>13</v>
      </c>
      <c r="K154" s="2">
        <v>25.35</v>
      </c>
      <c r="L154" s="3">
        <v>571.58000000000004</v>
      </c>
      <c r="M154" s="3">
        <f>orders_1[[#This Row],[products.Base_Price]]*orders_1[[#This Row],[Quantity]]</f>
        <v>56014.840000000004</v>
      </c>
      <c r="N154" t="s">
        <v>12</v>
      </c>
      <c r="O154" t="s">
        <v>14</v>
      </c>
      <c r="P154" t="s">
        <v>11</v>
      </c>
    </row>
    <row r="155" spans="1:16" x14ac:dyDescent="0.3">
      <c r="A155" s="2">
        <v>10154</v>
      </c>
      <c r="B155" s="2">
        <v>780</v>
      </c>
      <c r="C155" s="2">
        <v>2043</v>
      </c>
      <c r="D155" s="2">
        <v>316</v>
      </c>
      <c r="E155" s="4">
        <v>45494</v>
      </c>
      <c r="F155" s="4">
        <v>45497</v>
      </c>
      <c r="G155" s="2">
        <f t="shared" si="2"/>
        <v>3</v>
      </c>
      <c r="H155" s="2">
        <v>75</v>
      </c>
      <c r="I155" t="s">
        <v>42</v>
      </c>
      <c r="J155" t="s">
        <v>27</v>
      </c>
      <c r="K155" s="2">
        <v>14.98</v>
      </c>
      <c r="L155" s="3">
        <v>375.85</v>
      </c>
      <c r="M155" s="3">
        <f>orders_1[[#This Row],[products.Base_Price]]*orders_1[[#This Row],[Quantity]]</f>
        <v>28188.75</v>
      </c>
      <c r="N155" t="s">
        <v>24</v>
      </c>
      <c r="O155" t="s">
        <v>25</v>
      </c>
      <c r="P155" t="s">
        <v>19</v>
      </c>
    </row>
    <row r="156" spans="1:16" x14ac:dyDescent="0.3">
      <c r="A156" s="2">
        <v>10155</v>
      </c>
      <c r="B156" s="2">
        <v>615</v>
      </c>
      <c r="C156" s="2">
        <v>2029</v>
      </c>
      <c r="D156" s="2">
        <v>319</v>
      </c>
      <c r="E156" s="4">
        <v>45293</v>
      </c>
      <c r="F156" s="4">
        <v>45294</v>
      </c>
      <c r="G156" s="2">
        <f t="shared" si="2"/>
        <v>1</v>
      </c>
      <c r="H156" s="2">
        <v>32</v>
      </c>
      <c r="I156" t="s">
        <v>42</v>
      </c>
      <c r="J156" t="s">
        <v>21</v>
      </c>
      <c r="K156" s="2">
        <v>9.19</v>
      </c>
      <c r="L156" s="3">
        <v>357.06</v>
      </c>
      <c r="M156" s="3">
        <f>orders_1[[#This Row],[products.Base_Price]]*orders_1[[#This Row],[Quantity]]</f>
        <v>11425.92</v>
      </c>
      <c r="N156" t="s">
        <v>20</v>
      </c>
      <c r="O156" t="s">
        <v>18</v>
      </c>
      <c r="P156" t="s">
        <v>11</v>
      </c>
    </row>
    <row r="157" spans="1:16" x14ac:dyDescent="0.3">
      <c r="A157" s="2">
        <v>10156</v>
      </c>
      <c r="B157" s="2">
        <v>735</v>
      </c>
      <c r="C157" s="2">
        <v>2049</v>
      </c>
      <c r="D157" s="2">
        <v>303</v>
      </c>
      <c r="E157" s="4">
        <v>45357</v>
      </c>
      <c r="F157" s="4">
        <v>45367</v>
      </c>
      <c r="G157" s="2">
        <f t="shared" si="2"/>
        <v>10</v>
      </c>
      <c r="H157" s="2">
        <v>51</v>
      </c>
      <c r="I157" t="s">
        <v>39</v>
      </c>
      <c r="J157" t="s">
        <v>27</v>
      </c>
      <c r="K157" s="2">
        <v>17.52</v>
      </c>
      <c r="L157" s="3">
        <v>832.77</v>
      </c>
      <c r="M157" s="3">
        <f>orders_1[[#This Row],[products.Base_Price]]*orders_1[[#This Row],[Quantity]]</f>
        <v>42471.27</v>
      </c>
      <c r="N157" t="s">
        <v>15</v>
      </c>
      <c r="O157" t="s">
        <v>10</v>
      </c>
      <c r="P157" t="s">
        <v>16</v>
      </c>
    </row>
    <row r="158" spans="1:16" x14ac:dyDescent="0.3">
      <c r="A158" s="2">
        <v>10157</v>
      </c>
      <c r="B158" s="2">
        <v>769</v>
      </c>
      <c r="C158" s="2">
        <v>2018</v>
      </c>
      <c r="D158" s="2">
        <v>309</v>
      </c>
      <c r="E158" s="4">
        <v>45302</v>
      </c>
      <c r="F158" s="4">
        <v>45307</v>
      </c>
      <c r="G158" s="2">
        <f t="shared" si="2"/>
        <v>5</v>
      </c>
      <c r="H158" s="2">
        <v>52</v>
      </c>
      <c r="I158" t="s">
        <v>42</v>
      </c>
      <c r="J158" t="s">
        <v>21</v>
      </c>
      <c r="K158" s="2">
        <v>16.739999999999998</v>
      </c>
      <c r="L158" s="3">
        <v>103.05</v>
      </c>
      <c r="M158" s="3">
        <f>orders_1[[#This Row],[products.Base_Price]]*orders_1[[#This Row],[Quantity]]</f>
        <v>5358.5999999999995</v>
      </c>
      <c r="N158" t="s">
        <v>24</v>
      </c>
      <c r="O158" t="s">
        <v>25</v>
      </c>
      <c r="P158" t="s">
        <v>16</v>
      </c>
    </row>
    <row r="159" spans="1:16" x14ac:dyDescent="0.3">
      <c r="A159" s="2">
        <v>10158</v>
      </c>
      <c r="B159" s="2">
        <v>624</v>
      </c>
      <c r="C159" s="2">
        <v>2069</v>
      </c>
      <c r="D159" s="2">
        <v>309</v>
      </c>
      <c r="E159" s="4">
        <v>45437</v>
      </c>
      <c r="F159" s="4">
        <v>45438</v>
      </c>
      <c r="G159" s="2">
        <f t="shared" si="2"/>
        <v>1</v>
      </c>
      <c r="H159" s="2">
        <v>38</v>
      </c>
      <c r="I159" t="s">
        <v>39</v>
      </c>
      <c r="J159" t="s">
        <v>22</v>
      </c>
      <c r="K159" s="2">
        <v>2.94</v>
      </c>
      <c r="L159" s="3">
        <v>494.92</v>
      </c>
      <c r="M159" s="3">
        <f>orders_1[[#This Row],[products.Base_Price]]*orders_1[[#This Row],[Quantity]]</f>
        <v>18806.96</v>
      </c>
      <c r="N159" t="s">
        <v>24</v>
      </c>
      <c r="O159" t="s">
        <v>25</v>
      </c>
      <c r="P159" t="s">
        <v>16</v>
      </c>
    </row>
    <row r="160" spans="1:16" x14ac:dyDescent="0.3">
      <c r="A160" s="2">
        <v>10159</v>
      </c>
      <c r="B160" s="2">
        <v>573</v>
      </c>
      <c r="C160" s="2">
        <v>2013</v>
      </c>
      <c r="D160" s="2">
        <v>312</v>
      </c>
      <c r="E160" s="4">
        <v>45308</v>
      </c>
      <c r="F160" s="4">
        <v>45311</v>
      </c>
      <c r="G160" s="2">
        <f t="shared" si="2"/>
        <v>3</v>
      </c>
      <c r="H160" s="2">
        <v>6</v>
      </c>
      <c r="I160" t="s">
        <v>78</v>
      </c>
      <c r="J160" t="s">
        <v>13</v>
      </c>
      <c r="K160" s="2">
        <v>19.53</v>
      </c>
      <c r="L160" s="3">
        <v>563.69000000000005</v>
      </c>
      <c r="M160" s="3">
        <f>orders_1[[#This Row],[products.Base_Price]]*orders_1[[#This Row],[Quantity]]</f>
        <v>3382.1400000000003</v>
      </c>
      <c r="N160" t="s">
        <v>15</v>
      </c>
      <c r="O160" t="s">
        <v>10</v>
      </c>
      <c r="P160" t="s">
        <v>11</v>
      </c>
    </row>
    <row r="161" spans="1:16" x14ac:dyDescent="0.3">
      <c r="A161" s="2">
        <v>10160</v>
      </c>
      <c r="B161" s="2">
        <v>841</v>
      </c>
      <c r="C161" s="2">
        <v>2014</v>
      </c>
      <c r="D161" s="2">
        <v>319</v>
      </c>
      <c r="E161" s="4">
        <v>45353</v>
      </c>
      <c r="F161" s="4">
        <v>45357</v>
      </c>
      <c r="G161" s="2">
        <f t="shared" si="2"/>
        <v>4</v>
      </c>
      <c r="H161" s="2">
        <v>7</v>
      </c>
      <c r="I161" t="s">
        <v>36</v>
      </c>
      <c r="J161" t="s">
        <v>27</v>
      </c>
      <c r="K161" s="2">
        <v>12.2</v>
      </c>
      <c r="L161" s="3">
        <v>652.53</v>
      </c>
      <c r="M161" s="3">
        <f>orders_1[[#This Row],[products.Base_Price]]*orders_1[[#This Row],[Quantity]]</f>
        <v>4567.71</v>
      </c>
      <c r="N161" t="s">
        <v>20</v>
      </c>
      <c r="O161" t="s">
        <v>18</v>
      </c>
      <c r="P161" t="s">
        <v>11</v>
      </c>
    </row>
    <row r="162" spans="1:16" x14ac:dyDescent="0.3">
      <c r="A162" s="2">
        <v>10161</v>
      </c>
      <c r="B162" s="2">
        <v>583</v>
      </c>
      <c r="C162" s="2">
        <v>2061</v>
      </c>
      <c r="D162" s="2">
        <v>313</v>
      </c>
      <c r="E162" s="4">
        <v>45611</v>
      </c>
      <c r="F162" s="4">
        <v>45615</v>
      </c>
      <c r="G162" s="2">
        <f t="shared" si="2"/>
        <v>4</v>
      </c>
      <c r="H162" s="2">
        <v>56</v>
      </c>
      <c r="I162" t="s">
        <v>36</v>
      </c>
      <c r="J162" t="s">
        <v>13</v>
      </c>
      <c r="K162" s="2">
        <v>46.64</v>
      </c>
      <c r="L162" s="3">
        <v>620.16999999999996</v>
      </c>
      <c r="M162" s="3">
        <f>orders_1[[#This Row],[products.Base_Price]]*orders_1[[#This Row],[Quantity]]</f>
        <v>34729.519999999997</v>
      </c>
      <c r="N162" t="s">
        <v>15</v>
      </c>
      <c r="O162" t="s">
        <v>25</v>
      </c>
      <c r="P162" t="s">
        <v>16</v>
      </c>
    </row>
    <row r="163" spans="1:16" x14ac:dyDescent="0.3">
      <c r="A163" s="2">
        <v>10162</v>
      </c>
      <c r="B163" s="2">
        <v>860</v>
      </c>
      <c r="C163" s="2">
        <v>2034</v>
      </c>
      <c r="D163" s="2">
        <v>315</v>
      </c>
      <c r="E163" s="4">
        <v>45437</v>
      </c>
      <c r="F163" s="4">
        <v>45444</v>
      </c>
      <c r="G163" s="2">
        <f t="shared" si="2"/>
        <v>7</v>
      </c>
      <c r="H163" s="2">
        <v>5</v>
      </c>
      <c r="I163" t="s">
        <v>36</v>
      </c>
      <c r="J163" t="s">
        <v>27</v>
      </c>
      <c r="K163" s="2">
        <v>26.17</v>
      </c>
      <c r="L163" s="3">
        <v>540.23</v>
      </c>
      <c r="M163" s="3">
        <f>orders_1[[#This Row],[products.Base_Price]]*orders_1[[#This Row],[Quantity]]</f>
        <v>2701.15</v>
      </c>
      <c r="N163" t="s">
        <v>15</v>
      </c>
      <c r="O163" t="s">
        <v>25</v>
      </c>
      <c r="P163" t="s">
        <v>19</v>
      </c>
    </row>
    <row r="164" spans="1:16" x14ac:dyDescent="0.3">
      <c r="A164" s="2">
        <v>10163</v>
      </c>
      <c r="B164" s="2">
        <v>519</v>
      </c>
      <c r="C164" s="2">
        <v>2090</v>
      </c>
      <c r="D164" s="2">
        <v>301</v>
      </c>
      <c r="E164" s="4">
        <v>45518</v>
      </c>
      <c r="F164" s="4">
        <v>45524</v>
      </c>
      <c r="G164" s="2">
        <f t="shared" si="2"/>
        <v>6</v>
      </c>
      <c r="H164" s="2">
        <v>10</v>
      </c>
      <c r="I164" t="s">
        <v>36</v>
      </c>
      <c r="J164" t="s">
        <v>22</v>
      </c>
      <c r="K164" s="2">
        <v>38.729999999999997</v>
      </c>
      <c r="L164" s="3">
        <v>913.68</v>
      </c>
      <c r="M164" s="3">
        <f>orders_1[[#This Row],[products.Base_Price]]*orders_1[[#This Row],[Quantity]]</f>
        <v>9136.7999999999993</v>
      </c>
      <c r="N164" t="s">
        <v>8</v>
      </c>
      <c r="O164" t="s">
        <v>10</v>
      </c>
      <c r="P164" t="s">
        <v>11</v>
      </c>
    </row>
    <row r="165" spans="1:16" x14ac:dyDescent="0.3">
      <c r="A165" s="2">
        <v>10164</v>
      </c>
      <c r="B165" s="2">
        <v>536</v>
      </c>
      <c r="C165" s="2">
        <v>2096</v>
      </c>
      <c r="D165" s="2">
        <v>307</v>
      </c>
      <c r="E165" s="4">
        <v>45392</v>
      </c>
      <c r="F165" s="4">
        <v>45396</v>
      </c>
      <c r="G165" s="2">
        <f t="shared" si="2"/>
        <v>4</v>
      </c>
      <c r="H165" s="2">
        <v>63</v>
      </c>
      <c r="I165" t="s">
        <v>42</v>
      </c>
      <c r="J165" t="s">
        <v>22</v>
      </c>
      <c r="K165" s="2">
        <v>20.04</v>
      </c>
      <c r="L165" s="3">
        <v>70.19</v>
      </c>
      <c r="M165" s="3">
        <f>orders_1[[#This Row],[products.Base_Price]]*orders_1[[#This Row],[Quantity]]</f>
        <v>4421.97</v>
      </c>
      <c r="N165" t="s">
        <v>17</v>
      </c>
      <c r="O165" t="s">
        <v>10</v>
      </c>
      <c r="P165" t="s">
        <v>11</v>
      </c>
    </row>
    <row r="166" spans="1:16" x14ac:dyDescent="0.3">
      <c r="A166" s="2">
        <v>10165</v>
      </c>
      <c r="B166" s="2">
        <v>883</v>
      </c>
      <c r="C166" s="2">
        <v>2007</v>
      </c>
      <c r="D166" s="2">
        <v>317</v>
      </c>
      <c r="E166" s="4">
        <v>45576</v>
      </c>
      <c r="F166" s="4">
        <v>45581</v>
      </c>
      <c r="G166" s="2">
        <f t="shared" si="2"/>
        <v>5</v>
      </c>
      <c r="H166" s="2">
        <v>78</v>
      </c>
      <c r="I166" t="s">
        <v>78</v>
      </c>
      <c r="J166" t="s">
        <v>21</v>
      </c>
      <c r="K166" s="2">
        <v>48.07</v>
      </c>
      <c r="L166" s="3">
        <v>759.78</v>
      </c>
      <c r="M166" s="3">
        <f>orders_1[[#This Row],[products.Base_Price]]*orders_1[[#This Row],[Quantity]]</f>
        <v>59262.84</v>
      </c>
      <c r="N166" t="s">
        <v>20</v>
      </c>
      <c r="O166" t="s">
        <v>25</v>
      </c>
      <c r="P166" t="s">
        <v>19</v>
      </c>
    </row>
    <row r="167" spans="1:16" x14ac:dyDescent="0.3">
      <c r="A167" s="2">
        <v>10166</v>
      </c>
      <c r="B167" s="2">
        <v>562</v>
      </c>
      <c r="C167" s="2">
        <v>2035</v>
      </c>
      <c r="D167" s="2">
        <v>313</v>
      </c>
      <c r="E167" s="4">
        <v>45520</v>
      </c>
      <c r="F167" s="4">
        <v>45524</v>
      </c>
      <c r="G167" s="2">
        <f t="shared" si="2"/>
        <v>4</v>
      </c>
      <c r="H167" s="2">
        <v>54</v>
      </c>
      <c r="I167" t="s">
        <v>78</v>
      </c>
      <c r="J167" t="s">
        <v>27</v>
      </c>
      <c r="K167" s="2">
        <v>18.55</v>
      </c>
      <c r="L167" s="3">
        <v>636.37</v>
      </c>
      <c r="M167" s="3">
        <f>orders_1[[#This Row],[products.Base_Price]]*orders_1[[#This Row],[Quantity]]</f>
        <v>34363.980000000003</v>
      </c>
      <c r="N167" t="s">
        <v>15</v>
      </c>
      <c r="O167" t="s">
        <v>25</v>
      </c>
      <c r="P167" t="s">
        <v>16</v>
      </c>
    </row>
    <row r="168" spans="1:16" x14ac:dyDescent="0.3">
      <c r="A168" s="2">
        <v>10167</v>
      </c>
      <c r="B168" s="2">
        <v>510</v>
      </c>
      <c r="C168" s="2">
        <v>2082</v>
      </c>
      <c r="D168" s="2">
        <v>304</v>
      </c>
      <c r="E168" s="4">
        <v>45597</v>
      </c>
      <c r="F168" s="4">
        <v>45603</v>
      </c>
      <c r="G168" s="2">
        <f t="shared" si="2"/>
        <v>6</v>
      </c>
      <c r="H168" s="2">
        <v>78</v>
      </c>
      <c r="I168" t="s">
        <v>36</v>
      </c>
      <c r="J168" t="s">
        <v>22</v>
      </c>
      <c r="K168" s="2">
        <v>41.79</v>
      </c>
      <c r="L168" s="3">
        <v>352.17</v>
      </c>
      <c r="M168" s="3">
        <f>orders_1[[#This Row],[products.Base_Price]]*orders_1[[#This Row],[Quantity]]</f>
        <v>27469.260000000002</v>
      </c>
      <c r="N168" t="s">
        <v>17</v>
      </c>
      <c r="O168" t="s">
        <v>18</v>
      </c>
      <c r="P168" t="s">
        <v>19</v>
      </c>
    </row>
    <row r="169" spans="1:16" x14ac:dyDescent="0.3">
      <c r="A169" s="2">
        <v>10168</v>
      </c>
      <c r="B169" s="2">
        <v>755</v>
      </c>
      <c r="C169" s="2">
        <v>2070</v>
      </c>
      <c r="D169" s="2">
        <v>319</v>
      </c>
      <c r="E169" s="4">
        <v>45597</v>
      </c>
      <c r="F169" s="4">
        <v>45605</v>
      </c>
      <c r="G169" s="2">
        <f t="shared" si="2"/>
        <v>8</v>
      </c>
      <c r="H169" s="2">
        <v>38</v>
      </c>
      <c r="I169" t="s">
        <v>39</v>
      </c>
      <c r="J169" t="s">
        <v>22</v>
      </c>
      <c r="K169" s="2">
        <v>22.6</v>
      </c>
      <c r="L169" s="3">
        <v>196.67</v>
      </c>
      <c r="M169" s="3">
        <f>orders_1[[#This Row],[products.Base_Price]]*orders_1[[#This Row],[Quantity]]</f>
        <v>7473.4599999999991</v>
      </c>
      <c r="N169" t="s">
        <v>20</v>
      </c>
      <c r="O169" t="s">
        <v>18</v>
      </c>
      <c r="P169" t="s">
        <v>11</v>
      </c>
    </row>
    <row r="170" spans="1:16" x14ac:dyDescent="0.3">
      <c r="A170" s="2">
        <v>10169</v>
      </c>
      <c r="B170" s="2">
        <v>786</v>
      </c>
      <c r="C170" s="2">
        <v>2020</v>
      </c>
      <c r="D170" s="2">
        <v>309</v>
      </c>
      <c r="E170" s="4">
        <v>45546</v>
      </c>
      <c r="F170" s="4">
        <v>45551</v>
      </c>
      <c r="G170" s="2">
        <f t="shared" si="2"/>
        <v>5</v>
      </c>
      <c r="H170" s="2">
        <v>41</v>
      </c>
      <c r="I170" t="s">
        <v>36</v>
      </c>
      <c r="J170" t="s">
        <v>27</v>
      </c>
      <c r="K170" s="2">
        <v>35.94</v>
      </c>
      <c r="L170" s="3">
        <v>44.04</v>
      </c>
      <c r="M170" s="3">
        <f>orders_1[[#This Row],[products.Base_Price]]*orders_1[[#This Row],[Quantity]]</f>
        <v>1805.6399999999999</v>
      </c>
      <c r="N170" t="s">
        <v>24</v>
      </c>
      <c r="O170" t="s">
        <v>25</v>
      </c>
      <c r="P170" t="s">
        <v>16</v>
      </c>
    </row>
    <row r="171" spans="1:16" x14ac:dyDescent="0.3">
      <c r="A171" s="2">
        <v>10170</v>
      </c>
      <c r="B171" s="2">
        <v>890</v>
      </c>
      <c r="C171" s="2">
        <v>2031</v>
      </c>
      <c r="D171" s="2">
        <v>316</v>
      </c>
      <c r="E171" s="4">
        <v>45590</v>
      </c>
      <c r="F171" s="4">
        <v>45598</v>
      </c>
      <c r="G171" s="2">
        <f t="shared" si="2"/>
        <v>8</v>
      </c>
      <c r="H171" s="2">
        <v>34</v>
      </c>
      <c r="I171" t="s">
        <v>78</v>
      </c>
      <c r="J171" t="s">
        <v>27</v>
      </c>
      <c r="K171" s="2">
        <v>24.61</v>
      </c>
      <c r="L171" s="3">
        <v>342.86</v>
      </c>
      <c r="M171" s="3">
        <f>orders_1[[#This Row],[products.Base_Price]]*orders_1[[#This Row],[Quantity]]</f>
        <v>11657.24</v>
      </c>
      <c r="N171" t="s">
        <v>24</v>
      </c>
      <c r="O171" t="s">
        <v>25</v>
      </c>
      <c r="P171" t="s">
        <v>19</v>
      </c>
    </row>
    <row r="172" spans="1:16" x14ac:dyDescent="0.3">
      <c r="A172" s="2">
        <v>10171</v>
      </c>
      <c r="B172" s="2">
        <v>714</v>
      </c>
      <c r="C172" s="2">
        <v>2033</v>
      </c>
      <c r="D172" s="2">
        <v>301</v>
      </c>
      <c r="E172" s="4">
        <v>45555</v>
      </c>
      <c r="F172" s="4">
        <v>45558</v>
      </c>
      <c r="G172" s="2">
        <f t="shared" si="2"/>
        <v>3</v>
      </c>
      <c r="H172" s="2">
        <v>88</v>
      </c>
      <c r="I172" t="s">
        <v>78</v>
      </c>
      <c r="J172" t="s">
        <v>22</v>
      </c>
      <c r="K172" s="2">
        <v>8.33</v>
      </c>
      <c r="L172" s="3">
        <v>629.69000000000005</v>
      </c>
      <c r="M172" s="3">
        <f>orders_1[[#This Row],[products.Base_Price]]*orders_1[[#This Row],[Quantity]]</f>
        <v>55412.72</v>
      </c>
      <c r="N172" t="s">
        <v>8</v>
      </c>
      <c r="O172" t="s">
        <v>10</v>
      </c>
      <c r="P172" t="s">
        <v>11</v>
      </c>
    </row>
    <row r="173" spans="1:16" x14ac:dyDescent="0.3">
      <c r="A173" s="2">
        <v>10172</v>
      </c>
      <c r="B173" s="2">
        <v>846</v>
      </c>
      <c r="C173" s="2">
        <v>2089</v>
      </c>
      <c r="D173" s="2">
        <v>311</v>
      </c>
      <c r="E173" s="4">
        <v>45639</v>
      </c>
      <c r="F173" s="4">
        <v>45647</v>
      </c>
      <c r="G173" s="2">
        <f t="shared" si="2"/>
        <v>8</v>
      </c>
      <c r="H173" s="2">
        <v>48</v>
      </c>
      <c r="I173" t="s">
        <v>36</v>
      </c>
      <c r="J173" t="s">
        <v>22</v>
      </c>
      <c r="K173" s="2">
        <v>19.170000000000002</v>
      </c>
      <c r="L173" s="3">
        <v>513.33000000000004</v>
      </c>
      <c r="M173" s="3">
        <f>orders_1[[#This Row],[products.Base_Price]]*orders_1[[#This Row],[Quantity]]</f>
        <v>24639.840000000004</v>
      </c>
      <c r="N173" t="s">
        <v>26</v>
      </c>
      <c r="O173" t="s">
        <v>10</v>
      </c>
      <c r="P173" t="s">
        <v>11</v>
      </c>
    </row>
    <row r="174" spans="1:16" x14ac:dyDescent="0.3">
      <c r="A174" s="2">
        <v>10173</v>
      </c>
      <c r="B174" s="2">
        <v>732</v>
      </c>
      <c r="C174" s="2">
        <v>2087</v>
      </c>
      <c r="D174" s="2">
        <v>301</v>
      </c>
      <c r="E174" s="4">
        <v>45319</v>
      </c>
      <c r="F174" s="4">
        <v>45325</v>
      </c>
      <c r="G174" s="2">
        <f t="shared" si="2"/>
        <v>6</v>
      </c>
      <c r="H174" s="2">
        <v>91</v>
      </c>
      <c r="I174" t="s">
        <v>39</v>
      </c>
      <c r="J174" t="s">
        <v>9</v>
      </c>
      <c r="K174" s="2">
        <v>35.82</v>
      </c>
      <c r="L174" s="3">
        <v>47.38</v>
      </c>
      <c r="M174" s="3">
        <f>orders_1[[#This Row],[products.Base_Price]]*orders_1[[#This Row],[Quantity]]</f>
        <v>4311.58</v>
      </c>
      <c r="N174" t="s">
        <v>8</v>
      </c>
      <c r="O174" t="s">
        <v>10</v>
      </c>
      <c r="P174" t="s">
        <v>11</v>
      </c>
    </row>
    <row r="175" spans="1:16" x14ac:dyDescent="0.3">
      <c r="A175" s="2">
        <v>10174</v>
      </c>
      <c r="B175" s="2">
        <v>898</v>
      </c>
      <c r="C175" s="2">
        <v>2013</v>
      </c>
      <c r="D175" s="2">
        <v>316</v>
      </c>
      <c r="E175" s="4">
        <v>45301</v>
      </c>
      <c r="F175" s="4">
        <v>45310</v>
      </c>
      <c r="G175" s="2">
        <f t="shared" si="2"/>
        <v>9</v>
      </c>
      <c r="H175" s="2">
        <v>66</v>
      </c>
      <c r="I175" t="s">
        <v>39</v>
      </c>
      <c r="J175" t="s">
        <v>13</v>
      </c>
      <c r="K175" s="2">
        <v>19.53</v>
      </c>
      <c r="L175" s="3">
        <v>563.69000000000005</v>
      </c>
      <c r="M175" s="3">
        <f>orders_1[[#This Row],[products.Base_Price]]*orders_1[[#This Row],[Quantity]]</f>
        <v>37203.54</v>
      </c>
      <c r="N175" t="s">
        <v>24</v>
      </c>
      <c r="O175" t="s">
        <v>25</v>
      </c>
      <c r="P175" t="s">
        <v>19</v>
      </c>
    </row>
    <row r="176" spans="1:16" x14ac:dyDescent="0.3">
      <c r="A176" s="2">
        <v>10175</v>
      </c>
      <c r="B176" s="2">
        <v>657</v>
      </c>
      <c r="C176" s="2">
        <v>2014</v>
      </c>
      <c r="D176" s="2">
        <v>319</v>
      </c>
      <c r="E176" s="4">
        <v>45608</v>
      </c>
      <c r="F176" s="4">
        <v>45616</v>
      </c>
      <c r="G176" s="2">
        <f t="shared" si="2"/>
        <v>8</v>
      </c>
      <c r="H176" s="2">
        <v>59</v>
      </c>
      <c r="I176" t="s">
        <v>39</v>
      </c>
      <c r="J176" t="s">
        <v>27</v>
      </c>
      <c r="K176" s="2">
        <v>12.2</v>
      </c>
      <c r="L176" s="3">
        <v>652.53</v>
      </c>
      <c r="M176" s="3">
        <f>orders_1[[#This Row],[products.Base_Price]]*orders_1[[#This Row],[Quantity]]</f>
        <v>38499.269999999997</v>
      </c>
      <c r="N176" t="s">
        <v>20</v>
      </c>
      <c r="O176" t="s">
        <v>18</v>
      </c>
      <c r="P176" t="s">
        <v>11</v>
      </c>
    </row>
    <row r="177" spans="1:16" x14ac:dyDescent="0.3">
      <c r="A177" s="2">
        <v>10176</v>
      </c>
      <c r="B177" s="2">
        <v>825</v>
      </c>
      <c r="C177" s="2">
        <v>2019</v>
      </c>
      <c r="D177" s="2">
        <v>308</v>
      </c>
      <c r="E177" s="4">
        <v>45429</v>
      </c>
      <c r="F177" s="4">
        <v>45436</v>
      </c>
      <c r="G177" s="2">
        <f t="shared" si="2"/>
        <v>7</v>
      </c>
      <c r="H177" s="2">
        <v>71</v>
      </c>
      <c r="I177" t="s">
        <v>42</v>
      </c>
      <c r="J177" t="s">
        <v>22</v>
      </c>
      <c r="K177" s="2">
        <v>27.65</v>
      </c>
      <c r="L177" s="3">
        <v>89.85</v>
      </c>
      <c r="M177" s="3">
        <f>orders_1[[#This Row],[products.Base_Price]]*orders_1[[#This Row],[Quantity]]</f>
        <v>6379.3499999999995</v>
      </c>
      <c r="N177" t="s">
        <v>23</v>
      </c>
      <c r="O177" t="s">
        <v>14</v>
      </c>
      <c r="P177" t="s">
        <v>19</v>
      </c>
    </row>
    <row r="178" spans="1:16" x14ac:dyDescent="0.3">
      <c r="A178" s="2">
        <v>10177</v>
      </c>
      <c r="B178" s="2">
        <v>740</v>
      </c>
      <c r="C178" s="2">
        <v>2028</v>
      </c>
      <c r="D178" s="2">
        <v>307</v>
      </c>
      <c r="E178" s="4">
        <v>45360</v>
      </c>
      <c r="F178" s="4">
        <v>45365</v>
      </c>
      <c r="G178" s="2">
        <f t="shared" si="2"/>
        <v>5</v>
      </c>
      <c r="H178" s="2">
        <v>41</v>
      </c>
      <c r="I178" t="s">
        <v>39</v>
      </c>
      <c r="J178" t="s">
        <v>13</v>
      </c>
      <c r="K178" s="2">
        <v>30.34</v>
      </c>
      <c r="L178" s="3">
        <v>630.65</v>
      </c>
      <c r="M178" s="3">
        <f>orders_1[[#This Row],[products.Base_Price]]*orders_1[[#This Row],[Quantity]]</f>
        <v>25856.649999999998</v>
      </c>
      <c r="N178" t="s">
        <v>17</v>
      </c>
      <c r="O178" t="s">
        <v>10</v>
      </c>
      <c r="P178" t="s">
        <v>11</v>
      </c>
    </row>
    <row r="179" spans="1:16" x14ac:dyDescent="0.3">
      <c r="A179" s="2">
        <v>10178</v>
      </c>
      <c r="B179" s="2">
        <v>668</v>
      </c>
      <c r="C179" s="2">
        <v>2089</v>
      </c>
      <c r="D179" s="2">
        <v>317</v>
      </c>
      <c r="E179" s="4">
        <v>45615</v>
      </c>
      <c r="F179" s="4">
        <v>45625</v>
      </c>
      <c r="G179" s="2">
        <f t="shared" si="2"/>
        <v>10</v>
      </c>
      <c r="H179" s="2">
        <v>43</v>
      </c>
      <c r="I179" t="s">
        <v>36</v>
      </c>
      <c r="J179" t="s">
        <v>22</v>
      </c>
      <c r="K179" s="2">
        <v>19.170000000000002</v>
      </c>
      <c r="L179" s="3">
        <v>513.33000000000004</v>
      </c>
      <c r="M179" s="3">
        <f>orders_1[[#This Row],[products.Base_Price]]*orders_1[[#This Row],[Quantity]]</f>
        <v>22073.190000000002</v>
      </c>
      <c r="N179" t="s">
        <v>20</v>
      </c>
      <c r="O179" t="s">
        <v>25</v>
      </c>
      <c r="P179" t="s">
        <v>19</v>
      </c>
    </row>
    <row r="180" spans="1:16" x14ac:dyDescent="0.3">
      <c r="A180" s="2">
        <v>10179</v>
      </c>
      <c r="B180" s="2">
        <v>630</v>
      </c>
      <c r="C180" s="2">
        <v>2032</v>
      </c>
      <c r="D180" s="2">
        <v>305</v>
      </c>
      <c r="E180" s="4">
        <v>45424</v>
      </c>
      <c r="F180" s="4">
        <v>45432</v>
      </c>
      <c r="G180" s="2">
        <f t="shared" si="2"/>
        <v>8</v>
      </c>
      <c r="H180" s="2">
        <v>61</v>
      </c>
      <c r="I180" t="s">
        <v>42</v>
      </c>
      <c r="J180" t="s">
        <v>9</v>
      </c>
      <c r="K180" s="2">
        <v>3.81</v>
      </c>
      <c r="L180" s="3">
        <v>682.41</v>
      </c>
      <c r="M180" s="3">
        <f>orders_1[[#This Row],[products.Base_Price]]*orders_1[[#This Row],[Quantity]]</f>
        <v>41627.009999999995</v>
      </c>
      <c r="N180" t="s">
        <v>20</v>
      </c>
      <c r="O180" t="s">
        <v>10</v>
      </c>
      <c r="P180" t="s">
        <v>19</v>
      </c>
    </row>
    <row r="181" spans="1:16" x14ac:dyDescent="0.3">
      <c r="A181" s="2">
        <v>10180</v>
      </c>
      <c r="B181" s="2">
        <v>506</v>
      </c>
      <c r="C181" s="2">
        <v>2022</v>
      </c>
      <c r="D181" s="2">
        <v>314</v>
      </c>
      <c r="E181" s="4">
        <v>45404</v>
      </c>
      <c r="F181" s="4">
        <v>45413</v>
      </c>
      <c r="G181" s="2">
        <f t="shared" si="2"/>
        <v>9</v>
      </c>
      <c r="H181" s="2">
        <v>24</v>
      </c>
      <c r="I181" t="s">
        <v>42</v>
      </c>
      <c r="J181" t="s">
        <v>13</v>
      </c>
      <c r="K181" s="2">
        <v>47.91</v>
      </c>
      <c r="L181" s="3">
        <v>756.92</v>
      </c>
      <c r="M181" s="3">
        <f>orders_1[[#This Row],[products.Base_Price]]*orders_1[[#This Row],[Quantity]]</f>
        <v>18166.079999999998</v>
      </c>
      <c r="N181" t="s">
        <v>17</v>
      </c>
      <c r="O181" t="s">
        <v>14</v>
      </c>
      <c r="P181" t="s">
        <v>19</v>
      </c>
    </row>
    <row r="182" spans="1:16" x14ac:dyDescent="0.3">
      <c r="A182" s="2">
        <v>10181</v>
      </c>
      <c r="B182" s="2">
        <v>900</v>
      </c>
      <c r="C182" s="2">
        <v>2048</v>
      </c>
      <c r="D182" s="2">
        <v>312</v>
      </c>
      <c r="E182" s="4">
        <v>45621</v>
      </c>
      <c r="F182" s="4">
        <v>45626</v>
      </c>
      <c r="G182" s="2">
        <f t="shared" si="2"/>
        <v>5</v>
      </c>
      <c r="H182" s="2">
        <v>70</v>
      </c>
      <c r="I182" t="s">
        <v>78</v>
      </c>
      <c r="J182" t="s">
        <v>22</v>
      </c>
      <c r="K182" s="2">
        <v>6.74</v>
      </c>
      <c r="L182" s="3">
        <v>864.57</v>
      </c>
      <c r="M182" s="3">
        <f>orders_1[[#This Row],[products.Base_Price]]*orders_1[[#This Row],[Quantity]]</f>
        <v>60519.9</v>
      </c>
      <c r="N182" t="s">
        <v>15</v>
      </c>
      <c r="O182" t="s">
        <v>10</v>
      </c>
      <c r="P182" t="s">
        <v>11</v>
      </c>
    </row>
    <row r="183" spans="1:16" x14ac:dyDescent="0.3">
      <c r="A183" s="2">
        <v>10182</v>
      </c>
      <c r="B183" s="2">
        <v>668</v>
      </c>
      <c r="C183" s="2">
        <v>2065</v>
      </c>
      <c r="D183" s="2">
        <v>319</v>
      </c>
      <c r="E183" s="4">
        <v>45635</v>
      </c>
      <c r="F183" s="4">
        <v>45640</v>
      </c>
      <c r="G183" s="2">
        <f t="shared" si="2"/>
        <v>5</v>
      </c>
      <c r="H183" s="2">
        <v>91</v>
      </c>
      <c r="I183" t="s">
        <v>36</v>
      </c>
      <c r="J183" t="s">
        <v>13</v>
      </c>
      <c r="K183" s="2">
        <v>26.94</v>
      </c>
      <c r="L183" s="3">
        <v>155.15</v>
      </c>
      <c r="M183" s="3">
        <f>orders_1[[#This Row],[products.Base_Price]]*orders_1[[#This Row],[Quantity]]</f>
        <v>14118.65</v>
      </c>
      <c r="N183" t="s">
        <v>20</v>
      </c>
      <c r="O183" t="s">
        <v>18</v>
      </c>
      <c r="P183" t="s">
        <v>11</v>
      </c>
    </row>
    <row r="184" spans="1:16" x14ac:dyDescent="0.3">
      <c r="A184" s="2">
        <v>10183</v>
      </c>
      <c r="B184" s="2">
        <v>834</v>
      </c>
      <c r="C184" s="2">
        <v>2052</v>
      </c>
      <c r="D184" s="2">
        <v>304</v>
      </c>
      <c r="E184" s="4">
        <v>45612</v>
      </c>
      <c r="F184" s="4">
        <v>45613</v>
      </c>
      <c r="G184" s="2">
        <f t="shared" si="2"/>
        <v>1</v>
      </c>
      <c r="H184" s="2">
        <v>72</v>
      </c>
      <c r="I184" t="s">
        <v>39</v>
      </c>
      <c r="J184" t="s">
        <v>27</v>
      </c>
      <c r="K184" s="2">
        <v>47.35</v>
      </c>
      <c r="L184" s="3">
        <v>665.2</v>
      </c>
      <c r="M184" s="3">
        <f>orders_1[[#This Row],[products.Base_Price]]*orders_1[[#This Row],[Quantity]]</f>
        <v>47894.400000000001</v>
      </c>
      <c r="N184" t="s">
        <v>17</v>
      </c>
      <c r="O184" t="s">
        <v>18</v>
      </c>
      <c r="P184" t="s">
        <v>19</v>
      </c>
    </row>
    <row r="185" spans="1:16" x14ac:dyDescent="0.3">
      <c r="A185" s="2">
        <v>10184</v>
      </c>
      <c r="B185" s="2">
        <v>850</v>
      </c>
      <c r="C185" s="2">
        <v>2010</v>
      </c>
      <c r="D185" s="2">
        <v>304</v>
      </c>
      <c r="E185" s="4">
        <v>45295</v>
      </c>
      <c r="F185" s="4">
        <v>45302</v>
      </c>
      <c r="G185" s="2">
        <f t="shared" si="2"/>
        <v>7</v>
      </c>
      <c r="H185" s="2">
        <v>5</v>
      </c>
      <c r="I185" t="s">
        <v>36</v>
      </c>
      <c r="J185" t="s">
        <v>13</v>
      </c>
      <c r="K185" s="2">
        <v>9.58</v>
      </c>
      <c r="L185" s="3">
        <v>440.93</v>
      </c>
      <c r="M185" s="3">
        <f>orders_1[[#This Row],[products.Base_Price]]*orders_1[[#This Row],[Quantity]]</f>
        <v>2204.65</v>
      </c>
      <c r="N185" t="s">
        <v>17</v>
      </c>
      <c r="O185" t="s">
        <v>18</v>
      </c>
      <c r="P185" t="s">
        <v>19</v>
      </c>
    </row>
    <row r="186" spans="1:16" x14ac:dyDescent="0.3">
      <c r="A186" s="2">
        <v>10185</v>
      </c>
      <c r="B186" s="2">
        <v>788</v>
      </c>
      <c r="C186" s="2">
        <v>2011</v>
      </c>
      <c r="D186" s="2">
        <v>317</v>
      </c>
      <c r="E186" s="4">
        <v>45484</v>
      </c>
      <c r="F186" s="4">
        <v>45486</v>
      </c>
      <c r="G186" s="2">
        <f t="shared" si="2"/>
        <v>2</v>
      </c>
      <c r="H186" s="2">
        <v>36</v>
      </c>
      <c r="I186" t="s">
        <v>78</v>
      </c>
      <c r="J186" t="s">
        <v>21</v>
      </c>
      <c r="K186" s="2">
        <v>12.75</v>
      </c>
      <c r="L186" s="3">
        <v>987.99</v>
      </c>
      <c r="M186" s="3">
        <f>orders_1[[#This Row],[products.Base_Price]]*orders_1[[#This Row],[Quantity]]</f>
        <v>35567.64</v>
      </c>
      <c r="N186" t="s">
        <v>20</v>
      </c>
      <c r="O186" t="s">
        <v>25</v>
      </c>
      <c r="P186" t="s">
        <v>19</v>
      </c>
    </row>
    <row r="187" spans="1:16" x14ac:dyDescent="0.3">
      <c r="A187" s="2">
        <v>10186</v>
      </c>
      <c r="B187" s="2">
        <v>844</v>
      </c>
      <c r="C187" s="2">
        <v>2093</v>
      </c>
      <c r="D187" s="2">
        <v>301</v>
      </c>
      <c r="E187" s="4">
        <v>45456</v>
      </c>
      <c r="F187" s="4">
        <v>45457</v>
      </c>
      <c r="G187" s="2">
        <f t="shared" si="2"/>
        <v>1</v>
      </c>
      <c r="H187" s="2">
        <v>83</v>
      </c>
      <c r="I187" t="s">
        <v>78</v>
      </c>
      <c r="J187" t="s">
        <v>9</v>
      </c>
      <c r="K187" s="2">
        <v>25.73</v>
      </c>
      <c r="L187" s="3">
        <v>537.69000000000005</v>
      </c>
      <c r="M187" s="3">
        <f>orders_1[[#This Row],[products.Base_Price]]*orders_1[[#This Row],[Quantity]]</f>
        <v>44628.270000000004</v>
      </c>
      <c r="N187" t="s">
        <v>8</v>
      </c>
      <c r="O187" t="s">
        <v>10</v>
      </c>
      <c r="P187" t="s">
        <v>11</v>
      </c>
    </row>
    <row r="188" spans="1:16" x14ac:dyDescent="0.3">
      <c r="A188" s="2">
        <v>10187</v>
      </c>
      <c r="B188" s="2">
        <v>776</v>
      </c>
      <c r="C188" s="2">
        <v>2098</v>
      </c>
      <c r="D188" s="2">
        <v>314</v>
      </c>
      <c r="E188" s="4">
        <v>45415</v>
      </c>
      <c r="F188" s="4">
        <v>45421</v>
      </c>
      <c r="G188" s="2">
        <f t="shared" si="2"/>
        <v>6</v>
      </c>
      <c r="H188" s="2">
        <v>43</v>
      </c>
      <c r="I188" t="s">
        <v>36</v>
      </c>
      <c r="J188" t="s">
        <v>13</v>
      </c>
      <c r="K188" s="2">
        <v>25.35</v>
      </c>
      <c r="L188" s="3">
        <v>571.58000000000004</v>
      </c>
      <c r="M188" s="3">
        <f>orders_1[[#This Row],[products.Base_Price]]*orders_1[[#This Row],[Quantity]]</f>
        <v>24577.940000000002</v>
      </c>
      <c r="N188" t="s">
        <v>17</v>
      </c>
      <c r="O188" t="s">
        <v>14</v>
      </c>
      <c r="P188" t="s">
        <v>19</v>
      </c>
    </row>
    <row r="189" spans="1:16" x14ac:dyDescent="0.3">
      <c r="A189" s="2">
        <v>10188</v>
      </c>
      <c r="B189" s="2">
        <v>635</v>
      </c>
      <c r="C189" s="2">
        <v>2093</v>
      </c>
      <c r="D189" s="2">
        <v>306</v>
      </c>
      <c r="E189" s="4">
        <v>45297</v>
      </c>
      <c r="F189" s="4">
        <v>45298</v>
      </c>
      <c r="G189" s="2">
        <f t="shared" si="2"/>
        <v>1</v>
      </c>
      <c r="H189" s="2">
        <v>11</v>
      </c>
      <c r="I189" t="s">
        <v>78</v>
      </c>
      <c r="J189" t="s">
        <v>9</v>
      </c>
      <c r="K189" s="2">
        <v>25.73</v>
      </c>
      <c r="L189" s="3">
        <v>537.69000000000005</v>
      </c>
      <c r="M189" s="3">
        <f>orders_1[[#This Row],[products.Base_Price]]*orders_1[[#This Row],[Quantity]]</f>
        <v>5914.59</v>
      </c>
      <c r="N189" t="s">
        <v>8</v>
      </c>
      <c r="O189" t="s">
        <v>10</v>
      </c>
      <c r="P189" t="s">
        <v>16</v>
      </c>
    </row>
    <row r="190" spans="1:16" x14ac:dyDescent="0.3">
      <c r="A190" s="2">
        <v>10189</v>
      </c>
      <c r="B190" s="2">
        <v>779</v>
      </c>
      <c r="C190" s="2">
        <v>2097</v>
      </c>
      <c r="D190" s="2">
        <v>309</v>
      </c>
      <c r="E190" s="4">
        <v>45405</v>
      </c>
      <c r="F190" s="4">
        <v>45406</v>
      </c>
      <c r="G190" s="2">
        <f t="shared" si="2"/>
        <v>1</v>
      </c>
      <c r="H190" s="2">
        <v>69</v>
      </c>
      <c r="I190" t="s">
        <v>42</v>
      </c>
      <c r="J190" t="s">
        <v>27</v>
      </c>
      <c r="K190" s="2">
        <v>30.63</v>
      </c>
      <c r="L190" s="3">
        <v>828.74</v>
      </c>
      <c r="M190" s="3">
        <f>orders_1[[#This Row],[products.Base_Price]]*orders_1[[#This Row],[Quantity]]</f>
        <v>57183.06</v>
      </c>
      <c r="N190" t="s">
        <v>24</v>
      </c>
      <c r="O190" t="s">
        <v>25</v>
      </c>
      <c r="P190" t="s">
        <v>16</v>
      </c>
    </row>
    <row r="191" spans="1:16" x14ac:dyDescent="0.3">
      <c r="A191" s="2">
        <v>10190</v>
      </c>
      <c r="B191" s="2">
        <v>744</v>
      </c>
      <c r="C191" s="2">
        <v>2084</v>
      </c>
      <c r="D191" s="2">
        <v>313</v>
      </c>
      <c r="E191" s="4">
        <v>45373</v>
      </c>
      <c r="F191" s="4">
        <v>45376</v>
      </c>
      <c r="G191" s="2">
        <f t="shared" si="2"/>
        <v>3</v>
      </c>
      <c r="H191" s="2">
        <v>35</v>
      </c>
      <c r="I191" t="s">
        <v>42</v>
      </c>
      <c r="J191" t="s">
        <v>21</v>
      </c>
      <c r="K191" s="2">
        <v>14.27</v>
      </c>
      <c r="L191" s="3">
        <v>223.58</v>
      </c>
      <c r="M191" s="3">
        <f>orders_1[[#This Row],[products.Base_Price]]*orders_1[[#This Row],[Quantity]]</f>
        <v>7825.3</v>
      </c>
      <c r="N191" t="s">
        <v>15</v>
      </c>
      <c r="O191" t="s">
        <v>25</v>
      </c>
      <c r="P191" t="s">
        <v>16</v>
      </c>
    </row>
    <row r="192" spans="1:16" x14ac:dyDescent="0.3">
      <c r="A192" s="2">
        <v>10191</v>
      </c>
      <c r="B192" s="2">
        <v>657</v>
      </c>
      <c r="C192" s="2">
        <v>2038</v>
      </c>
      <c r="D192" s="2">
        <v>301</v>
      </c>
      <c r="E192" s="4">
        <v>45583</v>
      </c>
      <c r="F192" s="4">
        <v>45588</v>
      </c>
      <c r="G192" s="2">
        <f t="shared" si="2"/>
        <v>5</v>
      </c>
      <c r="H192" s="2">
        <v>7</v>
      </c>
      <c r="I192" t="s">
        <v>36</v>
      </c>
      <c r="J192" t="s">
        <v>27</v>
      </c>
      <c r="K192" s="2">
        <v>26.62</v>
      </c>
      <c r="L192" s="3">
        <v>680</v>
      </c>
      <c r="M192" s="3">
        <f>orders_1[[#This Row],[products.Base_Price]]*orders_1[[#This Row],[Quantity]]</f>
        <v>4760</v>
      </c>
      <c r="N192" t="s">
        <v>8</v>
      </c>
      <c r="O192" t="s">
        <v>10</v>
      </c>
      <c r="P192" t="s">
        <v>11</v>
      </c>
    </row>
    <row r="193" spans="1:16" x14ac:dyDescent="0.3">
      <c r="A193" s="2">
        <v>10192</v>
      </c>
      <c r="B193" s="2">
        <v>522</v>
      </c>
      <c r="C193" s="2">
        <v>2020</v>
      </c>
      <c r="D193" s="2">
        <v>306</v>
      </c>
      <c r="E193" s="4">
        <v>45613</v>
      </c>
      <c r="F193" s="4">
        <v>45622</v>
      </c>
      <c r="G193" s="2">
        <f t="shared" si="2"/>
        <v>9</v>
      </c>
      <c r="H193" s="2">
        <v>92</v>
      </c>
      <c r="I193" t="s">
        <v>42</v>
      </c>
      <c r="J193" t="s">
        <v>27</v>
      </c>
      <c r="K193" s="2">
        <v>35.94</v>
      </c>
      <c r="L193" s="3">
        <v>44.04</v>
      </c>
      <c r="M193" s="3">
        <f>orders_1[[#This Row],[products.Base_Price]]*orders_1[[#This Row],[Quantity]]</f>
        <v>4051.68</v>
      </c>
      <c r="N193" t="s">
        <v>8</v>
      </c>
      <c r="O193" t="s">
        <v>10</v>
      </c>
      <c r="P193" t="s">
        <v>16</v>
      </c>
    </row>
    <row r="194" spans="1:16" x14ac:dyDescent="0.3">
      <c r="A194" s="2">
        <v>10193</v>
      </c>
      <c r="B194" s="2">
        <v>808</v>
      </c>
      <c r="C194" s="2">
        <v>2096</v>
      </c>
      <c r="D194" s="2">
        <v>301</v>
      </c>
      <c r="E194" s="4">
        <v>45541</v>
      </c>
      <c r="F194" s="4">
        <v>45550</v>
      </c>
      <c r="G194" s="2">
        <f t="shared" ref="G194:G257" si="3">F194-E194</f>
        <v>9</v>
      </c>
      <c r="H194" s="2">
        <v>73</v>
      </c>
      <c r="I194" t="s">
        <v>36</v>
      </c>
      <c r="J194" t="s">
        <v>22</v>
      </c>
      <c r="K194" s="2">
        <v>20.04</v>
      </c>
      <c r="L194" s="3">
        <v>70.19</v>
      </c>
      <c r="M194" s="3">
        <f>orders_1[[#This Row],[products.Base_Price]]*orders_1[[#This Row],[Quantity]]</f>
        <v>5123.87</v>
      </c>
      <c r="N194" t="s">
        <v>8</v>
      </c>
      <c r="O194" t="s">
        <v>10</v>
      </c>
      <c r="P194" t="s">
        <v>11</v>
      </c>
    </row>
    <row r="195" spans="1:16" x14ac:dyDescent="0.3">
      <c r="A195" s="2">
        <v>10194</v>
      </c>
      <c r="B195" s="2">
        <v>603</v>
      </c>
      <c r="C195" s="2">
        <v>2093</v>
      </c>
      <c r="D195" s="2">
        <v>307</v>
      </c>
      <c r="E195" s="4">
        <v>45362</v>
      </c>
      <c r="F195" s="4">
        <v>45367</v>
      </c>
      <c r="G195" s="2">
        <f t="shared" si="3"/>
        <v>5</v>
      </c>
      <c r="H195" s="2">
        <v>43</v>
      </c>
      <c r="I195" t="s">
        <v>42</v>
      </c>
      <c r="J195" t="s">
        <v>9</v>
      </c>
      <c r="K195" s="2">
        <v>25.73</v>
      </c>
      <c r="L195" s="3">
        <v>537.69000000000005</v>
      </c>
      <c r="M195" s="3">
        <f>orders_1[[#This Row],[products.Base_Price]]*orders_1[[#This Row],[Quantity]]</f>
        <v>23120.670000000002</v>
      </c>
      <c r="N195" t="s">
        <v>17</v>
      </c>
      <c r="O195" t="s">
        <v>10</v>
      </c>
      <c r="P195" t="s">
        <v>11</v>
      </c>
    </row>
    <row r="196" spans="1:16" x14ac:dyDescent="0.3">
      <c r="A196" s="2">
        <v>10195</v>
      </c>
      <c r="B196" s="2">
        <v>531</v>
      </c>
      <c r="C196" s="2">
        <v>2033</v>
      </c>
      <c r="D196" s="2">
        <v>302</v>
      </c>
      <c r="E196" s="4">
        <v>45478</v>
      </c>
      <c r="F196" s="4">
        <v>45482</v>
      </c>
      <c r="G196" s="2">
        <f t="shared" si="3"/>
        <v>4</v>
      </c>
      <c r="H196" s="2">
        <v>34</v>
      </c>
      <c r="I196" t="s">
        <v>36</v>
      </c>
      <c r="J196" t="s">
        <v>22</v>
      </c>
      <c r="K196" s="2">
        <v>8.33</v>
      </c>
      <c r="L196" s="3">
        <v>629.69000000000005</v>
      </c>
      <c r="M196" s="3">
        <f>orders_1[[#This Row],[products.Base_Price]]*orders_1[[#This Row],[Quantity]]</f>
        <v>21409.460000000003</v>
      </c>
      <c r="N196" t="s">
        <v>12</v>
      </c>
      <c r="O196" t="s">
        <v>14</v>
      </c>
      <c r="P196" t="s">
        <v>11</v>
      </c>
    </row>
    <row r="197" spans="1:16" x14ac:dyDescent="0.3">
      <c r="A197" s="2">
        <v>10196</v>
      </c>
      <c r="B197" s="2">
        <v>639</v>
      </c>
      <c r="C197" s="2">
        <v>2030</v>
      </c>
      <c r="D197" s="2">
        <v>317</v>
      </c>
      <c r="E197" s="4">
        <v>45396</v>
      </c>
      <c r="F197" s="4">
        <v>45403</v>
      </c>
      <c r="G197" s="2">
        <f t="shared" si="3"/>
        <v>7</v>
      </c>
      <c r="H197" s="2">
        <v>61</v>
      </c>
      <c r="I197" t="s">
        <v>36</v>
      </c>
      <c r="J197" t="s">
        <v>13</v>
      </c>
      <c r="K197" s="2">
        <v>27.52</v>
      </c>
      <c r="L197" s="3">
        <v>537.03</v>
      </c>
      <c r="M197" s="3">
        <f>orders_1[[#This Row],[products.Base_Price]]*orders_1[[#This Row],[Quantity]]</f>
        <v>32758.829999999998</v>
      </c>
      <c r="N197" t="s">
        <v>20</v>
      </c>
      <c r="O197" t="s">
        <v>25</v>
      </c>
      <c r="P197" t="s">
        <v>19</v>
      </c>
    </row>
    <row r="198" spans="1:16" x14ac:dyDescent="0.3">
      <c r="A198" s="2">
        <v>10197</v>
      </c>
      <c r="B198" s="2">
        <v>808</v>
      </c>
      <c r="C198" s="2">
        <v>2055</v>
      </c>
      <c r="D198" s="2">
        <v>302</v>
      </c>
      <c r="E198" s="4">
        <v>45386</v>
      </c>
      <c r="F198" s="4">
        <v>45392</v>
      </c>
      <c r="G198" s="2">
        <f t="shared" si="3"/>
        <v>6</v>
      </c>
      <c r="H198" s="2">
        <v>45</v>
      </c>
      <c r="I198" t="s">
        <v>42</v>
      </c>
      <c r="J198" t="s">
        <v>27</v>
      </c>
      <c r="K198" s="2">
        <v>26.24</v>
      </c>
      <c r="L198" s="3">
        <v>312.67</v>
      </c>
      <c r="M198" s="3">
        <f>orders_1[[#This Row],[products.Base_Price]]*orders_1[[#This Row],[Quantity]]</f>
        <v>14070.150000000001</v>
      </c>
      <c r="N198" t="s">
        <v>12</v>
      </c>
      <c r="O198" t="s">
        <v>14</v>
      </c>
      <c r="P198" t="s">
        <v>11</v>
      </c>
    </row>
    <row r="199" spans="1:16" x14ac:dyDescent="0.3">
      <c r="A199" s="2">
        <v>10198</v>
      </c>
      <c r="B199" s="2">
        <v>830</v>
      </c>
      <c r="C199" s="2">
        <v>2013</v>
      </c>
      <c r="D199" s="2">
        <v>313</v>
      </c>
      <c r="E199" s="4">
        <v>45440</v>
      </c>
      <c r="F199" s="4">
        <v>45442</v>
      </c>
      <c r="G199" s="2">
        <f t="shared" si="3"/>
        <v>2</v>
      </c>
      <c r="H199" s="2">
        <v>31</v>
      </c>
      <c r="I199" t="s">
        <v>36</v>
      </c>
      <c r="J199" t="s">
        <v>13</v>
      </c>
      <c r="K199" s="2">
        <v>19.53</v>
      </c>
      <c r="L199" s="3">
        <v>563.69000000000005</v>
      </c>
      <c r="M199" s="3">
        <f>orders_1[[#This Row],[products.Base_Price]]*orders_1[[#This Row],[Quantity]]</f>
        <v>17474.390000000003</v>
      </c>
      <c r="N199" t="s">
        <v>15</v>
      </c>
      <c r="O199" t="s">
        <v>25</v>
      </c>
      <c r="P199" t="s">
        <v>16</v>
      </c>
    </row>
    <row r="200" spans="1:16" x14ac:dyDescent="0.3">
      <c r="A200" s="2">
        <v>10199</v>
      </c>
      <c r="B200" s="2">
        <v>530</v>
      </c>
      <c r="C200" s="2">
        <v>2027</v>
      </c>
      <c r="D200" s="2">
        <v>307</v>
      </c>
      <c r="E200" s="4">
        <v>45501</v>
      </c>
      <c r="F200" s="4">
        <v>45505</v>
      </c>
      <c r="G200" s="2">
        <f t="shared" si="3"/>
        <v>4</v>
      </c>
      <c r="H200" s="2">
        <v>61</v>
      </c>
      <c r="I200" t="s">
        <v>39</v>
      </c>
      <c r="J200" t="s">
        <v>13</v>
      </c>
      <c r="K200" s="2">
        <v>45.95</v>
      </c>
      <c r="L200" s="3">
        <v>454.58</v>
      </c>
      <c r="M200" s="3">
        <f>orders_1[[#This Row],[products.Base_Price]]*orders_1[[#This Row],[Quantity]]</f>
        <v>27729.379999999997</v>
      </c>
      <c r="N200" t="s">
        <v>17</v>
      </c>
      <c r="O200" t="s">
        <v>10</v>
      </c>
      <c r="P200" t="s">
        <v>11</v>
      </c>
    </row>
    <row r="201" spans="1:16" x14ac:dyDescent="0.3">
      <c r="A201" s="2">
        <v>10200</v>
      </c>
      <c r="B201" s="2">
        <v>538</v>
      </c>
      <c r="C201" s="2">
        <v>2018</v>
      </c>
      <c r="D201" s="2">
        <v>316</v>
      </c>
      <c r="E201" s="4">
        <v>45638</v>
      </c>
      <c r="F201" s="4">
        <v>45645</v>
      </c>
      <c r="G201" s="2">
        <f t="shared" si="3"/>
        <v>7</v>
      </c>
      <c r="H201" s="2">
        <v>27</v>
      </c>
      <c r="I201" t="s">
        <v>42</v>
      </c>
      <c r="J201" t="s">
        <v>21</v>
      </c>
      <c r="K201" s="2">
        <v>16.739999999999998</v>
      </c>
      <c r="L201" s="3">
        <v>103.05</v>
      </c>
      <c r="M201" s="3">
        <f>orders_1[[#This Row],[products.Base_Price]]*orders_1[[#This Row],[Quantity]]</f>
        <v>2782.35</v>
      </c>
      <c r="N201" t="s">
        <v>24</v>
      </c>
      <c r="O201" t="s">
        <v>25</v>
      </c>
      <c r="P201" t="s">
        <v>19</v>
      </c>
    </row>
    <row r="202" spans="1:16" x14ac:dyDescent="0.3">
      <c r="A202" s="2">
        <v>10201</v>
      </c>
      <c r="B202" s="2">
        <v>843</v>
      </c>
      <c r="C202" s="2">
        <v>2032</v>
      </c>
      <c r="D202" s="2">
        <v>308</v>
      </c>
      <c r="E202" s="4">
        <v>45528</v>
      </c>
      <c r="F202" s="4">
        <v>45537</v>
      </c>
      <c r="G202" s="2">
        <f t="shared" si="3"/>
        <v>9</v>
      </c>
      <c r="H202" s="2">
        <v>60</v>
      </c>
      <c r="I202" t="s">
        <v>36</v>
      </c>
      <c r="J202" t="s">
        <v>9</v>
      </c>
      <c r="K202" s="2">
        <v>3.81</v>
      </c>
      <c r="L202" s="3">
        <v>682.41</v>
      </c>
      <c r="M202" s="3">
        <f>orders_1[[#This Row],[products.Base_Price]]*orders_1[[#This Row],[Quantity]]</f>
        <v>40944.6</v>
      </c>
      <c r="N202" t="s">
        <v>23</v>
      </c>
      <c r="O202" t="s">
        <v>14</v>
      </c>
      <c r="P202" t="s">
        <v>19</v>
      </c>
    </row>
    <row r="203" spans="1:16" x14ac:dyDescent="0.3">
      <c r="A203" s="2">
        <v>10202</v>
      </c>
      <c r="B203" s="2">
        <v>642</v>
      </c>
      <c r="C203" s="2">
        <v>2001</v>
      </c>
      <c r="D203" s="2">
        <v>314</v>
      </c>
      <c r="E203" s="4">
        <v>45519</v>
      </c>
      <c r="F203" s="4">
        <v>45523</v>
      </c>
      <c r="G203" s="2">
        <f t="shared" si="3"/>
        <v>4</v>
      </c>
      <c r="H203" s="2">
        <v>93</v>
      </c>
      <c r="I203" t="s">
        <v>39</v>
      </c>
      <c r="J203" t="s">
        <v>9</v>
      </c>
      <c r="K203" s="2">
        <v>49.85</v>
      </c>
      <c r="L203" s="3">
        <v>471.41</v>
      </c>
      <c r="M203" s="3">
        <f>orders_1[[#This Row],[products.Base_Price]]*orders_1[[#This Row],[Quantity]]</f>
        <v>43841.130000000005</v>
      </c>
      <c r="N203" t="s">
        <v>17</v>
      </c>
      <c r="O203" t="s">
        <v>14</v>
      </c>
      <c r="P203" t="s">
        <v>19</v>
      </c>
    </row>
    <row r="204" spans="1:16" x14ac:dyDescent="0.3">
      <c r="A204" s="2">
        <v>10203</v>
      </c>
      <c r="B204" s="2">
        <v>729</v>
      </c>
      <c r="C204" s="2">
        <v>2024</v>
      </c>
      <c r="D204" s="2">
        <v>316</v>
      </c>
      <c r="E204" s="4">
        <v>45628</v>
      </c>
      <c r="F204" s="4">
        <v>45634</v>
      </c>
      <c r="G204" s="2">
        <f t="shared" si="3"/>
        <v>6</v>
      </c>
      <c r="H204" s="2">
        <v>41</v>
      </c>
      <c r="I204" t="s">
        <v>39</v>
      </c>
      <c r="J204" t="s">
        <v>13</v>
      </c>
      <c r="K204" s="2">
        <v>21.16</v>
      </c>
      <c r="L204" s="3">
        <v>291.08</v>
      </c>
      <c r="M204" s="3">
        <f>orders_1[[#This Row],[products.Base_Price]]*orders_1[[#This Row],[Quantity]]</f>
        <v>11934.279999999999</v>
      </c>
      <c r="N204" t="s">
        <v>24</v>
      </c>
      <c r="O204" t="s">
        <v>25</v>
      </c>
      <c r="P204" t="s">
        <v>19</v>
      </c>
    </row>
    <row r="205" spans="1:16" x14ac:dyDescent="0.3">
      <c r="A205" s="2">
        <v>10204</v>
      </c>
      <c r="B205" s="2">
        <v>728</v>
      </c>
      <c r="C205" s="2">
        <v>2028</v>
      </c>
      <c r="D205" s="2">
        <v>318</v>
      </c>
      <c r="E205" s="4">
        <v>45517</v>
      </c>
      <c r="F205" s="4">
        <v>45520</v>
      </c>
      <c r="G205" s="2">
        <f t="shared" si="3"/>
        <v>3</v>
      </c>
      <c r="H205" s="2">
        <v>70</v>
      </c>
      <c r="I205" t="s">
        <v>39</v>
      </c>
      <c r="J205" t="s">
        <v>13</v>
      </c>
      <c r="K205" s="2">
        <v>30.34</v>
      </c>
      <c r="L205" s="3">
        <v>630.65</v>
      </c>
      <c r="M205" s="3">
        <f>orders_1[[#This Row],[products.Base_Price]]*orders_1[[#This Row],[Quantity]]</f>
        <v>44145.5</v>
      </c>
      <c r="N205" t="s">
        <v>17</v>
      </c>
      <c r="O205" t="s">
        <v>10</v>
      </c>
      <c r="P205" t="s">
        <v>19</v>
      </c>
    </row>
    <row r="206" spans="1:16" x14ac:dyDescent="0.3">
      <c r="A206" s="2">
        <v>10205</v>
      </c>
      <c r="B206" s="2">
        <v>719</v>
      </c>
      <c r="C206" s="2">
        <v>2077</v>
      </c>
      <c r="D206" s="2">
        <v>319</v>
      </c>
      <c r="E206" s="4">
        <v>45478</v>
      </c>
      <c r="F206" s="4">
        <v>45484</v>
      </c>
      <c r="G206" s="2">
        <f t="shared" si="3"/>
        <v>6</v>
      </c>
      <c r="H206" s="2">
        <v>44</v>
      </c>
      <c r="I206" t="s">
        <v>36</v>
      </c>
      <c r="J206" t="s">
        <v>9</v>
      </c>
      <c r="K206" s="2">
        <v>28.18</v>
      </c>
      <c r="L206" s="3">
        <v>857.59</v>
      </c>
      <c r="M206" s="3">
        <f>orders_1[[#This Row],[products.Base_Price]]*orders_1[[#This Row],[Quantity]]</f>
        <v>37733.96</v>
      </c>
      <c r="N206" t="s">
        <v>20</v>
      </c>
      <c r="O206" t="s">
        <v>18</v>
      </c>
      <c r="P206" t="s">
        <v>11</v>
      </c>
    </row>
    <row r="207" spans="1:16" x14ac:dyDescent="0.3">
      <c r="A207" s="2">
        <v>10206</v>
      </c>
      <c r="B207" s="2">
        <v>754</v>
      </c>
      <c r="C207" s="2">
        <v>2013</v>
      </c>
      <c r="D207" s="2">
        <v>319</v>
      </c>
      <c r="E207" s="4">
        <v>45364</v>
      </c>
      <c r="F207" s="4">
        <v>45372</v>
      </c>
      <c r="G207" s="2">
        <f t="shared" si="3"/>
        <v>8</v>
      </c>
      <c r="H207" s="2">
        <v>55</v>
      </c>
      <c r="I207" t="s">
        <v>39</v>
      </c>
      <c r="J207" t="s">
        <v>13</v>
      </c>
      <c r="K207" s="2">
        <v>19.53</v>
      </c>
      <c r="L207" s="3">
        <v>563.69000000000005</v>
      </c>
      <c r="M207" s="3">
        <f>orders_1[[#This Row],[products.Base_Price]]*orders_1[[#This Row],[Quantity]]</f>
        <v>31002.950000000004</v>
      </c>
      <c r="N207" t="s">
        <v>20</v>
      </c>
      <c r="O207" t="s">
        <v>18</v>
      </c>
      <c r="P207" t="s">
        <v>11</v>
      </c>
    </row>
    <row r="208" spans="1:16" x14ac:dyDescent="0.3">
      <c r="A208" s="2">
        <v>10207</v>
      </c>
      <c r="B208" s="2">
        <v>759</v>
      </c>
      <c r="C208" s="2">
        <v>2079</v>
      </c>
      <c r="D208" s="2">
        <v>316</v>
      </c>
      <c r="E208" s="4">
        <v>45414</v>
      </c>
      <c r="F208" s="4">
        <v>45422</v>
      </c>
      <c r="G208" s="2">
        <f t="shared" si="3"/>
        <v>8</v>
      </c>
      <c r="H208" s="2">
        <v>14</v>
      </c>
      <c r="I208" t="s">
        <v>78</v>
      </c>
      <c r="J208" t="s">
        <v>22</v>
      </c>
      <c r="K208" s="2">
        <v>12.3</v>
      </c>
      <c r="L208" s="3">
        <v>99.7</v>
      </c>
      <c r="M208" s="3">
        <f>orders_1[[#This Row],[products.Base_Price]]*orders_1[[#This Row],[Quantity]]</f>
        <v>1395.8</v>
      </c>
      <c r="N208" t="s">
        <v>24</v>
      </c>
      <c r="O208" t="s">
        <v>25</v>
      </c>
      <c r="P208" t="s">
        <v>19</v>
      </c>
    </row>
    <row r="209" spans="1:16" x14ac:dyDescent="0.3">
      <c r="A209" s="2">
        <v>10208</v>
      </c>
      <c r="B209" s="2">
        <v>670</v>
      </c>
      <c r="C209" s="2">
        <v>2054</v>
      </c>
      <c r="D209" s="2">
        <v>302</v>
      </c>
      <c r="E209" s="4">
        <v>45384</v>
      </c>
      <c r="F209" s="4">
        <v>45392</v>
      </c>
      <c r="G209" s="2">
        <f t="shared" si="3"/>
        <v>8</v>
      </c>
      <c r="H209" s="2">
        <v>81</v>
      </c>
      <c r="I209" t="s">
        <v>42</v>
      </c>
      <c r="J209" t="s">
        <v>9</v>
      </c>
      <c r="K209" s="2">
        <v>5.63</v>
      </c>
      <c r="L209" s="3">
        <v>304.22000000000003</v>
      </c>
      <c r="M209" s="3">
        <f>orders_1[[#This Row],[products.Base_Price]]*orders_1[[#This Row],[Quantity]]</f>
        <v>24641.820000000003</v>
      </c>
      <c r="N209" t="s">
        <v>12</v>
      </c>
      <c r="O209" t="s">
        <v>14</v>
      </c>
      <c r="P209" t="s">
        <v>11</v>
      </c>
    </row>
    <row r="210" spans="1:16" x14ac:dyDescent="0.3">
      <c r="A210" s="2">
        <v>10209</v>
      </c>
      <c r="B210" s="2">
        <v>890</v>
      </c>
      <c r="C210" s="2">
        <v>2013</v>
      </c>
      <c r="D210" s="2">
        <v>318</v>
      </c>
      <c r="E210" s="4">
        <v>45500</v>
      </c>
      <c r="F210" s="4">
        <v>45505</v>
      </c>
      <c r="G210" s="2">
        <f t="shared" si="3"/>
        <v>5</v>
      </c>
      <c r="H210" s="2">
        <v>27</v>
      </c>
      <c r="I210" t="s">
        <v>36</v>
      </c>
      <c r="J210" t="s">
        <v>13</v>
      </c>
      <c r="K210" s="2">
        <v>19.53</v>
      </c>
      <c r="L210" s="3">
        <v>563.69000000000005</v>
      </c>
      <c r="M210" s="3">
        <f>orders_1[[#This Row],[products.Base_Price]]*orders_1[[#This Row],[Quantity]]</f>
        <v>15219.630000000001</v>
      </c>
      <c r="N210" t="s">
        <v>17</v>
      </c>
      <c r="O210" t="s">
        <v>10</v>
      </c>
      <c r="P210" t="s">
        <v>19</v>
      </c>
    </row>
    <row r="211" spans="1:16" x14ac:dyDescent="0.3">
      <c r="A211" s="2">
        <v>10210</v>
      </c>
      <c r="B211" s="2">
        <v>537</v>
      </c>
      <c r="C211" s="2">
        <v>2013</v>
      </c>
      <c r="D211" s="2">
        <v>314</v>
      </c>
      <c r="E211" s="4">
        <v>45476</v>
      </c>
      <c r="F211" s="4">
        <v>45481</v>
      </c>
      <c r="G211" s="2">
        <f t="shared" si="3"/>
        <v>5</v>
      </c>
      <c r="H211" s="2">
        <v>57</v>
      </c>
      <c r="I211" t="s">
        <v>78</v>
      </c>
      <c r="J211" t="s">
        <v>13</v>
      </c>
      <c r="K211" s="2">
        <v>19.53</v>
      </c>
      <c r="L211" s="3">
        <v>563.69000000000005</v>
      </c>
      <c r="M211" s="3">
        <f>orders_1[[#This Row],[products.Base_Price]]*orders_1[[#This Row],[Quantity]]</f>
        <v>32130.33</v>
      </c>
      <c r="N211" t="s">
        <v>17</v>
      </c>
      <c r="O211" t="s">
        <v>14</v>
      </c>
      <c r="P211" t="s">
        <v>19</v>
      </c>
    </row>
    <row r="212" spans="1:16" x14ac:dyDescent="0.3">
      <c r="A212" s="2">
        <v>10211</v>
      </c>
      <c r="B212" s="2">
        <v>886</v>
      </c>
      <c r="C212" s="2">
        <v>2056</v>
      </c>
      <c r="D212" s="2">
        <v>305</v>
      </c>
      <c r="E212" s="4">
        <v>45561</v>
      </c>
      <c r="F212" s="4">
        <v>45570</v>
      </c>
      <c r="G212" s="2">
        <f t="shared" si="3"/>
        <v>9</v>
      </c>
      <c r="H212" s="2">
        <v>5</v>
      </c>
      <c r="I212" t="s">
        <v>42</v>
      </c>
      <c r="J212" t="s">
        <v>9</v>
      </c>
      <c r="K212" s="2">
        <v>18.559999999999999</v>
      </c>
      <c r="L212" s="3">
        <v>564.01</v>
      </c>
      <c r="M212" s="3">
        <f>orders_1[[#This Row],[products.Base_Price]]*orders_1[[#This Row],[Quantity]]</f>
        <v>2820.05</v>
      </c>
      <c r="N212" t="s">
        <v>20</v>
      </c>
      <c r="O212" t="s">
        <v>10</v>
      </c>
      <c r="P212" t="s">
        <v>19</v>
      </c>
    </row>
    <row r="213" spans="1:16" x14ac:dyDescent="0.3">
      <c r="A213" s="2">
        <v>10212</v>
      </c>
      <c r="B213" s="2">
        <v>563</v>
      </c>
      <c r="C213" s="2">
        <v>2066</v>
      </c>
      <c r="D213" s="2">
        <v>307</v>
      </c>
      <c r="E213" s="4">
        <v>45477</v>
      </c>
      <c r="F213" s="4">
        <v>45478</v>
      </c>
      <c r="G213" s="2">
        <f t="shared" si="3"/>
        <v>1</v>
      </c>
      <c r="H213" s="2">
        <v>49</v>
      </c>
      <c r="I213" t="s">
        <v>39</v>
      </c>
      <c r="J213" t="s">
        <v>9</v>
      </c>
      <c r="K213" s="2">
        <v>43.64</v>
      </c>
      <c r="L213" s="3">
        <v>832.31</v>
      </c>
      <c r="M213" s="3">
        <f>orders_1[[#This Row],[products.Base_Price]]*orders_1[[#This Row],[Quantity]]</f>
        <v>40783.189999999995</v>
      </c>
      <c r="N213" t="s">
        <v>17</v>
      </c>
      <c r="O213" t="s">
        <v>10</v>
      </c>
      <c r="P213" t="s">
        <v>11</v>
      </c>
    </row>
    <row r="214" spans="1:16" x14ac:dyDescent="0.3">
      <c r="A214" s="2">
        <v>10213</v>
      </c>
      <c r="B214" s="2">
        <v>521</v>
      </c>
      <c r="C214" s="2">
        <v>2076</v>
      </c>
      <c r="D214" s="2">
        <v>307</v>
      </c>
      <c r="E214" s="4">
        <v>45620</v>
      </c>
      <c r="F214" s="4">
        <v>45621</v>
      </c>
      <c r="G214" s="2">
        <f t="shared" si="3"/>
        <v>1</v>
      </c>
      <c r="H214" s="2">
        <v>67</v>
      </c>
      <c r="I214" t="s">
        <v>42</v>
      </c>
      <c r="J214" t="s">
        <v>13</v>
      </c>
      <c r="K214" s="2">
        <v>14.63</v>
      </c>
      <c r="L214" s="3">
        <v>638.11</v>
      </c>
      <c r="M214" s="3">
        <f>orders_1[[#This Row],[products.Base_Price]]*orders_1[[#This Row],[Quantity]]</f>
        <v>42753.37</v>
      </c>
      <c r="N214" t="s">
        <v>17</v>
      </c>
      <c r="O214" t="s">
        <v>10</v>
      </c>
      <c r="P214" t="s">
        <v>11</v>
      </c>
    </row>
    <row r="215" spans="1:16" x14ac:dyDescent="0.3">
      <c r="A215" s="2">
        <v>10214</v>
      </c>
      <c r="B215" s="2">
        <v>700</v>
      </c>
      <c r="C215" s="2">
        <v>2062</v>
      </c>
      <c r="D215" s="2">
        <v>305</v>
      </c>
      <c r="E215" s="4">
        <v>45319</v>
      </c>
      <c r="F215" s="4">
        <v>45321</v>
      </c>
      <c r="G215" s="2">
        <f t="shared" si="3"/>
        <v>2</v>
      </c>
      <c r="H215" s="2">
        <v>11</v>
      </c>
      <c r="I215" t="s">
        <v>42</v>
      </c>
      <c r="J215" t="s">
        <v>9</v>
      </c>
      <c r="K215" s="2">
        <v>32.479999999999997</v>
      </c>
      <c r="L215" s="3">
        <v>409.49</v>
      </c>
      <c r="M215" s="3">
        <f>orders_1[[#This Row],[products.Base_Price]]*orders_1[[#This Row],[Quantity]]</f>
        <v>4504.3900000000003</v>
      </c>
      <c r="N215" t="s">
        <v>20</v>
      </c>
      <c r="O215" t="s">
        <v>10</v>
      </c>
      <c r="P215" t="s">
        <v>19</v>
      </c>
    </row>
    <row r="216" spans="1:16" x14ac:dyDescent="0.3">
      <c r="A216" s="2">
        <v>10215</v>
      </c>
      <c r="B216" s="2">
        <v>895</v>
      </c>
      <c r="C216" s="2">
        <v>2100</v>
      </c>
      <c r="D216" s="2">
        <v>311</v>
      </c>
      <c r="E216" s="4">
        <v>45358</v>
      </c>
      <c r="F216" s="4">
        <v>45367</v>
      </c>
      <c r="G216" s="2">
        <f t="shared" si="3"/>
        <v>9</v>
      </c>
      <c r="H216" s="2">
        <v>64</v>
      </c>
      <c r="I216" t="s">
        <v>78</v>
      </c>
      <c r="J216" t="s">
        <v>27</v>
      </c>
      <c r="K216" s="2">
        <v>2.2799999999999998</v>
      </c>
      <c r="L216" s="3">
        <v>813.8</v>
      </c>
      <c r="M216" s="3">
        <f>orders_1[[#This Row],[products.Base_Price]]*orders_1[[#This Row],[Quantity]]</f>
        <v>52083.199999999997</v>
      </c>
      <c r="N216" t="s">
        <v>26</v>
      </c>
      <c r="O216" t="s">
        <v>10</v>
      </c>
      <c r="P216" t="s">
        <v>11</v>
      </c>
    </row>
    <row r="217" spans="1:16" x14ac:dyDescent="0.3">
      <c r="A217" s="2">
        <v>10216</v>
      </c>
      <c r="B217" s="2">
        <v>616</v>
      </c>
      <c r="C217" s="2">
        <v>2092</v>
      </c>
      <c r="D217" s="2">
        <v>315</v>
      </c>
      <c r="E217" s="4">
        <v>45331</v>
      </c>
      <c r="F217" s="4">
        <v>45339</v>
      </c>
      <c r="G217" s="2">
        <f t="shared" si="3"/>
        <v>8</v>
      </c>
      <c r="H217" s="2">
        <v>10</v>
      </c>
      <c r="I217" t="s">
        <v>39</v>
      </c>
      <c r="J217" t="s">
        <v>22</v>
      </c>
      <c r="K217" s="2">
        <v>30.97</v>
      </c>
      <c r="L217" s="3">
        <v>521.23</v>
      </c>
      <c r="M217" s="3">
        <f>orders_1[[#This Row],[products.Base_Price]]*orders_1[[#This Row],[Quantity]]</f>
        <v>5212.3</v>
      </c>
      <c r="N217" t="s">
        <v>15</v>
      </c>
      <c r="O217" t="s">
        <v>25</v>
      </c>
      <c r="P217" t="s">
        <v>19</v>
      </c>
    </row>
    <row r="218" spans="1:16" x14ac:dyDescent="0.3">
      <c r="A218" s="2">
        <v>10217</v>
      </c>
      <c r="B218" s="2">
        <v>818</v>
      </c>
      <c r="C218" s="2">
        <v>2067</v>
      </c>
      <c r="D218" s="2">
        <v>314</v>
      </c>
      <c r="E218" s="4">
        <v>45365</v>
      </c>
      <c r="F218" s="4">
        <v>45368</v>
      </c>
      <c r="G218" s="2">
        <f t="shared" si="3"/>
        <v>3</v>
      </c>
      <c r="H218" s="2">
        <v>85</v>
      </c>
      <c r="I218" t="s">
        <v>42</v>
      </c>
      <c r="J218" t="s">
        <v>9</v>
      </c>
      <c r="K218" s="2">
        <v>24.79</v>
      </c>
      <c r="L218" s="3">
        <v>48.68</v>
      </c>
      <c r="M218" s="3">
        <f>orders_1[[#This Row],[products.Base_Price]]*orders_1[[#This Row],[Quantity]]</f>
        <v>4137.8</v>
      </c>
      <c r="N218" t="s">
        <v>17</v>
      </c>
      <c r="O218" t="s">
        <v>14</v>
      </c>
      <c r="P218" t="s">
        <v>19</v>
      </c>
    </row>
    <row r="219" spans="1:16" x14ac:dyDescent="0.3">
      <c r="A219" s="2">
        <v>10218</v>
      </c>
      <c r="B219" s="2">
        <v>646</v>
      </c>
      <c r="C219" s="2">
        <v>2062</v>
      </c>
      <c r="D219" s="2">
        <v>313</v>
      </c>
      <c r="E219" s="4">
        <v>45420</v>
      </c>
      <c r="F219" s="4">
        <v>45428</v>
      </c>
      <c r="G219" s="2">
        <f t="shared" si="3"/>
        <v>8</v>
      </c>
      <c r="H219" s="2">
        <v>48</v>
      </c>
      <c r="I219" t="s">
        <v>78</v>
      </c>
      <c r="J219" t="s">
        <v>9</v>
      </c>
      <c r="K219" s="2">
        <v>32.479999999999997</v>
      </c>
      <c r="L219" s="3">
        <v>409.49</v>
      </c>
      <c r="M219" s="3">
        <f>orders_1[[#This Row],[products.Base_Price]]*orders_1[[#This Row],[Quantity]]</f>
        <v>19655.52</v>
      </c>
      <c r="N219" t="s">
        <v>15</v>
      </c>
      <c r="O219" t="s">
        <v>25</v>
      </c>
      <c r="P219" t="s">
        <v>16</v>
      </c>
    </row>
    <row r="220" spans="1:16" x14ac:dyDescent="0.3">
      <c r="A220" s="2">
        <v>10219</v>
      </c>
      <c r="B220" s="2">
        <v>782</v>
      </c>
      <c r="C220" s="2">
        <v>2046</v>
      </c>
      <c r="D220" s="2">
        <v>313</v>
      </c>
      <c r="E220" s="4">
        <v>45427</v>
      </c>
      <c r="F220" s="4">
        <v>45434</v>
      </c>
      <c r="G220" s="2">
        <f t="shared" si="3"/>
        <v>7</v>
      </c>
      <c r="H220" s="2">
        <v>63</v>
      </c>
      <c r="I220" t="s">
        <v>78</v>
      </c>
      <c r="J220" t="s">
        <v>27</v>
      </c>
      <c r="K220" s="2">
        <v>38.130000000000003</v>
      </c>
      <c r="L220" s="3">
        <v>649.34</v>
      </c>
      <c r="M220" s="3">
        <f>orders_1[[#This Row],[products.Base_Price]]*orders_1[[#This Row],[Quantity]]</f>
        <v>40908.420000000006</v>
      </c>
      <c r="N220" t="s">
        <v>15</v>
      </c>
      <c r="O220" t="s">
        <v>25</v>
      </c>
      <c r="P220" t="s">
        <v>16</v>
      </c>
    </row>
    <row r="221" spans="1:16" x14ac:dyDescent="0.3">
      <c r="A221" s="2">
        <v>10220</v>
      </c>
      <c r="B221" s="2">
        <v>841</v>
      </c>
      <c r="C221" s="2">
        <v>2003</v>
      </c>
      <c r="D221" s="2">
        <v>303</v>
      </c>
      <c r="E221" s="4">
        <v>45516</v>
      </c>
      <c r="F221" s="4">
        <v>45523</v>
      </c>
      <c r="G221" s="2">
        <f t="shared" si="3"/>
        <v>7</v>
      </c>
      <c r="H221" s="2">
        <v>83</v>
      </c>
      <c r="I221" t="s">
        <v>42</v>
      </c>
      <c r="J221" t="s">
        <v>13</v>
      </c>
      <c r="K221" s="2">
        <v>39.74</v>
      </c>
      <c r="L221" s="3">
        <v>864.17</v>
      </c>
      <c r="M221" s="3">
        <f>orders_1[[#This Row],[products.Base_Price]]*orders_1[[#This Row],[Quantity]]</f>
        <v>71726.11</v>
      </c>
      <c r="N221" t="s">
        <v>15</v>
      </c>
      <c r="O221" t="s">
        <v>10</v>
      </c>
      <c r="P221" t="s">
        <v>16</v>
      </c>
    </row>
    <row r="222" spans="1:16" x14ac:dyDescent="0.3">
      <c r="A222" s="2">
        <v>10221</v>
      </c>
      <c r="B222" s="2">
        <v>569</v>
      </c>
      <c r="C222" s="2">
        <v>2069</v>
      </c>
      <c r="D222" s="2">
        <v>301</v>
      </c>
      <c r="E222" s="4">
        <v>45392</v>
      </c>
      <c r="F222" s="4">
        <v>45400</v>
      </c>
      <c r="G222" s="2">
        <f t="shared" si="3"/>
        <v>8</v>
      </c>
      <c r="H222" s="2">
        <v>44</v>
      </c>
      <c r="I222" t="s">
        <v>36</v>
      </c>
      <c r="J222" t="s">
        <v>22</v>
      </c>
      <c r="K222" s="2">
        <v>2.94</v>
      </c>
      <c r="L222" s="3">
        <v>494.92</v>
      </c>
      <c r="M222" s="3">
        <f>orders_1[[#This Row],[products.Base_Price]]*orders_1[[#This Row],[Quantity]]</f>
        <v>21776.48</v>
      </c>
      <c r="N222" t="s">
        <v>8</v>
      </c>
      <c r="O222" t="s">
        <v>10</v>
      </c>
      <c r="P222" t="s">
        <v>11</v>
      </c>
    </row>
    <row r="223" spans="1:16" x14ac:dyDescent="0.3">
      <c r="A223" s="2">
        <v>10222</v>
      </c>
      <c r="B223" s="2">
        <v>848</v>
      </c>
      <c r="C223" s="2">
        <v>2020</v>
      </c>
      <c r="D223" s="2">
        <v>308</v>
      </c>
      <c r="E223" s="4">
        <v>45618</v>
      </c>
      <c r="F223" s="4">
        <v>45624</v>
      </c>
      <c r="G223" s="2">
        <f t="shared" si="3"/>
        <v>6</v>
      </c>
      <c r="H223" s="2">
        <v>6</v>
      </c>
      <c r="I223" t="s">
        <v>36</v>
      </c>
      <c r="J223" t="s">
        <v>27</v>
      </c>
      <c r="K223" s="2">
        <v>35.94</v>
      </c>
      <c r="L223" s="3">
        <v>44.04</v>
      </c>
      <c r="M223" s="3">
        <f>orders_1[[#This Row],[products.Base_Price]]*orders_1[[#This Row],[Quantity]]</f>
        <v>264.24</v>
      </c>
      <c r="N223" t="s">
        <v>23</v>
      </c>
      <c r="O223" t="s">
        <v>14</v>
      </c>
      <c r="P223" t="s">
        <v>19</v>
      </c>
    </row>
    <row r="224" spans="1:16" x14ac:dyDescent="0.3">
      <c r="A224" s="2">
        <v>10223</v>
      </c>
      <c r="B224" s="2">
        <v>774</v>
      </c>
      <c r="C224" s="2">
        <v>2068</v>
      </c>
      <c r="D224" s="2">
        <v>315</v>
      </c>
      <c r="E224" s="4">
        <v>45388</v>
      </c>
      <c r="F224" s="4">
        <v>45395</v>
      </c>
      <c r="G224" s="2">
        <f t="shared" si="3"/>
        <v>7</v>
      </c>
      <c r="H224" s="2">
        <v>3</v>
      </c>
      <c r="I224" t="s">
        <v>39</v>
      </c>
      <c r="J224" t="s">
        <v>27</v>
      </c>
      <c r="K224" s="2">
        <v>47.08</v>
      </c>
      <c r="L224" s="3">
        <v>501.03</v>
      </c>
      <c r="M224" s="3">
        <f>orders_1[[#This Row],[products.Base_Price]]*orders_1[[#This Row],[Quantity]]</f>
        <v>1503.09</v>
      </c>
      <c r="N224" t="s">
        <v>15</v>
      </c>
      <c r="O224" t="s">
        <v>25</v>
      </c>
      <c r="P224" t="s">
        <v>19</v>
      </c>
    </row>
    <row r="225" spans="1:16" x14ac:dyDescent="0.3">
      <c r="A225" s="2">
        <v>10224</v>
      </c>
      <c r="B225" s="2">
        <v>727</v>
      </c>
      <c r="C225" s="2">
        <v>2096</v>
      </c>
      <c r="D225" s="2">
        <v>301</v>
      </c>
      <c r="E225" s="4">
        <v>45618</v>
      </c>
      <c r="F225" s="4">
        <v>45626</v>
      </c>
      <c r="G225" s="2">
        <f t="shared" si="3"/>
        <v>8</v>
      </c>
      <c r="H225" s="2">
        <v>40</v>
      </c>
      <c r="I225" t="s">
        <v>42</v>
      </c>
      <c r="J225" t="s">
        <v>22</v>
      </c>
      <c r="K225" s="2">
        <v>20.04</v>
      </c>
      <c r="L225" s="3">
        <v>70.19</v>
      </c>
      <c r="M225" s="3">
        <f>orders_1[[#This Row],[products.Base_Price]]*orders_1[[#This Row],[Quantity]]</f>
        <v>2807.6</v>
      </c>
      <c r="N225" t="s">
        <v>8</v>
      </c>
      <c r="O225" t="s">
        <v>10</v>
      </c>
      <c r="P225" t="s">
        <v>11</v>
      </c>
    </row>
    <row r="226" spans="1:16" x14ac:dyDescent="0.3">
      <c r="A226" s="2">
        <v>10225</v>
      </c>
      <c r="B226" s="2">
        <v>643</v>
      </c>
      <c r="C226" s="2">
        <v>2026</v>
      </c>
      <c r="D226" s="2">
        <v>306</v>
      </c>
      <c r="E226" s="4">
        <v>45520</v>
      </c>
      <c r="F226" s="4">
        <v>45529</v>
      </c>
      <c r="G226" s="2">
        <f t="shared" si="3"/>
        <v>9</v>
      </c>
      <c r="H226" s="2">
        <v>29</v>
      </c>
      <c r="I226" t="s">
        <v>78</v>
      </c>
      <c r="J226" t="s">
        <v>22</v>
      </c>
      <c r="K226" s="2">
        <v>23.02</v>
      </c>
      <c r="L226" s="3">
        <v>858.57</v>
      </c>
      <c r="M226" s="3">
        <f>orders_1[[#This Row],[products.Base_Price]]*orders_1[[#This Row],[Quantity]]</f>
        <v>24898.530000000002</v>
      </c>
      <c r="N226" t="s">
        <v>8</v>
      </c>
      <c r="O226" t="s">
        <v>10</v>
      </c>
      <c r="P226" t="s">
        <v>16</v>
      </c>
    </row>
    <row r="227" spans="1:16" x14ac:dyDescent="0.3">
      <c r="A227" s="2">
        <v>10226</v>
      </c>
      <c r="B227" s="2">
        <v>632</v>
      </c>
      <c r="C227" s="2">
        <v>2020</v>
      </c>
      <c r="D227" s="2">
        <v>310</v>
      </c>
      <c r="E227" s="4">
        <v>45430</v>
      </c>
      <c r="F227" s="4">
        <v>45438</v>
      </c>
      <c r="G227" s="2">
        <f t="shared" si="3"/>
        <v>8</v>
      </c>
      <c r="H227" s="2">
        <v>91</v>
      </c>
      <c r="I227" t="s">
        <v>39</v>
      </c>
      <c r="J227" t="s">
        <v>27</v>
      </c>
      <c r="K227" s="2">
        <v>35.94</v>
      </c>
      <c r="L227" s="3">
        <v>44.04</v>
      </c>
      <c r="M227" s="3">
        <f>orders_1[[#This Row],[products.Base_Price]]*orders_1[[#This Row],[Quantity]]</f>
        <v>4007.64</v>
      </c>
      <c r="N227" t="s">
        <v>26</v>
      </c>
      <c r="O227" t="s">
        <v>25</v>
      </c>
      <c r="P227" t="s">
        <v>11</v>
      </c>
    </row>
    <row r="228" spans="1:16" x14ac:dyDescent="0.3">
      <c r="A228" s="2">
        <v>10227</v>
      </c>
      <c r="B228" s="2">
        <v>860</v>
      </c>
      <c r="C228" s="2">
        <v>2078</v>
      </c>
      <c r="D228" s="2">
        <v>307</v>
      </c>
      <c r="E228" s="4">
        <v>45350</v>
      </c>
      <c r="F228" s="4">
        <v>45359</v>
      </c>
      <c r="G228" s="2">
        <f t="shared" si="3"/>
        <v>9</v>
      </c>
      <c r="H228" s="2">
        <v>43</v>
      </c>
      <c r="I228" t="s">
        <v>36</v>
      </c>
      <c r="J228" t="s">
        <v>21</v>
      </c>
      <c r="K228" s="2">
        <v>14.85</v>
      </c>
      <c r="L228" s="3">
        <v>517.03</v>
      </c>
      <c r="M228" s="3">
        <f>orders_1[[#This Row],[products.Base_Price]]*orders_1[[#This Row],[Quantity]]</f>
        <v>22232.289999999997</v>
      </c>
      <c r="N228" t="s">
        <v>17</v>
      </c>
      <c r="O228" t="s">
        <v>10</v>
      </c>
      <c r="P228" t="s">
        <v>11</v>
      </c>
    </row>
    <row r="229" spans="1:16" x14ac:dyDescent="0.3">
      <c r="A229" s="2">
        <v>10228</v>
      </c>
      <c r="B229" s="2">
        <v>718</v>
      </c>
      <c r="C229" s="2">
        <v>2002</v>
      </c>
      <c r="D229" s="2">
        <v>317</v>
      </c>
      <c r="E229" s="4">
        <v>45562</v>
      </c>
      <c r="F229" s="4">
        <v>45568</v>
      </c>
      <c r="G229" s="2">
        <f t="shared" si="3"/>
        <v>6</v>
      </c>
      <c r="H229" s="2">
        <v>90</v>
      </c>
      <c r="I229" t="s">
        <v>36</v>
      </c>
      <c r="J229" t="s">
        <v>13</v>
      </c>
      <c r="K229" s="2">
        <v>30.78</v>
      </c>
      <c r="L229" s="3">
        <v>646.99</v>
      </c>
      <c r="M229" s="3">
        <f>orders_1[[#This Row],[products.Base_Price]]*orders_1[[#This Row],[Quantity]]</f>
        <v>58229.1</v>
      </c>
      <c r="N229" t="s">
        <v>20</v>
      </c>
      <c r="O229" t="s">
        <v>25</v>
      </c>
      <c r="P229" t="s">
        <v>19</v>
      </c>
    </row>
    <row r="230" spans="1:16" x14ac:dyDescent="0.3">
      <c r="A230" s="2">
        <v>10229</v>
      </c>
      <c r="B230" s="2">
        <v>541</v>
      </c>
      <c r="C230" s="2">
        <v>2033</v>
      </c>
      <c r="D230" s="2">
        <v>310</v>
      </c>
      <c r="E230" s="4">
        <v>45625</v>
      </c>
      <c r="F230" s="4">
        <v>45629</v>
      </c>
      <c r="G230" s="2">
        <f t="shared" si="3"/>
        <v>4</v>
      </c>
      <c r="H230" s="2">
        <v>99</v>
      </c>
      <c r="I230" t="s">
        <v>39</v>
      </c>
      <c r="J230" t="s">
        <v>22</v>
      </c>
      <c r="K230" s="2">
        <v>8.33</v>
      </c>
      <c r="L230" s="3">
        <v>629.69000000000005</v>
      </c>
      <c r="M230" s="3">
        <f>orders_1[[#This Row],[products.Base_Price]]*orders_1[[#This Row],[Quantity]]</f>
        <v>62339.310000000005</v>
      </c>
      <c r="N230" t="s">
        <v>26</v>
      </c>
      <c r="O230" t="s">
        <v>25</v>
      </c>
      <c r="P230" t="s">
        <v>11</v>
      </c>
    </row>
    <row r="231" spans="1:16" x14ac:dyDescent="0.3">
      <c r="A231" s="2">
        <v>10230</v>
      </c>
      <c r="B231" s="2">
        <v>531</v>
      </c>
      <c r="C231" s="2">
        <v>2002</v>
      </c>
      <c r="D231" s="2">
        <v>318</v>
      </c>
      <c r="E231" s="4">
        <v>45549</v>
      </c>
      <c r="F231" s="4">
        <v>45558</v>
      </c>
      <c r="G231" s="2">
        <f t="shared" si="3"/>
        <v>9</v>
      </c>
      <c r="H231" s="2">
        <v>82</v>
      </c>
      <c r="I231" t="s">
        <v>39</v>
      </c>
      <c r="J231" t="s">
        <v>13</v>
      </c>
      <c r="K231" s="2">
        <v>30.78</v>
      </c>
      <c r="L231" s="3">
        <v>646.99</v>
      </c>
      <c r="M231" s="3">
        <f>orders_1[[#This Row],[products.Base_Price]]*orders_1[[#This Row],[Quantity]]</f>
        <v>53053.18</v>
      </c>
      <c r="N231" t="s">
        <v>17</v>
      </c>
      <c r="O231" t="s">
        <v>10</v>
      </c>
      <c r="P231" t="s">
        <v>19</v>
      </c>
    </row>
    <row r="232" spans="1:16" x14ac:dyDescent="0.3">
      <c r="A232" s="2">
        <v>10231</v>
      </c>
      <c r="B232" s="2">
        <v>845</v>
      </c>
      <c r="C232" s="2">
        <v>2062</v>
      </c>
      <c r="D232" s="2">
        <v>310</v>
      </c>
      <c r="E232" s="4">
        <v>45483</v>
      </c>
      <c r="F232" s="4">
        <v>45487</v>
      </c>
      <c r="G232" s="2">
        <f t="shared" si="3"/>
        <v>4</v>
      </c>
      <c r="H232" s="2">
        <v>38</v>
      </c>
      <c r="I232" t="s">
        <v>42</v>
      </c>
      <c r="J232" t="s">
        <v>9</v>
      </c>
      <c r="K232" s="2">
        <v>32.479999999999997</v>
      </c>
      <c r="L232" s="3">
        <v>409.49</v>
      </c>
      <c r="M232" s="3">
        <f>orders_1[[#This Row],[products.Base_Price]]*orders_1[[#This Row],[Quantity]]</f>
        <v>15560.62</v>
      </c>
      <c r="N232" t="s">
        <v>26</v>
      </c>
      <c r="O232" t="s">
        <v>25</v>
      </c>
      <c r="P232" t="s">
        <v>11</v>
      </c>
    </row>
    <row r="233" spans="1:16" x14ac:dyDescent="0.3">
      <c r="A233" s="2">
        <v>10232</v>
      </c>
      <c r="B233" s="2">
        <v>815</v>
      </c>
      <c r="C233" s="2">
        <v>2033</v>
      </c>
      <c r="D233" s="2">
        <v>303</v>
      </c>
      <c r="E233" s="4">
        <v>45420</v>
      </c>
      <c r="F233" s="4">
        <v>45430</v>
      </c>
      <c r="G233" s="2">
        <f t="shared" si="3"/>
        <v>10</v>
      </c>
      <c r="H233" s="2">
        <v>74</v>
      </c>
      <c r="I233" t="s">
        <v>42</v>
      </c>
      <c r="J233" t="s">
        <v>22</v>
      </c>
      <c r="K233" s="2">
        <v>8.33</v>
      </c>
      <c r="L233" s="3">
        <v>629.69000000000005</v>
      </c>
      <c r="M233" s="3">
        <f>orders_1[[#This Row],[products.Base_Price]]*orders_1[[#This Row],[Quantity]]</f>
        <v>46597.060000000005</v>
      </c>
      <c r="N233" t="s">
        <v>15</v>
      </c>
      <c r="O233" t="s">
        <v>10</v>
      </c>
      <c r="P233" t="s">
        <v>16</v>
      </c>
    </row>
    <row r="234" spans="1:16" x14ac:dyDescent="0.3">
      <c r="A234" s="2">
        <v>10233</v>
      </c>
      <c r="B234" s="2">
        <v>865</v>
      </c>
      <c r="C234" s="2">
        <v>2056</v>
      </c>
      <c r="D234" s="2">
        <v>313</v>
      </c>
      <c r="E234" s="4">
        <v>45486</v>
      </c>
      <c r="F234" s="4">
        <v>45496</v>
      </c>
      <c r="G234" s="2">
        <f t="shared" si="3"/>
        <v>10</v>
      </c>
      <c r="H234" s="2">
        <v>84</v>
      </c>
      <c r="I234" t="s">
        <v>42</v>
      </c>
      <c r="J234" t="s">
        <v>9</v>
      </c>
      <c r="K234" s="2">
        <v>18.559999999999999</v>
      </c>
      <c r="L234" s="3">
        <v>564.01</v>
      </c>
      <c r="M234" s="3">
        <f>orders_1[[#This Row],[products.Base_Price]]*orders_1[[#This Row],[Quantity]]</f>
        <v>47376.84</v>
      </c>
      <c r="N234" t="s">
        <v>15</v>
      </c>
      <c r="O234" t="s">
        <v>25</v>
      </c>
      <c r="P234" t="s">
        <v>16</v>
      </c>
    </row>
    <row r="235" spans="1:16" x14ac:dyDescent="0.3">
      <c r="A235" s="2">
        <v>10234</v>
      </c>
      <c r="B235" s="2">
        <v>581</v>
      </c>
      <c r="C235" s="2">
        <v>2011</v>
      </c>
      <c r="D235" s="2">
        <v>320</v>
      </c>
      <c r="E235" s="4">
        <v>45437</v>
      </c>
      <c r="F235" s="4">
        <v>45442</v>
      </c>
      <c r="G235" s="2">
        <f t="shared" si="3"/>
        <v>5</v>
      </c>
      <c r="H235" s="2">
        <v>30</v>
      </c>
      <c r="I235" t="s">
        <v>36</v>
      </c>
      <c r="J235" t="s">
        <v>21</v>
      </c>
      <c r="K235" s="2">
        <v>12.75</v>
      </c>
      <c r="L235" s="3">
        <v>987.99</v>
      </c>
      <c r="M235" s="3">
        <f>orders_1[[#This Row],[products.Base_Price]]*orders_1[[#This Row],[Quantity]]</f>
        <v>29639.7</v>
      </c>
      <c r="N235" t="s">
        <v>15</v>
      </c>
      <c r="O235" t="s">
        <v>25</v>
      </c>
      <c r="P235" t="s">
        <v>11</v>
      </c>
    </row>
    <row r="236" spans="1:16" x14ac:dyDescent="0.3">
      <c r="A236" s="2">
        <v>10235</v>
      </c>
      <c r="B236" s="2">
        <v>793</v>
      </c>
      <c r="C236" s="2">
        <v>2041</v>
      </c>
      <c r="D236" s="2">
        <v>312</v>
      </c>
      <c r="E236" s="4">
        <v>45601</v>
      </c>
      <c r="F236" s="4">
        <v>45604</v>
      </c>
      <c r="G236" s="2">
        <f t="shared" si="3"/>
        <v>3</v>
      </c>
      <c r="H236" s="2">
        <v>10</v>
      </c>
      <c r="I236" t="s">
        <v>36</v>
      </c>
      <c r="J236" t="s">
        <v>22</v>
      </c>
      <c r="K236" s="2">
        <v>48.2</v>
      </c>
      <c r="L236" s="3">
        <v>792.77</v>
      </c>
      <c r="M236" s="3">
        <f>orders_1[[#This Row],[products.Base_Price]]*orders_1[[#This Row],[Quantity]]</f>
        <v>7927.7</v>
      </c>
      <c r="N236" t="s">
        <v>15</v>
      </c>
      <c r="O236" t="s">
        <v>10</v>
      </c>
      <c r="P236" t="s">
        <v>11</v>
      </c>
    </row>
    <row r="237" spans="1:16" x14ac:dyDescent="0.3">
      <c r="A237" s="2">
        <v>10236</v>
      </c>
      <c r="B237" s="2">
        <v>743</v>
      </c>
      <c r="C237" s="2">
        <v>2069</v>
      </c>
      <c r="D237" s="2">
        <v>316</v>
      </c>
      <c r="E237" s="4">
        <v>45622</v>
      </c>
      <c r="F237" s="4">
        <v>45631</v>
      </c>
      <c r="G237" s="2">
        <f t="shared" si="3"/>
        <v>9</v>
      </c>
      <c r="H237" s="2">
        <v>68</v>
      </c>
      <c r="I237" t="s">
        <v>42</v>
      </c>
      <c r="J237" t="s">
        <v>22</v>
      </c>
      <c r="K237" s="2">
        <v>2.94</v>
      </c>
      <c r="L237" s="3">
        <v>494.92</v>
      </c>
      <c r="M237" s="3">
        <f>orders_1[[#This Row],[products.Base_Price]]*orders_1[[#This Row],[Quantity]]</f>
        <v>33654.559999999998</v>
      </c>
      <c r="N237" t="s">
        <v>24</v>
      </c>
      <c r="O237" t="s">
        <v>25</v>
      </c>
      <c r="P237" t="s">
        <v>19</v>
      </c>
    </row>
    <row r="238" spans="1:16" x14ac:dyDescent="0.3">
      <c r="A238" s="2">
        <v>10237</v>
      </c>
      <c r="B238" s="2">
        <v>865</v>
      </c>
      <c r="C238" s="2">
        <v>2065</v>
      </c>
      <c r="D238" s="2">
        <v>308</v>
      </c>
      <c r="E238" s="4">
        <v>45293</v>
      </c>
      <c r="F238" s="4">
        <v>45300</v>
      </c>
      <c r="G238" s="2">
        <f t="shared" si="3"/>
        <v>7</v>
      </c>
      <c r="H238" s="2">
        <v>68</v>
      </c>
      <c r="I238" t="s">
        <v>78</v>
      </c>
      <c r="J238" t="s">
        <v>13</v>
      </c>
      <c r="K238" s="2">
        <v>26.94</v>
      </c>
      <c r="L238" s="3">
        <v>155.15</v>
      </c>
      <c r="M238" s="3">
        <f>orders_1[[#This Row],[products.Base_Price]]*orders_1[[#This Row],[Quantity]]</f>
        <v>10550.2</v>
      </c>
      <c r="N238" t="s">
        <v>23</v>
      </c>
      <c r="O238" t="s">
        <v>14</v>
      </c>
      <c r="P238" t="s">
        <v>19</v>
      </c>
    </row>
    <row r="239" spans="1:16" x14ac:dyDescent="0.3">
      <c r="A239" s="2">
        <v>10238</v>
      </c>
      <c r="B239" s="2">
        <v>639</v>
      </c>
      <c r="C239" s="2">
        <v>2029</v>
      </c>
      <c r="D239" s="2">
        <v>314</v>
      </c>
      <c r="E239" s="4">
        <v>45445</v>
      </c>
      <c r="F239" s="4">
        <v>45452</v>
      </c>
      <c r="G239" s="2">
        <f t="shared" si="3"/>
        <v>7</v>
      </c>
      <c r="H239" s="2">
        <v>100</v>
      </c>
      <c r="I239" t="s">
        <v>39</v>
      </c>
      <c r="J239" t="s">
        <v>21</v>
      </c>
      <c r="K239" s="2">
        <v>9.19</v>
      </c>
      <c r="L239" s="3">
        <v>357.06</v>
      </c>
      <c r="M239" s="3">
        <f>orders_1[[#This Row],[products.Base_Price]]*orders_1[[#This Row],[Quantity]]</f>
        <v>35706</v>
      </c>
      <c r="N239" t="s">
        <v>17</v>
      </c>
      <c r="O239" t="s">
        <v>14</v>
      </c>
      <c r="P239" t="s">
        <v>19</v>
      </c>
    </row>
    <row r="240" spans="1:16" x14ac:dyDescent="0.3">
      <c r="A240" s="2">
        <v>10239</v>
      </c>
      <c r="B240" s="2">
        <v>503</v>
      </c>
      <c r="C240" s="2">
        <v>2034</v>
      </c>
      <c r="D240" s="2">
        <v>317</v>
      </c>
      <c r="E240" s="4">
        <v>45601</v>
      </c>
      <c r="F240" s="4">
        <v>45607</v>
      </c>
      <c r="G240" s="2">
        <f t="shared" si="3"/>
        <v>6</v>
      </c>
      <c r="H240" s="2">
        <v>62</v>
      </c>
      <c r="I240" t="s">
        <v>42</v>
      </c>
      <c r="J240" t="s">
        <v>27</v>
      </c>
      <c r="K240" s="2">
        <v>26.17</v>
      </c>
      <c r="L240" s="3">
        <v>540.23</v>
      </c>
      <c r="M240" s="3">
        <f>orders_1[[#This Row],[products.Base_Price]]*orders_1[[#This Row],[Quantity]]</f>
        <v>33494.26</v>
      </c>
      <c r="N240" t="s">
        <v>20</v>
      </c>
      <c r="O240" t="s">
        <v>25</v>
      </c>
      <c r="P240" t="s">
        <v>19</v>
      </c>
    </row>
    <row r="241" spans="1:16" x14ac:dyDescent="0.3">
      <c r="A241" s="2">
        <v>10240</v>
      </c>
      <c r="B241" s="2">
        <v>803</v>
      </c>
      <c r="C241" s="2">
        <v>2058</v>
      </c>
      <c r="D241" s="2">
        <v>302</v>
      </c>
      <c r="E241" s="4">
        <v>45368</v>
      </c>
      <c r="F241" s="4">
        <v>45373</v>
      </c>
      <c r="G241" s="2">
        <f t="shared" si="3"/>
        <v>5</v>
      </c>
      <c r="H241" s="2">
        <v>17</v>
      </c>
      <c r="I241" t="s">
        <v>36</v>
      </c>
      <c r="J241" t="s">
        <v>27</v>
      </c>
      <c r="K241" s="2">
        <v>28.48</v>
      </c>
      <c r="L241" s="3">
        <v>13.34</v>
      </c>
      <c r="M241" s="3">
        <f>orders_1[[#This Row],[products.Base_Price]]*orders_1[[#This Row],[Quantity]]</f>
        <v>226.78</v>
      </c>
      <c r="N241" t="s">
        <v>12</v>
      </c>
      <c r="O241" t="s">
        <v>14</v>
      </c>
      <c r="P241" t="s">
        <v>11</v>
      </c>
    </row>
    <row r="242" spans="1:16" x14ac:dyDescent="0.3">
      <c r="A242" s="2">
        <v>10241</v>
      </c>
      <c r="B242" s="2">
        <v>842</v>
      </c>
      <c r="C242" s="2">
        <v>2058</v>
      </c>
      <c r="D242" s="2">
        <v>314</v>
      </c>
      <c r="E242" s="4">
        <v>45305</v>
      </c>
      <c r="F242" s="4">
        <v>45307</v>
      </c>
      <c r="G242" s="2">
        <f t="shared" si="3"/>
        <v>2</v>
      </c>
      <c r="H242" s="2">
        <v>53</v>
      </c>
      <c r="I242" t="s">
        <v>39</v>
      </c>
      <c r="J242" t="s">
        <v>27</v>
      </c>
      <c r="K242" s="2">
        <v>28.48</v>
      </c>
      <c r="L242" s="3">
        <v>13.34</v>
      </c>
      <c r="M242" s="3">
        <f>orders_1[[#This Row],[products.Base_Price]]*orders_1[[#This Row],[Quantity]]</f>
        <v>707.02</v>
      </c>
      <c r="N242" t="s">
        <v>17</v>
      </c>
      <c r="O242" t="s">
        <v>14</v>
      </c>
      <c r="P242" t="s">
        <v>19</v>
      </c>
    </row>
    <row r="243" spans="1:16" x14ac:dyDescent="0.3">
      <c r="A243" s="2">
        <v>10242</v>
      </c>
      <c r="B243" s="2">
        <v>542</v>
      </c>
      <c r="C243" s="2">
        <v>2061</v>
      </c>
      <c r="D243" s="2">
        <v>313</v>
      </c>
      <c r="E243" s="4">
        <v>45517</v>
      </c>
      <c r="F243" s="4">
        <v>45524</v>
      </c>
      <c r="G243" s="2">
        <f t="shared" si="3"/>
        <v>7</v>
      </c>
      <c r="H243" s="2">
        <v>91</v>
      </c>
      <c r="I243" t="s">
        <v>42</v>
      </c>
      <c r="J243" t="s">
        <v>13</v>
      </c>
      <c r="K243" s="2">
        <v>46.64</v>
      </c>
      <c r="L243" s="3">
        <v>620.16999999999996</v>
      </c>
      <c r="M243" s="3">
        <f>orders_1[[#This Row],[products.Base_Price]]*orders_1[[#This Row],[Quantity]]</f>
        <v>56435.469999999994</v>
      </c>
      <c r="N243" t="s">
        <v>15</v>
      </c>
      <c r="O243" t="s">
        <v>25</v>
      </c>
      <c r="P243" t="s">
        <v>16</v>
      </c>
    </row>
    <row r="244" spans="1:16" x14ac:dyDescent="0.3">
      <c r="A244" s="2">
        <v>10243</v>
      </c>
      <c r="B244" s="2">
        <v>536</v>
      </c>
      <c r="C244" s="2">
        <v>2076</v>
      </c>
      <c r="D244" s="2">
        <v>309</v>
      </c>
      <c r="E244" s="4">
        <v>45422</v>
      </c>
      <c r="F244" s="4">
        <v>45426</v>
      </c>
      <c r="G244" s="2">
        <f t="shared" si="3"/>
        <v>4</v>
      </c>
      <c r="H244" s="2">
        <v>5</v>
      </c>
      <c r="I244" t="s">
        <v>42</v>
      </c>
      <c r="J244" t="s">
        <v>13</v>
      </c>
      <c r="K244" s="2">
        <v>14.63</v>
      </c>
      <c r="L244" s="3">
        <v>638.11</v>
      </c>
      <c r="M244" s="3">
        <f>orders_1[[#This Row],[products.Base_Price]]*orders_1[[#This Row],[Quantity]]</f>
        <v>3190.55</v>
      </c>
      <c r="N244" t="s">
        <v>24</v>
      </c>
      <c r="O244" t="s">
        <v>25</v>
      </c>
      <c r="P244" t="s">
        <v>16</v>
      </c>
    </row>
    <row r="245" spans="1:16" x14ac:dyDescent="0.3">
      <c r="A245" s="2">
        <v>10244</v>
      </c>
      <c r="B245" s="2">
        <v>634</v>
      </c>
      <c r="C245" s="2">
        <v>2052</v>
      </c>
      <c r="D245" s="2">
        <v>319</v>
      </c>
      <c r="E245" s="4">
        <v>45313</v>
      </c>
      <c r="F245" s="4">
        <v>45314</v>
      </c>
      <c r="G245" s="2">
        <f t="shared" si="3"/>
        <v>1</v>
      </c>
      <c r="H245" s="2">
        <v>46</v>
      </c>
      <c r="I245" t="s">
        <v>78</v>
      </c>
      <c r="J245" t="s">
        <v>27</v>
      </c>
      <c r="K245" s="2">
        <v>47.35</v>
      </c>
      <c r="L245" s="3">
        <v>665.2</v>
      </c>
      <c r="M245" s="3">
        <f>orders_1[[#This Row],[products.Base_Price]]*orders_1[[#This Row],[Quantity]]</f>
        <v>30599.200000000001</v>
      </c>
      <c r="N245" t="s">
        <v>20</v>
      </c>
      <c r="O245" t="s">
        <v>18</v>
      </c>
      <c r="P245" t="s">
        <v>11</v>
      </c>
    </row>
    <row r="246" spans="1:16" x14ac:dyDescent="0.3">
      <c r="A246" s="2">
        <v>10245</v>
      </c>
      <c r="B246" s="2">
        <v>729</v>
      </c>
      <c r="C246" s="2">
        <v>2047</v>
      </c>
      <c r="D246" s="2">
        <v>308</v>
      </c>
      <c r="E246" s="4">
        <v>45599</v>
      </c>
      <c r="F246" s="4">
        <v>45605</v>
      </c>
      <c r="G246" s="2">
        <f t="shared" si="3"/>
        <v>6</v>
      </c>
      <c r="H246" s="2">
        <v>92</v>
      </c>
      <c r="I246" t="s">
        <v>39</v>
      </c>
      <c r="J246" t="s">
        <v>27</v>
      </c>
      <c r="K246" s="2">
        <v>31.72</v>
      </c>
      <c r="L246" s="3">
        <v>210.46</v>
      </c>
      <c r="M246" s="3">
        <f>orders_1[[#This Row],[products.Base_Price]]*orders_1[[#This Row],[Quantity]]</f>
        <v>19362.32</v>
      </c>
      <c r="N246" t="s">
        <v>23</v>
      </c>
      <c r="O246" t="s">
        <v>14</v>
      </c>
      <c r="P246" t="s">
        <v>19</v>
      </c>
    </row>
    <row r="247" spans="1:16" x14ac:dyDescent="0.3">
      <c r="A247" s="2">
        <v>10246</v>
      </c>
      <c r="B247" s="2">
        <v>828</v>
      </c>
      <c r="C247" s="2">
        <v>2100</v>
      </c>
      <c r="D247" s="2">
        <v>316</v>
      </c>
      <c r="E247" s="4">
        <v>45428</v>
      </c>
      <c r="F247" s="4">
        <v>45434</v>
      </c>
      <c r="G247" s="2">
        <f t="shared" si="3"/>
        <v>6</v>
      </c>
      <c r="H247" s="2">
        <v>95</v>
      </c>
      <c r="I247" t="s">
        <v>42</v>
      </c>
      <c r="J247" t="s">
        <v>27</v>
      </c>
      <c r="K247" s="2">
        <v>2.2799999999999998</v>
      </c>
      <c r="L247" s="3">
        <v>813.8</v>
      </c>
      <c r="M247" s="3">
        <f>orders_1[[#This Row],[products.Base_Price]]*orders_1[[#This Row],[Quantity]]</f>
        <v>77311</v>
      </c>
      <c r="N247" t="s">
        <v>24</v>
      </c>
      <c r="O247" t="s">
        <v>25</v>
      </c>
      <c r="P247" t="s">
        <v>19</v>
      </c>
    </row>
    <row r="248" spans="1:16" x14ac:dyDescent="0.3">
      <c r="A248" s="2">
        <v>10247</v>
      </c>
      <c r="B248" s="2">
        <v>896</v>
      </c>
      <c r="C248" s="2">
        <v>2009</v>
      </c>
      <c r="D248" s="2">
        <v>301</v>
      </c>
      <c r="E248" s="4">
        <v>45548</v>
      </c>
      <c r="F248" s="4">
        <v>45555</v>
      </c>
      <c r="G248" s="2">
        <f t="shared" si="3"/>
        <v>7</v>
      </c>
      <c r="H248" s="2">
        <v>66</v>
      </c>
      <c r="I248" t="s">
        <v>39</v>
      </c>
      <c r="J248" t="s">
        <v>21</v>
      </c>
      <c r="K248" s="2">
        <v>16.82</v>
      </c>
      <c r="L248" s="3">
        <v>376.01</v>
      </c>
      <c r="M248" s="3">
        <f>orders_1[[#This Row],[products.Base_Price]]*orders_1[[#This Row],[Quantity]]</f>
        <v>24816.66</v>
      </c>
      <c r="N248" t="s">
        <v>8</v>
      </c>
      <c r="O248" t="s">
        <v>10</v>
      </c>
      <c r="P248" t="s">
        <v>11</v>
      </c>
    </row>
    <row r="249" spans="1:16" x14ac:dyDescent="0.3">
      <c r="A249" s="2">
        <v>10248</v>
      </c>
      <c r="B249" s="2">
        <v>845</v>
      </c>
      <c r="C249" s="2">
        <v>2005</v>
      </c>
      <c r="D249" s="2">
        <v>315</v>
      </c>
      <c r="E249" s="4">
        <v>45400</v>
      </c>
      <c r="F249" s="4">
        <v>45410</v>
      </c>
      <c r="G249" s="2">
        <f t="shared" si="3"/>
        <v>10</v>
      </c>
      <c r="H249" s="2">
        <v>88</v>
      </c>
      <c r="I249" t="s">
        <v>42</v>
      </c>
      <c r="J249" t="s">
        <v>9</v>
      </c>
      <c r="K249" s="2">
        <v>13.6</v>
      </c>
      <c r="L249" s="3">
        <v>606.04999999999995</v>
      </c>
      <c r="M249" s="3">
        <f>orders_1[[#This Row],[products.Base_Price]]*orders_1[[#This Row],[Quantity]]</f>
        <v>53332.399999999994</v>
      </c>
      <c r="N249" t="s">
        <v>15</v>
      </c>
      <c r="O249" t="s">
        <v>25</v>
      </c>
      <c r="P249" t="s">
        <v>19</v>
      </c>
    </row>
    <row r="250" spans="1:16" x14ac:dyDescent="0.3">
      <c r="A250" s="2">
        <v>10249</v>
      </c>
      <c r="B250" s="2">
        <v>716</v>
      </c>
      <c r="C250" s="2">
        <v>2032</v>
      </c>
      <c r="D250" s="2">
        <v>317</v>
      </c>
      <c r="E250" s="4">
        <v>45317</v>
      </c>
      <c r="F250" s="4">
        <v>45318</v>
      </c>
      <c r="G250" s="2">
        <f t="shared" si="3"/>
        <v>1</v>
      </c>
      <c r="H250" s="2">
        <v>24</v>
      </c>
      <c r="I250" t="s">
        <v>78</v>
      </c>
      <c r="J250" t="s">
        <v>9</v>
      </c>
      <c r="K250" s="2">
        <v>3.81</v>
      </c>
      <c r="L250" s="3">
        <v>682.41</v>
      </c>
      <c r="M250" s="3">
        <f>orders_1[[#This Row],[products.Base_Price]]*orders_1[[#This Row],[Quantity]]</f>
        <v>16377.84</v>
      </c>
      <c r="N250" t="s">
        <v>20</v>
      </c>
      <c r="O250" t="s">
        <v>25</v>
      </c>
      <c r="P250" t="s">
        <v>19</v>
      </c>
    </row>
    <row r="251" spans="1:16" x14ac:dyDescent="0.3">
      <c r="A251" s="2">
        <v>10250</v>
      </c>
      <c r="B251" s="2">
        <v>701</v>
      </c>
      <c r="C251" s="2">
        <v>2001</v>
      </c>
      <c r="D251" s="2">
        <v>307</v>
      </c>
      <c r="E251" s="4">
        <v>45381</v>
      </c>
      <c r="F251" s="4">
        <v>45382</v>
      </c>
      <c r="G251" s="2">
        <f t="shared" si="3"/>
        <v>1</v>
      </c>
      <c r="H251" s="2">
        <v>13</v>
      </c>
      <c r="I251" t="s">
        <v>42</v>
      </c>
      <c r="J251" t="s">
        <v>9</v>
      </c>
      <c r="K251" s="2">
        <v>49.85</v>
      </c>
      <c r="L251" s="3">
        <v>471.41</v>
      </c>
      <c r="M251" s="3">
        <f>orders_1[[#This Row],[products.Base_Price]]*orders_1[[#This Row],[Quantity]]</f>
        <v>6128.33</v>
      </c>
      <c r="N251" t="s">
        <v>17</v>
      </c>
      <c r="O251" t="s">
        <v>10</v>
      </c>
      <c r="P251" t="s">
        <v>11</v>
      </c>
    </row>
    <row r="252" spans="1:16" x14ac:dyDescent="0.3">
      <c r="A252" s="2">
        <v>10251</v>
      </c>
      <c r="B252" s="2">
        <v>500</v>
      </c>
      <c r="C252" s="2">
        <v>2090</v>
      </c>
      <c r="D252" s="2">
        <v>303</v>
      </c>
      <c r="E252" s="4">
        <v>45532</v>
      </c>
      <c r="F252" s="4">
        <v>45542</v>
      </c>
      <c r="G252" s="2">
        <f t="shared" si="3"/>
        <v>10</v>
      </c>
      <c r="H252" s="2">
        <v>44</v>
      </c>
      <c r="I252" t="s">
        <v>39</v>
      </c>
      <c r="J252" t="s">
        <v>22</v>
      </c>
      <c r="K252" s="2">
        <v>38.729999999999997</v>
      </c>
      <c r="L252" s="3">
        <v>913.68</v>
      </c>
      <c r="M252" s="3">
        <f>orders_1[[#This Row],[products.Base_Price]]*orders_1[[#This Row],[Quantity]]</f>
        <v>40201.919999999998</v>
      </c>
      <c r="N252" t="s">
        <v>15</v>
      </c>
      <c r="O252" t="s">
        <v>10</v>
      </c>
      <c r="P252" t="s">
        <v>16</v>
      </c>
    </row>
    <row r="253" spans="1:16" x14ac:dyDescent="0.3">
      <c r="A253" s="2">
        <v>10252</v>
      </c>
      <c r="B253" s="2">
        <v>735</v>
      </c>
      <c r="C253" s="2">
        <v>2089</v>
      </c>
      <c r="D253" s="2">
        <v>319</v>
      </c>
      <c r="E253" s="4">
        <v>45652</v>
      </c>
      <c r="F253" s="4">
        <v>45661</v>
      </c>
      <c r="G253" s="2">
        <f t="shared" si="3"/>
        <v>9</v>
      </c>
      <c r="H253" s="2">
        <v>86</v>
      </c>
      <c r="I253" t="s">
        <v>42</v>
      </c>
      <c r="J253" t="s">
        <v>22</v>
      </c>
      <c r="K253" s="2">
        <v>19.170000000000002</v>
      </c>
      <c r="L253" s="3">
        <v>513.33000000000004</v>
      </c>
      <c r="M253" s="3">
        <f>orders_1[[#This Row],[products.Base_Price]]*orders_1[[#This Row],[Quantity]]</f>
        <v>44146.380000000005</v>
      </c>
      <c r="N253" t="s">
        <v>20</v>
      </c>
      <c r="O253" t="s">
        <v>18</v>
      </c>
      <c r="P253" t="s">
        <v>11</v>
      </c>
    </row>
    <row r="254" spans="1:16" x14ac:dyDescent="0.3">
      <c r="A254" s="2">
        <v>10253</v>
      </c>
      <c r="B254" s="2">
        <v>804</v>
      </c>
      <c r="C254" s="2">
        <v>2004</v>
      </c>
      <c r="D254" s="2">
        <v>306</v>
      </c>
      <c r="E254" s="4">
        <v>45314</v>
      </c>
      <c r="F254" s="4">
        <v>45315</v>
      </c>
      <c r="G254" s="2">
        <f t="shared" si="3"/>
        <v>1</v>
      </c>
      <c r="H254" s="2">
        <v>55</v>
      </c>
      <c r="I254" t="s">
        <v>78</v>
      </c>
      <c r="J254" t="s">
        <v>9</v>
      </c>
      <c r="K254" s="2">
        <v>4.34</v>
      </c>
      <c r="L254" s="3">
        <v>52.14</v>
      </c>
      <c r="M254" s="3">
        <f>orders_1[[#This Row],[products.Base_Price]]*orders_1[[#This Row],[Quantity]]</f>
        <v>2867.7</v>
      </c>
      <c r="N254" t="s">
        <v>8</v>
      </c>
      <c r="O254" t="s">
        <v>10</v>
      </c>
      <c r="P254" t="s">
        <v>16</v>
      </c>
    </row>
    <row r="255" spans="1:16" x14ac:dyDescent="0.3">
      <c r="A255" s="2">
        <v>10254</v>
      </c>
      <c r="B255" s="2">
        <v>622</v>
      </c>
      <c r="C255" s="2">
        <v>2058</v>
      </c>
      <c r="D255" s="2">
        <v>305</v>
      </c>
      <c r="E255" s="4">
        <v>45488</v>
      </c>
      <c r="F255" s="4">
        <v>45497</v>
      </c>
      <c r="G255" s="2">
        <f t="shared" si="3"/>
        <v>9</v>
      </c>
      <c r="H255" s="2">
        <v>74</v>
      </c>
      <c r="I255" t="s">
        <v>78</v>
      </c>
      <c r="J255" t="s">
        <v>27</v>
      </c>
      <c r="K255" s="2">
        <v>28.48</v>
      </c>
      <c r="L255" s="3">
        <v>13.34</v>
      </c>
      <c r="M255" s="3">
        <f>orders_1[[#This Row],[products.Base_Price]]*orders_1[[#This Row],[Quantity]]</f>
        <v>987.16</v>
      </c>
      <c r="N255" t="s">
        <v>20</v>
      </c>
      <c r="O255" t="s">
        <v>10</v>
      </c>
      <c r="P255" t="s">
        <v>19</v>
      </c>
    </row>
    <row r="256" spans="1:16" x14ac:dyDescent="0.3">
      <c r="A256" s="2">
        <v>10255</v>
      </c>
      <c r="B256" s="2">
        <v>773</v>
      </c>
      <c r="C256" s="2">
        <v>2085</v>
      </c>
      <c r="D256" s="2">
        <v>316</v>
      </c>
      <c r="E256" s="4">
        <v>45444</v>
      </c>
      <c r="F256" s="4">
        <v>45450</v>
      </c>
      <c r="G256" s="2">
        <f t="shared" si="3"/>
        <v>6</v>
      </c>
      <c r="H256" s="2">
        <v>53</v>
      </c>
      <c r="I256" t="s">
        <v>36</v>
      </c>
      <c r="J256" t="s">
        <v>22</v>
      </c>
      <c r="K256" s="2">
        <v>47.56</v>
      </c>
      <c r="L256" s="3">
        <v>131.63</v>
      </c>
      <c r="M256" s="3">
        <f>orders_1[[#This Row],[products.Base_Price]]*orders_1[[#This Row],[Quantity]]</f>
        <v>6976.3899999999994</v>
      </c>
      <c r="N256" t="s">
        <v>24</v>
      </c>
      <c r="O256" t="s">
        <v>25</v>
      </c>
      <c r="P256" t="s">
        <v>19</v>
      </c>
    </row>
    <row r="257" spans="1:16" x14ac:dyDescent="0.3">
      <c r="A257" s="2">
        <v>10256</v>
      </c>
      <c r="B257" s="2">
        <v>828</v>
      </c>
      <c r="C257" s="2">
        <v>2042</v>
      </c>
      <c r="D257" s="2">
        <v>312</v>
      </c>
      <c r="E257" s="4">
        <v>45440</v>
      </c>
      <c r="F257" s="4">
        <v>45446</v>
      </c>
      <c r="G257" s="2">
        <f t="shared" si="3"/>
        <v>6</v>
      </c>
      <c r="H257" s="2">
        <v>19</v>
      </c>
      <c r="I257" t="s">
        <v>42</v>
      </c>
      <c r="J257" t="s">
        <v>27</v>
      </c>
      <c r="K257" s="2">
        <v>46.87</v>
      </c>
      <c r="L257" s="3">
        <v>313.88</v>
      </c>
      <c r="M257" s="3">
        <f>orders_1[[#This Row],[products.Base_Price]]*orders_1[[#This Row],[Quantity]]</f>
        <v>5963.72</v>
      </c>
      <c r="N257" t="s">
        <v>15</v>
      </c>
      <c r="O257" t="s">
        <v>10</v>
      </c>
      <c r="P257" t="s">
        <v>11</v>
      </c>
    </row>
    <row r="258" spans="1:16" x14ac:dyDescent="0.3">
      <c r="A258" s="2">
        <v>10257</v>
      </c>
      <c r="B258" s="2">
        <v>747</v>
      </c>
      <c r="C258" s="2">
        <v>2081</v>
      </c>
      <c r="D258" s="2">
        <v>302</v>
      </c>
      <c r="E258" s="4">
        <v>45594</v>
      </c>
      <c r="F258" s="4">
        <v>45600</v>
      </c>
      <c r="G258" s="2">
        <f t="shared" ref="G258:G321" si="4">F258-E258</f>
        <v>6</v>
      </c>
      <c r="H258" s="2">
        <v>22</v>
      </c>
      <c r="I258" t="s">
        <v>39</v>
      </c>
      <c r="J258" t="s">
        <v>21</v>
      </c>
      <c r="K258" s="2">
        <v>20.72</v>
      </c>
      <c r="L258" s="3">
        <v>668.31</v>
      </c>
      <c r="M258" s="3">
        <f>orders_1[[#This Row],[products.Base_Price]]*orders_1[[#This Row],[Quantity]]</f>
        <v>14702.82</v>
      </c>
      <c r="N258" t="s">
        <v>12</v>
      </c>
      <c r="O258" t="s">
        <v>14</v>
      </c>
      <c r="P258" t="s">
        <v>11</v>
      </c>
    </row>
    <row r="259" spans="1:16" x14ac:dyDescent="0.3">
      <c r="A259" s="2">
        <v>10258</v>
      </c>
      <c r="B259" s="2">
        <v>707</v>
      </c>
      <c r="C259" s="2">
        <v>2074</v>
      </c>
      <c r="D259" s="2">
        <v>303</v>
      </c>
      <c r="E259" s="4">
        <v>45485</v>
      </c>
      <c r="F259" s="4">
        <v>45487</v>
      </c>
      <c r="G259" s="2">
        <f t="shared" si="4"/>
        <v>2</v>
      </c>
      <c r="H259" s="2">
        <v>31</v>
      </c>
      <c r="I259" t="s">
        <v>42</v>
      </c>
      <c r="J259" t="s">
        <v>13</v>
      </c>
      <c r="K259" s="2">
        <v>41.45</v>
      </c>
      <c r="L259" s="3">
        <v>650.42999999999995</v>
      </c>
      <c r="M259" s="3">
        <f>orders_1[[#This Row],[products.Base_Price]]*orders_1[[#This Row],[Quantity]]</f>
        <v>20163.329999999998</v>
      </c>
      <c r="N259" t="s">
        <v>15</v>
      </c>
      <c r="O259" t="s">
        <v>10</v>
      </c>
      <c r="P259" t="s">
        <v>16</v>
      </c>
    </row>
    <row r="260" spans="1:16" x14ac:dyDescent="0.3">
      <c r="A260" s="2">
        <v>10259</v>
      </c>
      <c r="B260" s="2">
        <v>815</v>
      </c>
      <c r="C260" s="2">
        <v>2024</v>
      </c>
      <c r="D260" s="2">
        <v>318</v>
      </c>
      <c r="E260" s="4">
        <v>45429</v>
      </c>
      <c r="F260" s="4">
        <v>45439</v>
      </c>
      <c r="G260" s="2">
        <f t="shared" si="4"/>
        <v>10</v>
      </c>
      <c r="H260" s="2">
        <v>64</v>
      </c>
      <c r="I260" t="s">
        <v>39</v>
      </c>
      <c r="J260" t="s">
        <v>13</v>
      </c>
      <c r="K260" s="2">
        <v>21.16</v>
      </c>
      <c r="L260" s="3">
        <v>291.08</v>
      </c>
      <c r="M260" s="3">
        <f>orders_1[[#This Row],[products.Base_Price]]*orders_1[[#This Row],[Quantity]]</f>
        <v>18629.12</v>
      </c>
      <c r="N260" t="s">
        <v>17</v>
      </c>
      <c r="O260" t="s">
        <v>10</v>
      </c>
      <c r="P260" t="s">
        <v>19</v>
      </c>
    </row>
    <row r="261" spans="1:16" x14ac:dyDescent="0.3">
      <c r="A261" s="2">
        <v>10260</v>
      </c>
      <c r="B261" s="2">
        <v>656</v>
      </c>
      <c r="C261" s="2">
        <v>2035</v>
      </c>
      <c r="D261" s="2">
        <v>314</v>
      </c>
      <c r="E261" s="4">
        <v>45563</v>
      </c>
      <c r="F261" s="4">
        <v>45569</v>
      </c>
      <c r="G261" s="2">
        <f t="shared" si="4"/>
        <v>6</v>
      </c>
      <c r="H261" s="2">
        <v>72</v>
      </c>
      <c r="I261" t="s">
        <v>36</v>
      </c>
      <c r="J261" t="s">
        <v>27</v>
      </c>
      <c r="K261" s="2">
        <v>18.55</v>
      </c>
      <c r="L261" s="3">
        <v>636.37</v>
      </c>
      <c r="M261" s="3">
        <f>orders_1[[#This Row],[products.Base_Price]]*orders_1[[#This Row],[Quantity]]</f>
        <v>45818.64</v>
      </c>
      <c r="N261" t="s">
        <v>17</v>
      </c>
      <c r="O261" t="s">
        <v>14</v>
      </c>
      <c r="P261" t="s">
        <v>19</v>
      </c>
    </row>
    <row r="262" spans="1:16" x14ac:dyDescent="0.3">
      <c r="A262" s="2">
        <v>10261</v>
      </c>
      <c r="B262" s="2">
        <v>698</v>
      </c>
      <c r="C262" s="2">
        <v>2091</v>
      </c>
      <c r="D262" s="2">
        <v>314</v>
      </c>
      <c r="E262" s="4">
        <v>45339</v>
      </c>
      <c r="F262" s="4">
        <v>45348</v>
      </c>
      <c r="G262" s="2">
        <f t="shared" si="4"/>
        <v>9</v>
      </c>
      <c r="H262" s="2">
        <v>78</v>
      </c>
      <c r="I262" t="s">
        <v>39</v>
      </c>
      <c r="J262" t="s">
        <v>21</v>
      </c>
      <c r="K262" s="2">
        <v>10.41</v>
      </c>
      <c r="L262" s="3">
        <v>271.61</v>
      </c>
      <c r="M262" s="3">
        <f>orders_1[[#This Row],[products.Base_Price]]*orders_1[[#This Row],[Quantity]]</f>
        <v>21185.58</v>
      </c>
      <c r="N262" t="s">
        <v>17</v>
      </c>
      <c r="O262" t="s">
        <v>14</v>
      </c>
      <c r="P262" t="s">
        <v>19</v>
      </c>
    </row>
    <row r="263" spans="1:16" x14ac:dyDescent="0.3">
      <c r="A263" s="2">
        <v>10262</v>
      </c>
      <c r="B263" s="2">
        <v>531</v>
      </c>
      <c r="C263" s="2">
        <v>2014</v>
      </c>
      <c r="D263" s="2">
        <v>302</v>
      </c>
      <c r="E263" s="4">
        <v>45407</v>
      </c>
      <c r="F263" s="4">
        <v>45414</v>
      </c>
      <c r="G263" s="2">
        <f t="shared" si="4"/>
        <v>7</v>
      </c>
      <c r="H263" s="2">
        <v>44</v>
      </c>
      <c r="I263" t="s">
        <v>42</v>
      </c>
      <c r="J263" t="s">
        <v>27</v>
      </c>
      <c r="K263" s="2">
        <v>12.2</v>
      </c>
      <c r="L263" s="3">
        <v>652.53</v>
      </c>
      <c r="M263" s="3">
        <f>orders_1[[#This Row],[products.Base_Price]]*orders_1[[#This Row],[Quantity]]</f>
        <v>28711.32</v>
      </c>
      <c r="N263" t="s">
        <v>12</v>
      </c>
      <c r="O263" t="s">
        <v>14</v>
      </c>
      <c r="P263" t="s">
        <v>11</v>
      </c>
    </row>
    <row r="264" spans="1:16" x14ac:dyDescent="0.3">
      <c r="A264" s="2">
        <v>10263</v>
      </c>
      <c r="B264" s="2">
        <v>707</v>
      </c>
      <c r="C264" s="2">
        <v>2082</v>
      </c>
      <c r="D264" s="2">
        <v>302</v>
      </c>
      <c r="E264" s="4">
        <v>45430</v>
      </c>
      <c r="F264" s="4">
        <v>45438</v>
      </c>
      <c r="G264" s="2">
        <f t="shared" si="4"/>
        <v>8</v>
      </c>
      <c r="H264" s="2">
        <v>85</v>
      </c>
      <c r="I264" t="s">
        <v>36</v>
      </c>
      <c r="J264" t="s">
        <v>22</v>
      </c>
      <c r="K264" s="2">
        <v>41.79</v>
      </c>
      <c r="L264" s="3">
        <v>352.17</v>
      </c>
      <c r="M264" s="3">
        <f>orders_1[[#This Row],[products.Base_Price]]*orders_1[[#This Row],[Quantity]]</f>
        <v>29934.45</v>
      </c>
      <c r="N264" t="s">
        <v>12</v>
      </c>
      <c r="O264" t="s">
        <v>14</v>
      </c>
      <c r="P264" t="s">
        <v>11</v>
      </c>
    </row>
    <row r="265" spans="1:16" x14ac:dyDescent="0.3">
      <c r="A265" s="2">
        <v>10264</v>
      </c>
      <c r="B265" s="2">
        <v>712</v>
      </c>
      <c r="C265" s="2">
        <v>2011</v>
      </c>
      <c r="D265" s="2">
        <v>308</v>
      </c>
      <c r="E265" s="4">
        <v>45464</v>
      </c>
      <c r="F265" s="4">
        <v>45470</v>
      </c>
      <c r="G265" s="2">
        <f t="shared" si="4"/>
        <v>6</v>
      </c>
      <c r="H265" s="2">
        <v>81</v>
      </c>
      <c r="I265" t="s">
        <v>36</v>
      </c>
      <c r="J265" t="s">
        <v>21</v>
      </c>
      <c r="K265" s="2">
        <v>12.75</v>
      </c>
      <c r="L265" s="3">
        <v>987.99</v>
      </c>
      <c r="M265" s="3">
        <f>orders_1[[#This Row],[products.Base_Price]]*orders_1[[#This Row],[Quantity]]</f>
        <v>80027.19</v>
      </c>
      <c r="N265" t="s">
        <v>23</v>
      </c>
      <c r="O265" t="s">
        <v>14</v>
      </c>
      <c r="P265" t="s">
        <v>19</v>
      </c>
    </row>
    <row r="266" spans="1:16" x14ac:dyDescent="0.3">
      <c r="A266" s="2">
        <v>10265</v>
      </c>
      <c r="B266" s="2">
        <v>818</v>
      </c>
      <c r="C266" s="2">
        <v>2068</v>
      </c>
      <c r="D266" s="2">
        <v>319</v>
      </c>
      <c r="E266" s="4">
        <v>45398</v>
      </c>
      <c r="F266" s="4">
        <v>45406</v>
      </c>
      <c r="G266" s="2">
        <f t="shared" si="4"/>
        <v>8</v>
      </c>
      <c r="H266" s="2">
        <v>80</v>
      </c>
      <c r="I266" t="s">
        <v>36</v>
      </c>
      <c r="J266" t="s">
        <v>27</v>
      </c>
      <c r="K266" s="2">
        <v>47.08</v>
      </c>
      <c r="L266" s="3">
        <v>501.03</v>
      </c>
      <c r="M266" s="3">
        <f>orders_1[[#This Row],[products.Base_Price]]*orders_1[[#This Row],[Quantity]]</f>
        <v>40082.399999999994</v>
      </c>
      <c r="N266" t="s">
        <v>20</v>
      </c>
      <c r="O266" t="s">
        <v>18</v>
      </c>
      <c r="P266" t="s">
        <v>11</v>
      </c>
    </row>
    <row r="267" spans="1:16" x14ac:dyDescent="0.3">
      <c r="A267" s="2">
        <v>10266</v>
      </c>
      <c r="B267" s="2">
        <v>871</v>
      </c>
      <c r="C267" s="2">
        <v>2042</v>
      </c>
      <c r="D267" s="2">
        <v>318</v>
      </c>
      <c r="E267" s="4">
        <v>45455</v>
      </c>
      <c r="F267" s="4">
        <v>45462</v>
      </c>
      <c r="G267" s="2">
        <f t="shared" si="4"/>
        <v>7</v>
      </c>
      <c r="H267" s="2">
        <v>51</v>
      </c>
      <c r="I267" t="s">
        <v>39</v>
      </c>
      <c r="J267" t="s">
        <v>27</v>
      </c>
      <c r="K267" s="2">
        <v>46.87</v>
      </c>
      <c r="L267" s="3">
        <v>313.88</v>
      </c>
      <c r="M267" s="3">
        <f>orders_1[[#This Row],[products.Base_Price]]*orders_1[[#This Row],[Quantity]]</f>
        <v>16007.88</v>
      </c>
      <c r="N267" t="s">
        <v>17</v>
      </c>
      <c r="O267" t="s">
        <v>10</v>
      </c>
      <c r="P267" t="s">
        <v>19</v>
      </c>
    </row>
    <row r="268" spans="1:16" x14ac:dyDescent="0.3">
      <c r="A268" s="2">
        <v>10267</v>
      </c>
      <c r="B268" s="2">
        <v>508</v>
      </c>
      <c r="C268" s="2">
        <v>2020</v>
      </c>
      <c r="D268" s="2">
        <v>301</v>
      </c>
      <c r="E268" s="4">
        <v>45305</v>
      </c>
      <c r="F268" s="4">
        <v>45314</v>
      </c>
      <c r="G268" s="2">
        <f t="shared" si="4"/>
        <v>9</v>
      </c>
      <c r="H268" s="2">
        <v>6</v>
      </c>
      <c r="I268" t="s">
        <v>42</v>
      </c>
      <c r="J268" t="s">
        <v>27</v>
      </c>
      <c r="K268" s="2">
        <v>35.94</v>
      </c>
      <c r="L268" s="3">
        <v>44.04</v>
      </c>
      <c r="M268" s="3">
        <f>orders_1[[#This Row],[products.Base_Price]]*orders_1[[#This Row],[Quantity]]</f>
        <v>264.24</v>
      </c>
      <c r="N268" t="s">
        <v>8</v>
      </c>
      <c r="O268" t="s">
        <v>10</v>
      </c>
      <c r="P268" t="s">
        <v>11</v>
      </c>
    </row>
    <row r="269" spans="1:16" x14ac:dyDescent="0.3">
      <c r="A269" s="2">
        <v>10268</v>
      </c>
      <c r="B269" s="2">
        <v>888</v>
      </c>
      <c r="C269" s="2">
        <v>2075</v>
      </c>
      <c r="D269" s="2">
        <v>305</v>
      </c>
      <c r="E269" s="4">
        <v>45304</v>
      </c>
      <c r="F269" s="4">
        <v>45314</v>
      </c>
      <c r="G269" s="2">
        <f t="shared" si="4"/>
        <v>10</v>
      </c>
      <c r="H269" s="2">
        <v>30</v>
      </c>
      <c r="I269" t="s">
        <v>78</v>
      </c>
      <c r="J269" t="s">
        <v>27</v>
      </c>
      <c r="K269" s="2">
        <v>16.57</v>
      </c>
      <c r="L269" s="3">
        <v>429.9</v>
      </c>
      <c r="M269" s="3">
        <f>orders_1[[#This Row],[products.Base_Price]]*orders_1[[#This Row],[Quantity]]</f>
        <v>12897</v>
      </c>
      <c r="N269" t="s">
        <v>20</v>
      </c>
      <c r="O269" t="s">
        <v>10</v>
      </c>
      <c r="P269" t="s">
        <v>19</v>
      </c>
    </row>
    <row r="270" spans="1:16" x14ac:dyDescent="0.3">
      <c r="A270" s="2">
        <v>10269</v>
      </c>
      <c r="B270" s="2">
        <v>526</v>
      </c>
      <c r="C270" s="2">
        <v>2041</v>
      </c>
      <c r="D270" s="2">
        <v>312</v>
      </c>
      <c r="E270" s="4">
        <v>45486</v>
      </c>
      <c r="F270" s="4">
        <v>45488</v>
      </c>
      <c r="G270" s="2">
        <f t="shared" si="4"/>
        <v>2</v>
      </c>
      <c r="H270" s="2">
        <v>1</v>
      </c>
      <c r="I270" t="s">
        <v>42</v>
      </c>
      <c r="J270" t="s">
        <v>22</v>
      </c>
      <c r="K270" s="2">
        <v>48.2</v>
      </c>
      <c r="L270" s="3">
        <v>792.77</v>
      </c>
      <c r="M270" s="3">
        <f>orders_1[[#This Row],[products.Base_Price]]*orders_1[[#This Row],[Quantity]]</f>
        <v>792.77</v>
      </c>
      <c r="N270" t="s">
        <v>15</v>
      </c>
      <c r="O270" t="s">
        <v>10</v>
      </c>
      <c r="P270" t="s">
        <v>11</v>
      </c>
    </row>
    <row r="271" spans="1:16" x14ac:dyDescent="0.3">
      <c r="A271" s="2">
        <v>10270</v>
      </c>
      <c r="B271" s="2">
        <v>682</v>
      </c>
      <c r="C271" s="2">
        <v>2037</v>
      </c>
      <c r="D271" s="2">
        <v>316</v>
      </c>
      <c r="E271" s="4">
        <v>45303</v>
      </c>
      <c r="F271" s="4">
        <v>45311</v>
      </c>
      <c r="G271" s="2">
        <f t="shared" si="4"/>
        <v>8</v>
      </c>
      <c r="H271" s="2">
        <v>59</v>
      </c>
      <c r="I271" t="s">
        <v>36</v>
      </c>
      <c r="J271" t="s">
        <v>21</v>
      </c>
      <c r="K271" s="2">
        <v>29.23</v>
      </c>
      <c r="L271" s="3">
        <v>491.44</v>
      </c>
      <c r="M271" s="3">
        <f>orders_1[[#This Row],[products.Base_Price]]*orders_1[[#This Row],[Quantity]]</f>
        <v>28994.959999999999</v>
      </c>
      <c r="N271" t="s">
        <v>24</v>
      </c>
      <c r="O271" t="s">
        <v>25</v>
      </c>
      <c r="P271" t="s">
        <v>19</v>
      </c>
    </row>
    <row r="272" spans="1:16" x14ac:dyDescent="0.3">
      <c r="A272" s="2">
        <v>10271</v>
      </c>
      <c r="B272" s="2">
        <v>677</v>
      </c>
      <c r="C272" s="2">
        <v>2016</v>
      </c>
      <c r="D272" s="2">
        <v>305</v>
      </c>
      <c r="E272" s="4">
        <v>45457</v>
      </c>
      <c r="F272" s="4">
        <v>45466</v>
      </c>
      <c r="G272" s="2">
        <f t="shared" si="4"/>
        <v>9</v>
      </c>
      <c r="H272" s="2">
        <v>69</v>
      </c>
      <c r="I272" t="s">
        <v>36</v>
      </c>
      <c r="J272" t="s">
        <v>13</v>
      </c>
      <c r="K272" s="2">
        <v>12.52</v>
      </c>
      <c r="L272" s="3">
        <v>709.8</v>
      </c>
      <c r="M272" s="3">
        <f>orders_1[[#This Row],[products.Base_Price]]*orders_1[[#This Row],[Quantity]]</f>
        <v>48976.2</v>
      </c>
      <c r="N272" t="s">
        <v>20</v>
      </c>
      <c r="O272" t="s">
        <v>10</v>
      </c>
      <c r="P272" t="s">
        <v>19</v>
      </c>
    </row>
    <row r="273" spans="1:16" x14ac:dyDescent="0.3">
      <c r="A273" s="2">
        <v>10272</v>
      </c>
      <c r="B273" s="2">
        <v>552</v>
      </c>
      <c r="C273" s="2">
        <v>2074</v>
      </c>
      <c r="D273" s="2">
        <v>315</v>
      </c>
      <c r="E273" s="4">
        <v>45559</v>
      </c>
      <c r="F273" s="4">
        <v>45562</v>
      </c>
      <c r="G273" s="2">
        <f t="shared" si="4"/>
        <v>3</v>
      </c>
      <c r="H273" s="2">
        <v>97</v>
      </c>
      <c r="I273" t="s">
        <v>42</v>
      </c>
      <c r="J273" t="s">
        <v>13</v>
      </c>
      <c r="K273" s="2">
        <v>41.45</v>
      </c>
      <c r="L273" s="3">
        <v>650.42999999999995</v>
      </c>
      <c r="M273" s="3">
        <f>orders_1[[#This Row],[products.Base_Price]]*orders_1[[#This Row],[Quantity]]</f>
        <v>63091.709999999992</v>
      </c>
      <c r="N273" t="s">
        <v>15</v>
      </c>
      <c r="O273" t="s">
        <v>25</v>
      </c>
      <c r="P273" t="s">
        <v>19</v>
      </c>
    </row>
    <row r="274" spans="1:16" x14ac:dyDescent="0.3">
      <c r="A274" s="2">
        <v>10273</v>
      </c>
      <c r="B274" s="2">
        <v>510</v>
      </c>
      <c r="C274" s="2">
        <v>2001</v>
      </c>
      <c r="D274" s="2">
        <v>302</v>
      </c>
      <c r="E274" s="4">
        <v>45303</v>
      </c>
      <c r="F274" s="4">
        <v>45305</v>
      </c>
      <c r="G274" s="2">
        <f t="shared" si="4"/>
        <v>2</v>
      </c>
      <c r="H274" s="2">
        <v>77</v>
      </c>
      <c r="I274" t="s">
        <v>78</v>
      </c>
      <c r="J274" t="s">
        <v>9</v>
      </c>
      <c r="K274" s="2">
        <v>49.85</v>
      </c>
      <c r="L274" s="3">
        <v>471.41</v>
      </c>
      <c r="M274" s="3">
        <f>orders_1[[#This Row],[products.Base_Price]]*orders_1[[#This Row],[Quantity]]</f>
        <v>36298.57</v>
      </c>
      <c r="N274" t="s">
        <v>12</v>
      </c>
      <c r="O274" t="s">
        <v>14</v>
      </c>
      <c r="P274" t="s">
        <v>11</v>
      </c>
    </row>
    <row r="275" spans="1:16" x14ac:dyDescent="0.3">
      <c r="A275" s="2">
        <v>10274</v>
      </c>
      <c r="B275" s="2">
        <v>644</v>
      </c>
      <c r="C275" s="2">
        <v>2080</v>
      </c>
      <c r="D275" s="2">
        <v>319</v>
      </c>
      <c r="E275" s="4">
        <v>45520</v>
      </c>
      <c r="F275" s="4">
        <v>45522</v>
      </c>
      <c r="G275" s="2">
        <f t="shared" si="4"/>
        <v>2</v>
      </c>
      <c r="H275" s="2">
        <v>54</v>
      </c>
      <c r="I275" t="s">
        <v>36</v>
      </c>
      <c r="J275" t="s">
        <v>9</v>
      </c>
      <c r="K275" s="2">
        <v>29.56</v>
      </c>
      <c r="L275" s="3">
        <v>143.84</v>
      </c>
      <c r="M275" s="3">
        <f>orders_1[[#This Row],[products.Base_Price]]*orders_1[[#This Row],[Quantity]]</f>
        <v>7767.3600000000006</v>
      </c>
      <c r="N275" t="s">
        <v>20</v>
      </c>
      <c r="O275" t="s">
        <v>18</v>
      </c>
      <c r="P275" t="s">
        <v>11</v>
      </c>
    </row>
    <row r="276" spans="1:16" x14ac:dyDescent="0.3">
      <c r="A276" s="2">
        <v>10275</v>
      </c>
      <c r="B276" s="2">
        <v>695</v>
      </c>
      <c r="C276" s="2">
        <v>2041</v>
      </c>
      <c r="D276" s="2">
        <v>310</v>
      </c>
      <c r="E276" s="4">
        <v>45465</v>
      </c>
      <c r="F276" s="4">
        <v>45471</v>
      </c>
      <c r="G276" s="2">
        <f t="shared" si="4"/>
        <v>6</v>
      </c>
      <c r="H276" s="2">
        <v>15</v>
      </c>
      <c r="I276" t="s">
        <v>39</v>
      </c>
      <c r="J276" t="s">
        <v>22</v>
      </c>
      <c r="K276" s="2">
        <v>48.2</v>
      </c>
      <c r="L276" s="3">
        <v>792.77</v>
      </c>
      <c r="M276" s="3">
        <f>orders_1[[#This Row],[products.Base_Price]]*orders_1[[#This Row],[Quantity]]</f>
        <v>11891.55</v>
      </c>
      <c r="N276" t="s">
        <v>26</v>
      </c>
      <c r="O276" t="s">
        <v>25</v>
      </c>
      <c r="P276" t="s">
        <v>11</v>
      </c>
    </row>
    <row r="277" spans="1:16" x14ac:dyDescent="0.3">
      <c r="A277" s="2">
        <v>10276</v>
      </c>
      <c r="B277" s="2">
        <v>591</v>
      </c>
      <c r="C277" s="2">
        <v>2056</v>
      </c>
      <c r="D277" s="2">
        <v>307</v>
      </c>
      <c r="E277" s="4">
        <v>45625</v>
      </c>
      <c r="F277" s="4">
        <v>45631</v>
      </c>
      <c r="G277" s="2">
        <f t="shared" si="4"/>
        <v>6</v>
      </c>
      <c r="H277" s="2">
        <v>89</v>
      </c>
      <c r="I277" t="s">
        <v>78</v>
      </c>
      <c r="J277" t="s">
        <v>9</v>
      </c>
      <c r="K277" s="2">
        <v>18.559999999999999</v>
      </c>
      <c r="L277" s="3">
        <v>564.01</v>
      </c>
      <c r="M277" s="3">
        <f>orders_1[[#This Row],[products.Base_Price]]*orders_1[[#This Row],[Quantity]]</f>
        <v>50196.89</v>
      </c>
      <c r="N277" t="s">
        <v>17</v>
      </c>
      <c r="O277" t="s">
        <v>10</v>
      </c>
      <c r="P277" t="s">
        <v>11</v>
      </c>
    </row>
    <row r="278" spans="1:16" x14ac:dyDescent="0.3">
      <c r="A278" s="2">
        <v>10277</v>
      </c>
      <c r="B278" s="2">
        <v>648</v>
      </c>
      <c r="C278" s="2">
        <v>2022</v>
      </c>
      <c r="D278" s="2">
        <v>314</v>
      </c>
      <c r="E278" s="4">
        <v>45400</v>
      </c>
      <c r="F278" s="4">
        <v>45401</v>
      </c>
      <c r="G278" s="2">
        <f t="shared" si="4"/>
        <v>1</v>
      </c>
      <c r="H278" s="2">
        <v>53</v>
      </c>
      <c r="I278" t="s">
        <v>78</v>
      </c>
      <c r="J278" t="s">
        <v>13</v>
      </c>
      <c r="K278" s="2">
        <v>47.91</v>
      </c>
      <c r="L278" s="3">
        <v>756.92</v>
      </c>
      <c r="M278" s="3">
        <f>orders_1[[#This Row],[products.Base_Price]]*orders_1[[#This Row],[Quantity]]</f>
        <v>40116.759999999995</v>
      </c>
      <c r="N278" t="s">
        <v>17</v>
      </c>
      <c r="O278" t="s">
        <v>14</v>
      </c>
      <c r="P278" t="s">
        <v>19</v>
      </c>
    </row>
    <row r="279" spans="1:16" x14ac:dyDescent="0.3">
      <c r="A279" s="2">
        <v>10278</v>
      </c>
      <c r="B279" s="2">
        <v>633</v>
      </c>
      <c r="C279" s="2">
        <v>2055</v>
      </c>
      <c r="D279" s="2">
        <v>308</v>
      </c>
      <c r="E279" s="4">
        <v>45301</v>
      </c>
      <c r="F279" s="4">
        <v>45304</v>
      </c>
      <c r="G279" s="2">
        <f t="shared" si="4"/>
        <v>3</v>
      </c>
      <c r="H279" s="2">
        <v>61</v>
      </c>
      <c r="I279" t="s">
        <v>78</v>
      </c>
      <c r="J279" t="s">
        <v>27</v>
      </c>
      <c r="K279" s="2">
        <v>26.24</v>
      </c>
      <c r="L279" s="3">
        <v>312.67</v>
      </c>
      <c r="M279" s="3">
        <f>orders_1[[#This Row],[products.Base_Price]]*orders_1[[#This Row],[Quantity]]</f>
        <v>19072.870000000003</v>
      </c>
      <c r="N279" t="s">
        <v>23</v>
      </c>
      <c r="O279" t="s">
        <v>14</v>
      </c>
      <c r="P279" t="s">
        <v>19</v>
      </c>
    </row>
    <row r="280" spans="1:16" x14ac:dyDescent="0.3">
      <c r="A280" s="2">
        <v>10279</v>
      </c>
      <c r="B280" s="2">
        <v>747</v>
      </c>
      <c r="C280" s="2">
        <v>2096</v>
      </c>
      <c r="D280" s="2">
        <v>305</v>
      </c>
      <c r="E280" s="4">
        <v>45330</v>
      </c>
      <c r="F280" s="4">
        <v>45332</v>
      </c>
      <c r="G280" s="2">
        <f t="shared" si="4"/>
        <v>2</v>
      </c>
      <c r="H280" s="2">
        <v>45</v>
      </c>
      <c r="I280" t="s">
        <v>36</v>
      </c>
      <c r="J280" t="s">
        <v>22</v>
      </c>
      <c r="K280" s="2">
        <v>20.04</v>
      </c>
      <c r="L280" s="3">
        <v>70.19</v>
      </c>
      <c r="M280" s="3">
        <f>orders_1[[#This Row],[products.Base_Price]]*orders_1[[#This Row],[Quantity]]</f>
        <v>3158.5499999999997</v>
      </c>
      <c r="N280" t="s">
        <v>20</v>
      </c>
      <c r="O280" t="s">
        <v>10</v>
      </c>
      <c r="P280" t="s">
        <v>19</v>
      </c>
    </row>
    <row r="281" spans="1:16" x14ac:dyDescent="0.3">
      <c r="A281" s="2">
        <v>10280</v>
      </c>
      <c r="B281" s="2">
        <v>617</v>
      </c>
      <c r="C281" s="2">
        <v>2072</v>
      </c>
      <c r="D281" s="2">
        <v>308</v>
      </c>
      <c r="E281" s="4">
        <v>45521</v>
      </c>
      <c r="F281" s="4">
        <v>45523</v>
      </c>
      <c r="G281" s="2">
        <f t="shared" si="4"/>
        <v>2</v>
      </c>
      <c r="H281" s="2">
        <v>73</v>
      </c>
      <c r="I281" t="s">
        <v>39</v>
      </c>
      <c r="J281" t="s">
        <v>9</v>
      </c>
      <c r="K281" s="2">
        <v>26.22</v>
      </c>
      <c r="L281" s="3">
        <v>576.57000000000005</v>
      </c>
      <c r="M281" s="3">
        <f>orders_1[[#This Row],[products.Base_Price]]*orders_1[[#This Row],[Quantity]]</f>
        <v>42089.61</v>
      </c>
      <c r="N281" t="s">
        <v>23</v>
      </c>
      <c r="O281" t="s">
        <v>14</v>
      </c>
      <c r="P281" t="s">
        <v>19</v>
      </c>
    </row>
    <row r="282" spans="1:16" x14ac:dyDescent="0.3">
      <c r="A282" s="2">
        <v>10281</v>
      </c>
      <c r="B282" s="2">
        <v>513</v>
      </c>
      <c r="C282" s="2">
        <v>2049</v>
      </c>
      <c r="D282" s="2">
        <v>317</v>
      </c>
      <c r="E282" s="4">
        <v>45567</v>
      </c>
      <c r="F282" s="4">
        <v>45568</v>
      </c>
      <c r="G282" s="2">
        <f t="shared" si="4"/>
        <v>1</v>
      </c>
      <c r="H282" s="2">
        <v>8</v>
      </c>
      <c r="I282" t="s">
        <v>39</v>
      </c>
      <c r="J282" t="s">
        <v>27</v>
      </c>
      <c r="K282" s="2">
        <v>17.52</v>
      </c>
      <c r="L282" s="3">
        <v>832.77</v>
      </c>
      <c r="M282" s="3">
        <f>orders_1[[#This Row],[products.Base_Price]]*orders_1[[#This Row],[Quantity]]</f>
        <v>6662.16</v>
      </c>
      <c r="N282" t="s">
        <v>20</v>
      </c>
      <c r="O282" t="s">
        <v>25</v>
      </c>
      <c r="P282" t="s">
        <v>19</v>
      </c>
    </row>
    <row r="283" spans="1:16" x14ac:dyDescent="0.3">
      <c r="A283" s="2">
        <v>10282</v>
      </c>
      <c r="B283" s="2">
        <v>837</v>
      </c>
      <c r="C283" s="2">
        <v>2020</v>
      </c>
      <c r="D283" s="2">
        <v>304</v>
      </c>
      <c r="E283" s="4">
        <v>45435</v>
      </c>
      <c r="F283" s="4">
        <v>45436</v>
      </c>
      <c r="G283" s="2">
        <f t="shared" si="4"/>
        <v>1</v>
      </c>
      <c r="H283" s="2">
        <v>87</v>
      </c>
      <c r="I283" t="s">
        <v>78</v>
      </c>
      <c r="J283" t="s">
        <v>27</v>
      </c>
      <c r="K283" s="2">
        <v>35.94</v>
      </c>
      <c r="L283" s="3">
        <v>44.04</v>
      </c>
      <c r="M283" s="3">
        <f>orders_1[[#This Row],[products.Base_Price]]*orders_1[[#This Row],[Quantity]]</f>
        <v>3831.48</v>
      </c>
      <c r="N283" t="s">
        <v>17</v>
      </c>
      <c r="O283" t="s">
        <v>18</v>
      </c>
      <c r="P283" t="s">
        <v>19</v>
      </c>
    </row>
    <row r="284" spans="1:16" x14ac:dyDescent="0.3">
      <c r="A284" s="2">
        <v>10283</v>
      </c>
      <c r="B284" s="2">
        <v>849</v>
      </c>
      <c r="C284" s="2">
        <v>2065</v>
      </c>
      <c r="D284" s="2">
        <v>301</v>
      </c>
      <c r="E284" s="4">
        <v>45332</v>
      </c>
      <c r="F284" s="4">
        <v>45336</v>
      </c>
      <c r="G284" s="2">
        <f t="shared" si="4"/>
        <v>4</v>
      </c>
      <c r="H284" s="2">
        <v>30</v>
      </c>
      <c r="I284" t="s">
        <v>39</v>
      </c>
      <c r="J284" t="s">
        <v>13</v>
      </c>
      <c r="K284" s="2">
        <v>26.94</v>
      </c>
      <c r="L284" s="3">
        <v>155.15</v>
      </c>
      <c r="M284" s="3">
        <f>orders_1[[#This Row],[products.Base_Price]]*orders_1[[#This Row],[Quantity]]</f>
        <v>4654.5</v>
      </c>
      <c r="N284" t="s">
        <v>8</v>
      </c>
      <c r="O284" t="s">
        <v>10</v>
      </c>
      <c r="P284" t="s">
        <v>11</v>
      </c>
    </row>
    <row r="285" spans="1:16" x14ac:dyDescent="0.3">
      <c r="A285" s="2">
        <v>10284</v>
      </c>
      <c r="B285" s="2">
        <v>865</v>
      </c>
      <c r="C285" s="2">
        <v>2043</v>
      </c>
      <c r="D285" s="2">
        <v>320</v>
      </c>
      <c r="E285" s="4">
        <v>45313</v>
      </c>
      <c r="F285" s="4">
        <v>45319</v>
      </c>
      <c r="G285" s="2">
        <f t="shared" si="4"/>
        <v>6</v>
      </c>
      <c r="H285" s="2">
        <v>46</v>
      </c>
      <c r="I285" t="s">
        <v>36</v>
      </c>
      <c r="J285" t="s">
        <v>27</v>
      </c>
      <c r="K285" s="2">
        <v>14.98</v>
      </c>
      <c r="L285" s="3">
        <v>375.85</v>
      </c>
      <c r="M285" s="3">
        <f>orders_1[[#This Row],[products.Base_Price]]*orders_1[[#This Row],[Quantity]]</f>
        <v>17289.100000000002</v>
      </c>
      <c r="N285" t="s">
        <v>15</v>
      </c>
      <c r="O285" t="s">
        <v>25</v>
      </c>
      <c r="P285" t="s">
        <v>11</v>
      </c>
    </row>
    <row r="286" spans="1:16" x14ac:dyDescent="0.3">
      <c r="A286" s="2">
        <v>10285</v>
      </c>
      <c r="B286" s="2">
        <v>601</v>
      </c>
      <c r="C286" s="2">
        <v>2009</v>
      </c>
      <c r="D286" s="2">
        <v>316</v>
      </c>
      <c r="E286" s="4">
        <v>45647</v>
      </c>
      <c r="F286" s="4">
        <v>45651</v>
      </c>
      <c r="G286" s="2">
        <f t="shared" si="4"/>
        <v>4</v>
      </c>
      <c r="H286" s="2">
        <v>4</v>
      </c>
      <c r="I286" t="s">
        <v>36</v>
      </c>
      <c r="J286" t="s">
        <v>21</v>
      </c>
      <c r="K286" s="2">
        <v>16.82</v>
      </c>
      <c r="L286" s="3">
        <v>376.01</v>
      </c>
      <c r="M286" s="3">
        <f>orders_1[[#This Row],[products.Base_Price]]*orders_1[[#This Row],[Quantity]]</f>
        <v>1504.04</v>
      </c>
      <c r="N286" t="s">
        <v>24</v>
      </c>
      <c r="O286" t="s">
        <v>25</v>
      </c>
      <c r="P286" t="s">
        <v>19</v>
      </c>
    </row>
    <row r="287" spans="1:16" x14ac:dyDescent="0.3">
      <c r="A287" s="2">
        <v>10286</v>
      </c>
      <c r="B287" s="2">
        <v>654</v>
      </c>
      <c r="C287" s="2">
        <v>2064</v>
      </c>
      <c r="D287" s="2">
        <v>307</v>
      </c>
      <c r="E287" s="4">
        <v>45441</v>
      </c>
      <c r="F287" s="4">
        <v>45447</v>
      </c>
      <c r="G287" s="2">
        <f t="shared" si="4"/>
        <v>6</v>
      </c>
      <c r="H287" s="2">
        <v>55</v>
      </c>
      <c r="I287" t="s">
        <v>39</v>
      </c>
      <c r="J287" t="s">
        <v>21</v>
      </c>
      <c r="K287" s="2">
        <v>15.41</v>
      </c>
      <c r="L287" s="3">
        <v>203.79</v>
      </c>
      <c r="M287" s="3">
        <f>orders_1[[#This Row],[products.Base_Price]]*orders_1[[#This Row],[Quantity]]</f>
        <v>11208.449999999999</v>
      </c>
      <c r="N287" t="s">
        <v>17</v>
      </c>
      <c r="O287" t="s">
        <v>10</v>
      </c>
      <c r="P287" t="s">
        <v>11</v>
      </c>
    </row>
    <row r="288" spans="1:16" x14ac:dyDescent="0.3">
      <c r="A288" s="2">
        <v>10287</v>
      </c>
      <c r="B288" s="2">
        <v>837</v>
      </c>
      <c r="C288" s="2">
        <v>2059</v>
      </c>
      <c r="D288" s="2">
        <v>320</v>
      </c>
      <c r="E288" s="4">
        <v>45294</v>
      </c>
      <c r="F288" s="4">
        <v>45298</v>
      </c>
      <c r="G288" s="2">
        <f t="shared" si="4"/>
        <v>4</v>
      </c>
      <c r="H288" s="2">
        <v>17</v>
      </c>
      <c r="I288" t="s">
        <v>36</v>
      </c>
      <c r="J288" t="s">
        <v>9</v>
      </c>
      <c r="K288" s="2">
        <v>17.760000000000002</v>
      </c>
      <c r="L288" s="3">
        <v>279.55</v>
      </c>
      <c r="M288" s="3">
        <f>orders_1[[#This Row],[products.Base_Price]]*orders_1[[#This Row],[Quantity]]</f>
        <v>4752.3500000000004</v>
      </c>
      <c r="N288" t="s">
        <v>15</v>
      </c>
      <c r="O288" t="s">
        <v>25</v>
      </c>
      <c r="P288" t="s">
        <v>11</v>
      </c>
    </row>
    <row r="289" spans="1:16" x14ac:dyDescent="0.3">
      <c r="A289" s="2">
        <v>10288</v>
      </c>
      <c r="B289" s="2">
        <v>767</v>
      </c>
      <c r="C289" s="2">
        <v>2090</v>
      </c>
      <c r="D289" s="2">
        <v>304</v>
      </c>
      <c r="E289" s="4">
        <v>45604</v>
      </c>
      <c r="F289" s="4">
        <v>45613</v>
      </c>
      <c r="G289" s="2">
        <f t="shared" si="4"/>
        <v>9</v>
      </c>
      <c r="H289" s="2">
        <v>88</v>
      </c>
      <c r="I289" t="s">
        <v>39</v>
      </c>
      <c r="J289" t="s">
        <v>22</v>
      </c>
      <c r="K289" s="2">
        <v>38.729999999999997</v>
      </c>
      <c r="L289" s="3">
        <v>913.68</v>
      </c>
      <c r="M289" s="3">
        <f>orders_1[[#This Row],[products.Base_Price]]*orders_1[[#This Row],[Quantity]]</f>
        <v>80403.839999999997</v>
      </c>
      <c r="N289" t="s">
        <v>17</v>
      </c>
      <c r="O289" t="s">
        <v>18</v>
      </c>
      <c r="P289" t="s">
        <v>19</v>
      </c>
    </row>
    <row r="290" spans="1:16" x14ac:dyDescent="0.3">
      <c r="A290" s="2">
        <v>10289</v>
      </c>
      <c r="B290" s="2">
        <v>788</v>
      </c>
      <c r="C290" s="2">
        <v>2023</v>
      </c>
      <c r="D290" s="2">
        <v>304</v>
      </c>
      <c r="E290" s="4">
        <v>45515</v>
      </c>
      <c r="F290" s="4">
        <v>45518</v>
      </c>
      <c r="G290" s="2">
        <f t="shared" si="4"/>
        <v>3</v>
      </c>
      <c r="H290" s="2">
        <v>59</v>
      </c>
      <c r="I290" t="s">
        <v>42</v>
      </c>
      <c r="J290" t="s">
        <v>13</v>
      </c>
      <c r="K290" s="2">
        <v>39.520000000000003</v>
      </c>
      <c r="L290" s="3">
        <v>618.29999999999995</v>
      </c>
      <c r="M290" s="3">
        <f>orders_1[[#This Row],[products.Base_Price]]*orders_1[[#This Row],[Quantity]]</f>
        <v>36479.699999999997</v>
      </c>
      <c r="N290" t="s">
        <v>17</v>
      </c>
      <c r="O290" t="s">
        <v>18</v>
      </c>
      <c r="P290" t="s">
        <v>19</v>
      </c>
    </row>
    <row r="291" spans="1:16" x14ac:dyDescent="0.3">
      <c r="A291" s="2">
        <v>10290</v>
      </c>
      <c r="B291" s="2">
        <v>774</v>
      </c>
      <c r="C291" s="2">
        <v>2048</v>
      </c>
      <c r="D291" s="2">
        <v>316</v>
      </c>
      <c r="E291" s="4">
        <v>45332</v>
      </c>
      <c r="F291" s="4">
        <v>45342</v>
      </c>
      <c r="G291" s="2">
        <f t="shared" si="4"/>
        <v>10</v>
      </c>
      <c r="H291" s="2">
        <v>58</v>
      </c>
      <c r="I291" t="s">
        <v>42</v>
      </c>
      <c r="J291" t="s">
        <v>22</v>
      </c>
      <c r="K291" s="2">
        <v>6.74</v>
      </c>
      <c r="L291" s="3">
        <v>864.57</v>
      </c>
      <c r="M291" s="3">
        <f>orders_1[[#This Row],[products.Base_Price]]*orders_1[[#This Row],[Quantity]]</f>
        <v>50145.060000000005</v>
      </c>
      <c r="N291" t="s">
        <v>24</v>
      </c>
      <c r="O291" t="s">
        <v>25</v>
      </c>
      <c r="P291" t="s">
        <v>19</v>
      </c>
    </row>
    <row r="292" spans="1:16" x14ac:dyDescent="0.3">
      <c r="A292" s="2">
        <v>10291</v>
      </c>
      <c r="B292" s="2">
        <v>685</v>
      </c>
      <c r="C292" s="2">
        <v>2062</v>
      </c>
      <c r="D292" s="2">
        <v>312</v>
      </c>
      <c r="E292" s="4">
        <v>45304</v>
      </c>
      <c r="F292" s="4">
        <v>45308</v>
      </c>
      <c r="G292" s="2">
        <f t="shared" si="4"/>
        <v>4</v>
      </c>
      <c r="H292" s="2">
        <v>39</v>
      </c>
      <c r="I292" t="s">
        <v>39</v>
      </c>
      <c r="J292" t="s">
        <v>9</v>
      </c>
      <c r="K292" s="2">
        <v>32.479999999999997</v>
      </c>
      <c r="L292" s="3">
        <v>409.49</v>
      </c>
      <c r="M292" s="3">
        <f>orders_1[[#This Row],[products.Base_Price]]*orders_1[[#This Row],[Quantity]]</f>
        <v>15970.11</v>
      </c>
      <c r="N292" t="s">
        <v>15</v>
      </c>
      <c r="O292" t="s">
        <v>10</v>
      </c>
      <c r="P292" t="s">
        <v>11</v>
      </c>
    </row>
    <row r="293" spans="1:16" x14ac:dyDescent="0.3">
      <c r="A293" s="2">
        <v>10292</v>
      </c>
      <c r="B293" s="2">
        <v>636</v>
      </c>
      <c r="C293" s="2">
        <v>2040</v>
      </c>
      <c r="D293" s="2">
        <v>308</v>
      </c>
      <c r="E293" s="4">
        <v>45655</v>
      </c>
      <c r="F293" s="4">
        <v>45664</v>
      </c>
      <c r="G293" s="2">
        <f t="shared" si="4"/>
        <v>9</v>
      </c>
      <c r="H293" s="2">
        <v>74</v>
      </c>
      <c r="I293" t="s">
        <v>36</v>
      </c>
      <c r="J293" t="s">
        <v>27</v>
      </c>
      <c r="K293" s="2">
        <v>3.71</v>
      </c>
      <c r="L293" s="3">
        <v>27.53</v>
      </c>
      <c r="M293" s="3">
        <f>orders_1[[#This Row],[products.Base_Price]]*orders_1[[#This Row],[Quantity]]</f>
        <v>2037.22</v>
      </c>
      <c r="N293" t="s">
        <v>23</v>
      </c>
      <c r="O293" t="s">
        <v>14</v>
      </c>
      <c r="P293" t="s">
        <v>19</v>
      </c>
    </row>
    <row r="294" spans="1:16" x14ac:dyDescent="0.3">
      <c r="A294" s="2">
        <v>10293</v>
      </c>
      <c r="B294" s="2">
        <v>662</v>
      </c>
      <c r="C294" s="2">
        <v>2081</v>
      </c>
      <c r="D294" s="2">
        <v>310</v>
      </c>
      <c r="E294" s="4">
        <v>45387</v>
      </c>
      <c r="F294" s="4">
        <v>45395</v>
      </c>
      <c r="G294" s="2">
        <f t="shared" si="4"/>
        <v>8</v>
      </c>
      <c r="H294" s="2">
        <v>70</v>
      </c>
      <c r="I294" t="s">
        <v>39</v>
      </c>
      <c r="J294" t="s">
        <v>21</v>
      </c>
      <c r="K294" s="2">
        <v>20.72</v>
      </c>
      <c r="L294" s="3">
        <v>668.31</v>
      </c>
      <c r="M294" s="3">
        <f>orders_1[[#This Row],[products.Base_Price]]*orders_1[[#This Row],[Quantity]]</f>
        <v>46781.7</v>
      </c>
      <c r="N294" t="s">
        <v>26</v>
      </c>
      <c r="O294" t="s">
        <v>25</v>
      </c>
      <c r="P294" t="s">
        <v>11</v>
      </c>
    </row>
    <row r="295" spans="1:16" x14ac:dyDescent="0.3">
      <c r="A295" s="2">
        <v>10294</v>
      </c>
      <c r="B295" s="2">
        <v>577</v>
      </c>
      <c r="C295" s="2">
        <v>2069</v>
      </c>
      <c r="D295" s="2">
        <v>306</v>
      </c>
      <c r="E295" s="4">
        <v>45339</v>
      </c>
      <c r="F295" s="4">
        <v>45347</v>
      </c>
      <c r="G295" s="2">
        <f t="shared" si="4"/>
        <v>8</v>
      </c>
      <c r="H295" s="2">
        <v>16</v>
      </c>
      <c r="I295" t="s">
        <v>42</v>
      </c>
      <c r="J295" t="s">
        <v>22</v>
      </c>
      <c r="K295" s="2">
        <v>2.94</v>
      </c>
      <c r="L295" s="3">
        <v>494.92</v>
      </c>
      <c r="M295" s="3">
        <f>orders_1[[#This Row],[products.Base_Price]]*orders_1[[#This Row],[Quantity]]</f>
        <v>7918.72</v>
      </c>
      <c r="N295" t="s">
        <v>8</v>
      </c>
      <c r="O295" t="s">
        <v>10</v>
      </c>
      <c r="P295" t="s">
        <v>16</v>
      </c>
    </row>
    <row r="296" spans="1:16" x14ac:dyDescent="0.3">
      <c r="A296" s="2">
        <v>10295</v>
      </c>
      <c r="B296" s="2">
        <v>704</v>
      </c>
      <c r="C296" s="2">
        <v>2091</v>
      </c>
      <c r="D296" s="2">
        <v>305</v>
      </c>
      <c r="E296" s="4">
        <v>45410</v>
      </c>
      <c r="F296" s="4">
        <v>45413</v>
      </c>
      <c r="G296" s="2">
        <f t="shared" si="4"/>
        <v>3</v>
      </c>
      <c r="H296" s="2">
        <v>70</v>
      </c>
      <c r="I296" t="s">
        <v>39</v>
      </c>
      <c r="J296" t="s">
        <v>21</v>
      </c>
      <c r="K296" s="2">
        <v>10.41</v>
      </c>
      <c r="L296" s="3">
        <v>271.61</v>
      </c>
      <c r="M296" s="3">
        <f>orders_1[[#This Row],[products.Base_Price]]*orders_1[[#This Row],[Quantity]]</f>
        <v>19012.7</v>
      </c>
      <c r="N296" t="s">
        <v>20</v>
      </c>
      <c r="O296" t="s">
        <v>10</v>
      </c>
      <c r="P296" t="s">
        <v>19</v>
      </c>
    </row>
    <row r="297" spans="1:16" x14ac:dyDescent="0.3">
      <c r="A297" s="2">
        <v>10296</v>
      </c>
      <c r="B297" s="2">
        <v>673</v>
      </c>
      <c r="C297" s="2">
        <v>2043</v>
      </c>
      <c r="D297" s="2">
        <v>309</v>
      </c>
      <c r="E297" s="4">
        <v>45420</v>
      </c>
      <c r="F297" s="4">
        <v>45423</v>
      </c>
      <c r="G297" s="2">
        <f t="shared" si="4"/>
        <v>3</v>
      </c>
      <c r="H297" s="2">
        <v>63</v>
      </c>
      <c r="I297" t="s">
        <v>36</v>
      </c>
      <c r="J297" t="s">
        <v>27</v>
      </c>
      <c r="K297" s="2">
        <v>14.98</v>
      </c>
      <c r="L297" s="3">
        <v>375.85</v>
      </c>
      <c r="M297" s="3">
        <f>orders_1[[#This Row],[products.Base_Price]]*orders_1[[#This Row],[Quantity]]</f>
        <v>23678.550000000003</v>
      </c>
      <c r="N297" t="s">
        <v>24</v>
      </c>
      <c r="O297" t="s">
        <v>25</v>
      </c>
      <c r="P297" t="s">
        <v>16</v>
      </c>
    </row>
    <row r="298" spans="1:16" x14ac:dyDescent="0.3">
      <c r="A298" s="2">
        <v>10297</v>
      </c>
      <c r="B298" s="2">
        <v>701</v>
      </c>
      <c r="C298" s="2">
        <v>2037</v>
      </c>
      <c r="D298" s="2">
        <v>317</v>
      </c>
      <c r="E298" s="4">
        <v>45537</v>
      </c>
      <c r="F298" s="4">
        <v>45538</v>
      </c>
      <c r="G298" s="2">
        <f t="shared" si="4"/>
        <v>1</v>
      </c>
      <c r="H298" s="2">
        <v>1</v>
      </c>
      <c r="I298" t="s">
        <v>78</v>
      </c>
      <c r="J298" t="s">
        <v>21</v>
      </c>
      <c r="K298" s="2">
        <v>29.23</v>
      </c>
      <c r="L298" s="3">
        <v>491.44</v>
      </c>
      <c r="M298" s="3">
        <f>orders_1[[#This Row],[products.Base_Price]]*orders_1[[#This Row],[Quantity]]</f>
        <v>491.44</v>
      </c>
      <c r="N298" t="s">
        <v>20</v>
      </c>
      <c r="O298" t="s">
        <v>25</v>
      </c>
      <c r="P298" t="s">
        <v>19</v>
      </c>
    </row>
    <row r="299" spans="1:16" x14ac:dyDescent="0.3">
      <c r="A299" s="2">
        <v>10298</v>
      </c>
      <c r="B299" s="2">
        <v>646</v>
      </c>
      <c r="C299" s="2">
        <v>2096</v>
      </c>
      <c r="D299" s="2">
        <v>308</v>
      </c>
      <c r="E299" s="4">
        <v>45422</v>
      </c>
      <c r="F299" s="4">
        <v>45428</v>
      </c>
      <c r="G299" s="2">
        <f t="shared" si="4"/>
        <v>6</v>
      </c>
      <c r="H299" s="2">
        <v>87</v>
      </c>
      <c r="I299" t="s">
        <v>42</v>
      </c>
      <c r="J299" t="s">
        <v>22</v>
      </c>
      <c r="K299" s="2">
        <v>20.04</v>
      </c>
      <c r="L299" s="3">
        <v>70.19</v>
      </c>
      <c r="M299" s="3">
        <f>orders_1[[#This Row],[products.Base_Price]]*orders_1[[#This Row],[Quantity]]</f>
        <v>6106.53</v>
      </c>
      <c r="N299" t="s">
        <v>23</v>
      </c>
      <c r="O299" t="s">
        <v>14</v>
      </c>
      <c r="P299" t="s">
        <v>19</v>
      </c>
    </row>
    <row r="300" spans="1:16" x14ac:dyDescent="0.3">
      <c r="A300" s="2">
        <v>10299</v>
      </c>
      <c r="B300" s="2">
        <v>607</v>
      </c>
      <c r="C300" s="2">
        <v>2059</v>
      </c>
      <c r="D300" s="2">
        <v>315</v>
      </c>
      <c r="E300" s="4">
        <v>45453</v>
      </c>
      <c r="F300" s="4">
        <v>45460</v>
      </c>
      <c r="G300" s="2">
        <f t="shared" si="4"/>
        <v>7</v>
      </c>
      <c r="H300" s="2">
        <v>44</v>
      </c>
      <c r="I300" t="s">
        <v>36</v>
      </c>
      <c r="J300" t="s">
        <v>9</v>
      </c>
      <c r="K300" s="2">
        <v>17.760000000000002</v>
      </c>
      <c r="L300" s="3">
        <v>279.55</v>
      </c>
      <c r="M300" s="3">
        <f>orders_1[[#This Row],[products.Base_Price]]*orders_1[[#This Row],[Quantity]]</f>
        <v>12300.2</v>
      </c>
      <c r="N300" t="s">
        <v>15</v>
      </c>
      <c r="O300" t="s">
        <v>25</v>
      </c>
      <c r="P300" t="s">
        <v>19</v>
      </c>
    </row>
    <row r="301" spans="1:16" x14ac:dyDescent="0.3">
      <c r="A301" s="2">
        <v>10300</v>
      </c>
      <c r="B301" s="2">
        <v>821</v>
      </c>
      <c r="C301" s="2">
        <v>2058</v>
      </c>
      <c r="D301" s="2">
        <v>319</v>
      </c>
      <c r="E301" s="4">
        <v>45644</v>
      </c>
      <c r="F301" s="4">
        <v>45653</v>
      </c>
      <c r="G301" s="2">
        <f t="shared" si="4"/>
        <v>9</v>
      </c>
      <c r="H301" s="2">
        <v>53</v>
      </c>
      <c r="I301" t="s">
        <v>39</v>
      </c>
      <c r="J301" t="s">
        <v>27</v>
      </c>
      <c r="K301" s="2">
        <v>28.48</v>
      </c>
      <c r="L301" s="3">
        <v>13.34</v>
      </c>
      <c r="M301" s="3">
        <f>orders_1[[#This Row],[products.Base_Price]]*orders_1[[#This Row],[Quantity]]</f>
        <v>707.02</v>
      </c>
      <c r="N301" t="s">
        <v>20</v>
      </c>
      <c r="O301" t="s">
        <v>18</v>
      </c>
      <c r="P301" t="s">
        <v>11</v>
      </c>
    </row>
    <row r="302" spans="1:16" x14ac:dyDescent="0.3">
      <c r="A302" s="2">
        <v>10301</v>
      </c>
      <c r="B302" s="2">
        <v>791</v>
      </c>
      <c r="C302" s="2">
        <v>2045</v>
      </c>
      <c r="D302" s="2">
        <v>317</v>
      </c>
      <c r="E302" s="4">
        <v>45520</v>
      </c>
      <c r="F302" s="4">
        <v>45523</v>
      </c>
      <c r="G302" s="2">
        <f t="shared" si="4"/>
        <v>3</v>
      </c>
      <c r="H302" s="2">
        <v>55</v>
      </c>
      <c r="I302" t="s">
        <v>78</v>
      </c>
      <c r="J302" t="s">
        <v>9</v>
      </c>
      <c r="K302" s="2">
        <v>41.3</v>
      </c>
      <c r="L302" s="3">
        <v>652.61</v>
      </c>
      <c r="M302" s="3">
        <f>orders_1[[#This Row],[products.Base_Price]]*orders_1[[#This Row],[Quantity]]</f>
        <v>35893.550000000003</v>
      </c>
      <c r="N302" t="s">
        <v>20</v>
      </c>
      <c r="O302" t="s">
        <v>25</v>
      </c>
      <c r="P302" t="s">
        <v>19</v>
      </c>
    </row>
    <row r="303" spans="1:16" x14ac:dyDescent="0.3">
      <c r="A303" s="2">
        <v>10302</v>
      </c>
      <c r="B303" s="2">
        <v>624</v>
      </c>
      <c r="C303" s="2">
        <v>2078</v>
      </c>
      <c r="D303" s="2">
        <v>304</v>
      </c>
      <c r="E303" s="4">
        <v>45460</v>
      </c>
      <c r="F303" s="4">
        <v>45468</v>
      </c>
      <c r="G303" s="2">
        <f t="shared" si="4"/>
        <v>8</v>
      </c>
      <c r="H303" s="2">
        <v>43</v>
      </c>
      <c r="I303" t="s">
        <v>42</v>
      </c>
      <c r="J303" t="s">
        <v>21</v>
      </c>
      <c r="K303" s="2">
        <v>14.85</v>
      </c>
      <c r="L303" s="3">
        <v>517.03</v>
      </c>
      <c r="M303" s="3">
        <f>orders_1[[#This Row],[products.Base_Price]]*orders_1[[#This Row],[Quantity]]</f>
        <v>22232.289999999997</v>
      </c>
      <c r="N303" t="s">
        <v>17</v>
      </c>
      <c r="O303" t="s">
        <v>18</v>
      </c>
      <c r="P303" t="s">
        <v>19</v>
      </c>
    </row>
    <row r="304" spans="1:16" x14ac:dyDescent="0.3">
      <c r="A304" s="2">
        <v>10303</v>
      </c>
      <c r="B304" s="2">
        <v>825</v>
      </c>
      <c r="C304" s="2">
        <v>2085</v>
      </c>
      <c r="D304" s="2">
        <v>309</v>
      </c>
      <c r="E304" s="4">
        <v>45414</v>
      </c>
      <c r="F304" s="4">
        <v>45418</v>
      </c>
      <c r="G304" s="2">
        <f t="shared" si="4"/>
        <v>4</v>
      </c>
      <c r="H304" s="2">
        <v>87</v>
      </c>
      <c r="I304" t="s">
        <v>78</v>
      </c>
      <c r="J304" t="s">
        <v>22</v>
      </c>
      <c r="K304" s="2">
        <v>47.56</v>
      </c>
      <c r="L304" s="3">
        <v>131.63</v>
      </c>
      <c r="M304" s="3">
        <f>orders_1[[#This Row],[products.Base_Price]]*orders_1[[#This Row],[Quantity]]</f>
        <v>11451.81</v>
      </c>
      <c r="N304" t="s">
        <v>24</v>
      </c>
      <c r="O304" t="s">
        <v>25</v>
      </c>
      <c r="P304" t="s">
        <v>16</v>
      </c>
    </row>
    <row r="305" spans="1:16" x14ac:dyDescent="0.3">
      <c r="A305" s="2">
        <v>10304</v>
      </c>
      <c r="B305" s="2">
        <v>741</v>
      </c>
      <c r="C305" s="2">
        <v>2064</v>
      </c>
      <c r="D305" s="2">
        <v>308</v>
      </c>
      <c r="E305" s="4">
        <v>45627</v>
      </c>
      <c r="F305" s="4">
        <v>45628</v>
      </c>
      <c r="G305" s="2">
        <f t="shared" si="4"/>
        <v>1</v>
      </c>
      <c r="H305" s="2">
        <v>14</v>
      </c>
      <c r="I305" t="s">
        <v>39</v>
      </c>
      <c r="J305" t="s">
        <v>21</v>
      </c>
      <c r="K305" s="2">
        <v>15.41</v>
      </c>
      <c r="L305" s="3">
        <v>203.79</v>
      </c>
      <c r="M305" s="3">
        <f>orders_1[[#This Row],[products.Base_Price]]*orders_1[[#This Row],[Quantity]]</f>
        <v>2853.06</v>
      </c>
      <c r="N305" t="s">
        <v>23</v>
      </c>
      <c r="O305" t="s">
        <v>14</v>
      </c>
      <c r="P305" t="s">
        <v>19</v>
      </c>
    </row>
    <row r="306" spans="1:16" x14ac:dyDescent="0.3">
      <c r="A306" s="2">
        <v>10305</v>
      </c>
      <c r="B306" s="2">
        <v>558</v>
      </c>
      <c r="C306" s="2">
        <v>2049</v>
      </c>
      <c r="D306" s="2">
        <v>313</v>
      </c>
      <c r="E306" s="4">
        <v>45606</v>
      </c>
      <c r="F306" s="4">
        <v>45610</v>
      </c>
      <c r="G306" s="2">
        <f t="shared" si="4"/>
        <v>4</v>
      </c>
      <c r="H306" s="2">
        <v>39</v>
      </c>
      <c r="I306" t="s">
        <v>36</v>
      </c>
      <c r="J306" t="s">
        <v>27</v>
      </c>
      <c r="K306" s="2">
        <v>17.52</v>
      </c>
      <c r="L306" s="3">
        <v>832.77</v>
      </c>
      <c r="M306" s="3">
        <f>orders_1[[#This Row],[products.Base_Price]]*orders_1[[#This Row],[Quantity]]</f>
        <v>32478.03</v>
      </c>
      <c r="N306" t="s">
        <v>15</v>
      </c>
      <c r="O306" t="s">
        <v>25</v>
      </c>
      <c r="P306" t="s">
        <v>16</v>
      </c>
    </row>
    <row r="307" spans="1:16" x14ac:dyDescent="0.3">
      <c r="A307" s="2">
        <v>10306</v>
      </c>
      <c r="B307" s="2">
        <v>890</v>
      </c>
      <c r="C307" s="2">
        <v>2013</v>
      </c>
      <c r="D307" s="2">
        <v>303</v>
      </c>
      <c r="E307" s="4">
        <v>45336</v>
      </c>
      <c r="F307" s="4">
        <v>45342</v>
      </c>
      <c r="G307" s="2">
        <f t="shared" si="4"/>
        <v>6</v>
      </c>
      <c r="H307" s="2">
        <v>36</v>
      </c>
      <c r="I307" t="s">
        <v>39</v>
      </c>
      <c r="J307" t="s">
        <v>13</v>
      </c>
      <c r="K307" s="2">
        <v>19.53</v>
      </c>
      <c r="L307" s="3">
        <v>563.69000000000005</v>
      </c>
      <c r="M307" s="3">
        <f>orders_1[[#This Row],[products.Base_Price]]*orders_1[[#This Row],[Quantity]]</f>
        <v>20292.840000000004</v>
      </c>
      <c r="N307" t="s">
        <v>15</v>
      </c>
      <c r="O307" t="s">
        <v>10</v>
      </c>
      <c r="P307" t="s">
        <v>16</v>
      </c>
    </row>
    <row r="308" spans="1:16" x14ac:dyDescent="0.3">
      <c r="A308" s="2">
        <v>10307</v>
      </c>
      <c r="B308" s="2">
        <v>585</v>
      </c>
      <c r="C308" s="2">
        <v>2023</v>
      </c>
      <c r="D308" s="2">
        <v>306</v>
      </c>
      <c r="E308" s="4">
        <v>45360</v>
      </c>
      <c r="F308" s="4">
        <v>45367</v>
      </c>
      <c r="G308" s="2">
        <f t="shared" si="4"/>
        <v>7</v>
      </c>
      <c r="H308" s="2">
        <v>59</v>
      </c>
      <c r="I308" t="s">
        <v>78</v>
      </c>
      <c r="J308" t="s">
        <v>13</v>
      </c>
      <c r="K308" s="2">
        <v>39.520000000000003</v>
      </c>
      <c r="L308" s="3">
        <v>618.29999999999995</v>
      </c>
      <c r="M308" s="3">
        <f>orders_1[[#This Row],[products.Base_Price]]*orders_1[[#This Row],[Quantity]]</f>
        <v>36479.699999999997</v>
      </c>
      <c r="N308" t="s">
        <v>8</v>
      </c>
      <c r="O308" t="s">
        <v>10</v>
      </c>
      <c r="P308" t="s">
        <v>16</v>
      </c>
    </row>
    <row r="309" spans="1:16" x14ac:dyDescent="0.3">
      <c r="A309" s="2">
        <v>10308</v>
      </c>
      <c r="B309" s="2">
        <v>595</v>
      </c>
      <c r="C309" s="2">
        <v>2012</v>
      </c>
      <c r="D309" s="2">
        <v>302</v>
      </c>
      <c r="E309" s="4">
        <v>45350</v>
      </c>
      <c r="F309" s="4">
        <v>45351</v>
      </c>
      <c r="G309" s="2">
        <f t="shared" si="4"/>
        <v>1</v>
      </c>
      <c r="H309" s="2">
        <v>71</v>
      </c>
      <c r="I309" t="s">
        <v>39</v>
      </c>
      <c r="J309" t="s">
        <v>21</v>
      </c>
      <c r="K309" s="2">
        <v>34.93</v>
      </c>
      <c r="L309" s="3">
        <v>327.92</v>
      </c>
      <c r="M309" s="3">
        <f>orders_1[[#This Row],[products.Base_Price]]*orders_1[[#This Row],[Quantity]]</f>
        <v>23282.32</v>
      </c>
      <c r="N309" t="s">
        <v>12</v>
      </c>
      <c r="O309" t="s">
        <v>14</v>
      </c>
      <c r="P309" t="s">
        <v>11</v>
      </c>
    </row>
    <row r="310" spans="1:16" x14ac:dyDescent="0.3">
      <c r="A310" s="2">
        <v>10309</v>
      </c>
      <c r="B310" s="2">
        <v>701</v>
      </c>
      <c r="C310" s="2">
        <v>2043</v>
      </c>
      <c r="D310" s="2">
        <v>308</v>
      </c>
      <c r="E310" s="4">
        <v>45585</v>
      </c>
      <c r="F310" s="4">
        <v>45592</v>
      </c>
      <c r="G310" s="2">
        <f t="shared" si="4"/>
        <v>7</v>
      </c>
      <c r="H310" s="2">
        <v>52</v>
      </c>
      <c r="I310" t="s">
        <v>36</v>
      </c>
      <c r="J310" t="s">
        <v>27</v>
      </c>
      <c r="K310" s="2">
        <v>14.98</v>
      </c>
      <c r="L310" s="3">
        <v>375.85</v>
      </c>
      <c r="M310" s="3">
        <f>orders_1[[#This Row],[products.Base_Price]]*orders_1[[#This Row],[Quantity]]</f>
        <v>19544.2</v>
      </c>
      <c r="N310" t="s">
        <v>23</v>
      </c>
      <c r="O310" t="s">
        <v>14</v>
      </c>
      <c r="P310" t="s">
        <v>19</v>
      </c>
    </row>
    <row r="311" spans="1:16" x14ac:dyDescent="0.3">
      <c r="A311" s="2">
        <v>10310</v>
      </c>
      <c r="B311" s="2">
        <v>618</v>
      </c>
      <c r="C311" s="2">
        <v>2045</v>
      </c>
      <c r="D311" s="2">
        <v>316</v>
      </c>
      <c r="E311" s="4">
        <v>45645</v>
      </c>
      <c r="F311" s="4">
        <v>45651</v>
      </c>
      <c r="G311" s="2">
        <f t="shared" si="4"/>
        <v>6</v>
      </c>
      <c r="H311" s="2">
        <v>45</v>
      </c>
      <c r="I311" t="s">
        <v>78</v>
      </c>
      <c r="J311" t="s">
        <v>9</v>
      </c>
      <c r="K311" s="2">
        <v>41.3</v>
      </c>
      <c r="L311" s="3">
        <v>652.61</v>
      </c>
      <c r="M311" s="3">
        <f>orders_1[[#This Row],[products.Base_Price]]*orders_1[[#This Row],[Quantity]]</f>
        <v>29367.45</v>
      </c>
      <c r="N311" t="s">
        <v>24</v>
      </c>
      <c r="O311" t="s">
        <v>25</v>
      </c>
      <c r="P311" t="s">
        <v>19</v>
      </c>
    </row>
    <row r="312" spans="1:16" x14ac:dyDescent="0.3">
      <c r="A312" s="2">
        <v>10311</v>
      </c>
      <c r="B312" s="2">
        <v>677</v>
      </c>
      <c r="C312" s="2">
        <v>2047</v>
      </c>
      <c r="D312" s="2">
        <v>304</v>
      </c>
      <c r="E312" s="4">
        <v>45451</v>
      </c>
      <c r="F312" s="4">
        <v>45455</v>
      </c>
      <c r="G312" s="2">
        <f t="shared" si="4"/>
        <v>4</v>
      </c>
      <c r="H312" s="2">
        <v>71</v>
      </c>
      <c r="I312" t="s">
        <v>39</v>
      </c>
      <c r="J312" t="s">
        <v>27</v>
      </c>
      <c r="K312" s="2">
        <v>31.72</v>
      </c>
      <c r="L312" s="3">
        <v>210.46</v>
      </c>
      <c r="M312" s="3">
        <f>orders_1[[#This Row],[products.Base_Price]]*orders_1[[#This Row],[Quantity]]</f>
        <v>14942.66</v>
      </c>
      <c r="N312" t="s">
        <v>17</v>
      </c>
      <c r="O312" t="s">
        <v>18</v>
      </c>
      <c r="P312" t="s">
        <v>19</v>
      </c>
    </row>
    <row r="313" spans="1:16" x14ac:dyDescent="0.3">
      <c r="A313" s="2">
        <v>10312</v>
      </c>
      <c r="B313" s="2">
        <v>578</v>
      </c>
      <c r="C313" s="2">
        <v>2028</v>
      </c>
      <c r="D313" s="2">
        <v>308</v>
      </c>
      <c r="E313" s="4">
        <v>45525</v>
      </c>
      <c r="F313" s="4">
        <v>45532</v>
      </c>
      <c r="G313" s="2">
        <f t="shared" si="4"/>
        <v>7</v>
      </c>
      <c r="H313" s="2">
        <v>86</v>
      </c>
      <c r="I313" t="s">
        <v>36</v>
      </c>
      <c r="J313" t="s">
        <v>13</v>
      </c>
      <c r="K313" s="2">
        <v>30.34</v>
      </c>
      <c r="L313" s="3">
        <v>630.65</v>
      </c>
      <c r="M313" s="3">
        <f>orders_1[[#This Row],[products.Base_Price]]*orders_1[[#This Row],[Quantity]]</f>
        <v>54235.9</v>
      </c>
      <c r="N313" t="s">
        <v>23</v>
      </c>
      <c r="O313" t="s">
        <v>14</v>
      </c>
      <c r="P313" t="s">
        <v>19</v>
      </c>
    </row>
    <row r="314" spans="1:16" x14ac:dyDescent="0.3">
      <c r="A314" s="2">
        <v>10313</v>
      </c>
      <c r="B314" s="2">
        <v>801</v>
      </c>
      <c r="C314" s="2">
        <v>2097</v>
      </c>
      <c r="D314" s="2">
        <v>320</v>
      </c>
      <c r="E314" s="4">
        <v>45390</v>
      </c>
      <c r="F314" s="4">
        <v>45400</v>
      </c>
      <c r="G314" s="2">
        <f t="shared" si="4"/>
        <v>10</v>
      </c>
      <c r="H314" s="2">
        <v>23</v>
      </c>
      <c r="I314" t="s">
        <v>39</v>
      </c>
      <c r="J314" t="s">
        <v>27</v>
      </c>
      <c r="K314" s="2">
        <v>30.63</v>
      </c>
      <c r="L314" s="3">
        <v>828.74</v>
      </c>
      <c r="M314" s="3">
        <f>orders_1[[#This Row],[products.Base_Price]]*orders_1[[#This Row],[Quantity]]</f>
        <v>19061.02</v>
      </c>
      <c r="N314" t="s">
        <v>15</v>
      </c>
      <c r="O314" t="s">
        <v>25</v>
      </c>
      <c r="P314" t="s">
        <v>11</v>
      </c>
    </row>
    <row r="315" spans="1:16" x14ac:dyDescent="0.3">
      <c r="A315" s="2">
        <v>10314</v>
      </c>
      <c r="B315" s="2">
        <v>571</v>
      </c>
      <c r="C315" s="2">
        <v>2039</v>
      </c>
      <c r="D315" s="2">
        <v>306</v>
      </c>
      <c r="E315" s="4">
        <v>45356</v>
      </c>
      <c r="F315" s="4">
        <v>45358</v>
      </c>
      <c r="G315" s="2">
        <f t="shared" si="4"/>
        <v>2</v>
      </c>
      <c r="H315" s="2">
        <v>83</v>
      </c>
      <c r="I315" t="s">
        <v>36</v>
      </c>
      <c r="J315" t="s">
        <v>27</v>
      </c>
      <c r="K315" s="2">
        <v>2.69</v>
      </c>
      <c r="L315" s="3">
        <v>350.51</v>
      </c>
      <c r="M315" s="3">
        <f>orders_1[[#This Row],[products.Base_Price]]*orders_1[[#This Row],[Quantity]]</f>
        <v>29092.329999999998</v>
      </c>
      <c r="N315" t="s">
        <v>8</v>
      </c>
      <c r="O315" t="s">
        <v>10</v>
      </c>
      <c r="P315" t="s">
        <v>16</v>
      </c>
    </row>
    <row r="316" spans="1:16" x14ac:dyDescent="0.3">
      <c r="A316" s="2">
        <v>10315</v>
      </c>
      <c r="B316" s="2">
        <v>609</v>
      </c>
      <c r="C316" s="2">
        <v>2010</v>
      </c>
      <c r="D316" s="2">
        <v>313</v>
      </c>
      <c r="E316" s="4">
        <v>45601</v>
      </c>
      <c r="F316" s="4">
        <v>45611</v>
      </c>
      <c r="G316" s="2">
        <f t="shared" si="4"/>
        <v>10</v>
      </c>
      <c r="H316" s="2">
        <v>80</v>
      </c>
      <c r="I316" t="s">
        <v>42</v>
      </c>
      <c r="J316" t="s">
        <v>13</v>
      </c>
      <c r="K316" s="2">
        <v>9.58</v>
      </c>
      <c r="L316" s="3">
        <v>440.93</v>
      </c>
      <c r="M316" s="3">
        <f>orders_1[[#This Row],[products.Base_Price]]*orders_1[[#This Row],[Quantity]]</f>
        <v>35274.400000000001</v>
      </c>
      <c r="N316" t="s">
        <v>15</v>
      </c>
      <c r="O316" t="s">
        <v>25</v>
      </c>
      <c r="P316" t="s">
        <v>16</v>
      </c>
    </row>
    <row r="317" spans="1:16" x14ac:dyDescent="0.3">
      <c r="A317" s="2">
        <v>10316</v>
      </c>
      <c r="B317" s="2">
        <v>781</v>
      </c>
      <c r="C317" s="2">
        <v>2092</v>
      </c>
      <c r="D317" s="2">
        <v>301</v>
      </c>
      <c r="E317" s="4">
        <v>45626</v>
      </c>
      <c r="F317" s="4">
        <v>45633</v>
      </c>
      <c r="G317" s="2">
        <f t="shared" si="4"/>
        <v>7</v>
      </c>
      <c r="H317" s="2">
        <v>96</v>
      </c>
      <c r="I317" t="s">
        <v>36</v>
      </c>
      <c r="J317" t="s">
        <v>22</v>
      </c>
      <c r="K317" s="2">
        <v>30.97</v>
      </c>
      <c r="L317" s="3">
        <v>521.23</v>
      </c>
      <c r="M317" s="3">
        <f>orders_1[[#This Row],[products.Base_Price]]*orders_1[[#This Row],[Quantity]]</f>
        <v>50038.080000000002</v>
      </c>
      <c r="N317" t="s">
        <v>8</v>
      </c>
      <c r="O317" t="s">
        <v>10</v>
      </c>
      <c r="P317" t="s">
        <v>11</v>
      </c>
    </row>
    <row r="318" spans="1:16" x14ac:dyDescent="0.3">
      <c r="A318" s="2">
        <v>10317</v>
      </c>
      <c r="B318" s="2">
        <v>654</v>
      </c>
      <c r="C318" s="2">
        <v>2088</v>
      </c>
      <c r="D318" s="2">
        <v>308</v>
      </c>
      <c r="E318" s="4">
        <v>45440</v>
      </c>
      <c r="F318" s="4">
        <v>45446</v>
      </c>
      <c r="G318" s="2">
        <f t="shared" si="4"/>
        <v>6</v>
      </c>
      <c r="H318" s="2">
        <v>46</v>
      </c>
      <c r="I318" t="s">
        <v>36</v>
      </c>
      <c r="J318" t="s">
        <v>13</v>
      </c>
      <c r="K318" s="2">
        <v>27.71</v>
      </c>
      <c r="L318" s="3">
        <v>820.21</v>
      </c>
      <c r="M318" s="3">
        <f>orders_1[[#This Row],[products.Base_Price]]*orders_1[[#This Row],[Quantity]]</f>
        <v>37729.660000000003</v>
      </c>
      <c r="N318" t="s">
        <v>23</v>
      </c>
      <c r="O318" t="s">
        <v>14</v>
      </c>
      <c r="P318" t="s">
        <v>19</v>
      </c>
    </row>
    <row r="319" spans="1:16" x14ac:dyDescent="0.3">
      <c r="A319" s="2">
        <v>10318</v>
      </c>
      <c r="B319" s="2">
        <v>851</v>
      </c>
      <c r="C319" s="2">
        <v>2090</v>
      </c>
      <c r="D319" s="2">
        <v>311</v>
      </c>
      <c r="E319" s="4">
        <v>45436</v>
      </c>
      <c r="F319" s="4">
        <v>45445</v>
      </c>
      <c r="G319" s="2">
        <f t="shared" si="4"/>
        <v>9</v>
      </c>
      <c r="H319" s="2">
        <v>31</v>
      </c>
      <c r="I319" t="s">
        <v>36</v>
      </c>
      <c r="J319" t="s">
        <v>22</v>
      </c>
      <c r="K319" s="2">
        <v>38.729999999999997</v>
      </c>
      <c r="L319" s="3">
        <v>913.68</v>
      </c>
      <c r="M319" s="3">
        <f>orders_1[[#This Row],[products.Base_Price]]*orders_1[[#This Row],[Quantity]]</f>
        <v>28324.079999999998</v>
      </c>
      <c r="N319" t="s">
        <v>26</v>
      </c>
      <c r="O319" t="s">
        <v>10</v>
      </c>
      <c r="P319" t="s">
        <v>11</v>
      </c>
    </row>
    <row r="320" spans="1:16" x14ac:dyDescent="0.3">
      <c r="A320" s="2">
        <v>10319</v>
      </c>
      <c r="B320" s="2">
        <v>746</v>
      </c>
      <c r="C320" s="2">
        <v>2042</v>
      </c>
      <c r="D320" s="2">
        <v>315</v>
      </c>
      <c r="E320" s="4">
        <v>45395</v>
      </c>
      <c r="F320" s="4">
        <v>45402</v>
      </c>
      <c r="G320" s="2">
        <f t="shared" si="4"/>
        <v>7</v>
      </c>
      <c r="H320" s="2">
        <v>35</v>
      </c>
      <c r="I320" t="s">
        <v>39</v>
      </c>
      <c r="J320" t="s">
        <v>27</v>
      </c>
      <c r="K320" s="2">
        <v>46.87</v>
      </c>
      <c r="L320" s="3">
        <v>313.88</v>
      </c>
      <c r="M320" s="3">
        <f>orders_1[[#This Row],[products.Base_Price]]*orders_1[[#This Row],[Quantity]]</f>
        <v>10985.8</v>
      </c>
      <c r="N320" t="s">
        <v>15</v>
      </c>
      <c r="O320" t="s">
        <v>25</v>
      </c>
      <c r="P320" t="s">
        <v>19</v>
      </c>
    </row>
    <row r="321" spans="1:16" x14ac:dyDescent="0.3">
      <c r="A321" s="2">
        <v>10320</v>
      </c>
      <c r="B321" s="2">
        <v>832</v>
      </c>
      <c r="C321" s="2">
        <v>2016</v>
      </c>
      <c r="D321" s="2">
        <v>304</v>
      </c>
      <c r="E321" s="4">
        <v>45565</v>
      </c>
      <c r="F321" s="4">
        <v>45572</v>
      </c>
      <c r="G321" s="2">
        <f t="shared" si="4"/>
        <v>7</v>
      </c>
      <c r="H321" s="2">
        <v>3</v>
      </c>
      <c r="I321" t="s">
        <v>39</v>
      </c>
      <c r="J321" t="s">
        <v>13</v>
      </c>
      <c r="K321" s="2">
        <v>12.52</v>
      </c>
      <c r="L321" s="3">
        <v>709.8</v>
      </c>
      <c r="M321" s="3">
        <f>orders_1[[#This Row],[products.Base_Price]]*orders_1[[#This Row],[Quantity]]</f>
        <v>2129.3999999999996</v>
      </c>
      <c r="N321" t="s">
        <v>17</v>
      </c>
      <c r="O321" t="s">
        <v>18</v>
      </c>
      <c r="P321" t="s">
        <v>19</v>
      </c>
    </row>
    <row r="322" spans="1:16" x14ac:dyDescent="0.3">
      <c r="A322" s="2">
        <v>10321</v>
      </c>
      <c r="B322" s="2">
        <v>882</v>
      </c>
      <c r="C322" s="2">
        <v>2056</v>
      </c>
      <c r="D322" s="2">
        <v>319</v>
      </c>
      <c r="E322" s="4">
        <v>45458</v>
      </c>
      <c r="F322" s="4">
        <v>45461</v>
      </c>
      <c r="G322" s="2">
        <f t="shared" ref="G322:G385" si="5">F322-E322</f>
        <v>3</v>
      </c>
      <c r="H322" s="2">
        <v>74</v>
      </c>
      <c r="I322" t="s">
        <v>36</v>
      </c>
      <c r="J322" t="s">
        <v>9</v>
      </c>
      <c r="K322" s="2">
        <v>18.559999999999999</v>
      </c>
      <c r="L322" s="3">
        <v>564.01</v>
      </c>
      <c r="M322" s="3">
        <f>orders_1[[#This Row],[products.Base_Price]]*orders_1[[#This Row],[Quantity]]</f>
        <v>41736.74</v>
      </c>
      <c r="N322" t="s">
        <v>20</v>
      </c>
      <c r="O322" t="s">
        <v>18</v>
      </c>
      <c r="P322" t="s">
        <v>11</v>
      </c>
    </row>
    <row r="323" spans="1:16" x14ac:dyDescent="0.3">
      <c r="A323" s="2">
        <v>10322</v>
      </c>
      <c r="B323" s="2">
        <v>716</v>
      </c>
      <c r="C323" s="2">
        <v>2089</v>
      </c>
      <c r="D323" s="2">
        <v>316</v>
      </c>
      <c r="E323" s="4">
        <v>45602</v>
      </c>
      <c r="F323" s="4">
        <v>45603</v>
      </c>
      <c r="G323" s="2">
        <f t="shared" si="5"/>
        <v>1</v>
      </c>
      <c r="H323" s="2">
        <v>23</v>
      </c>
      <c r="I323" t="s">
        <v>36</v>
      </c>
      <c r="J323" t="s">
        <v>22</v>
      </c>
      <c r="K323" s="2">
        <v>19.170000000000002</v>
      </c>
      <c r="L323" s="3">
        <v>513.33000000000004</v>
      </c>
      <c r="M323" s="3">
        <f>orders_1[[#This Row],[products.Base_Price]]*orders_1[[#This Row],[Quantity]]</f>
        <v>11806.59</v>
      </c>
      <c r="N323" t="s">
        <v>24</v>
      </c>
      <c r="O323" t="s">
        <v>25</v>
      </c>
      <c r="P323" t="s">
        <v>19</v>
      </c>
    </row>
    <row r="324" spans="1:16" x14ac:dyDescent="0.3">
      <c r="A324" s="2">
        <v>10323</v>
      </c>
      <c r="B324" s="2">
        <v>884</v>
      </c>
      <c r="C324" s="2">
        <v>2087</v>
      </c>
      <c r="D324" s="2">
        <v>308</v>
      </c>
      <c r="E324" s="4">
        <v>45430</v>
      </c>
      <c r="F324" s="4">
        <v>45440</v>
      </c>
      <c r="G324" s="2">
        <f t="shared" si="5"/>
        <v>10</v>
      </c>
      <c r="H324" s="2">
        <v>63</v>
      </c>
      <c r="I324" t="s">
        <v>39</v>
      </c>
      <c r="J324" t="s">
        <v>9</v>
      </c>
      <c r="K324" s="2">
        <v>35.82</v>
      </c>
      <c r="L324" s="3">
        <v>47.38</v>
      </c>
      <c r="M324" s="3">
        <f>orders_1[[#This Row],[products.Base_Price]]*orders_1[[#This Row],[Quantity]]</f>
        <v>2984.94</v>
      </c>
      <c r="N324" t="s">
        <v>23</v>
      </c>
      <c r="O324" t="s">
        <v>14</v>
      </c>
      <c r="P324" t="s">
        <v>19</v>
      </c>
    </row>
    <row r="325" spans="1:16" x14ac:dyDescent="0.3">
      <c r="A325" s="2">
        <v>10324</v>
      </c>
      <c r="B325" s="2">
        <v>772</v>
      </c>
      <c r="C325" s="2">
        <v>2092</v>
      </c>
      <c r="D325" s="2">
        <v>314</v>
      </c>
      <c r="E325" s="4">
        <v>45362</v>
      </c>
      <c r="F325" s="4">
        <v>45363</v>
      </c>
      <c r="G325" s="2">
        <f t="shared" si="5"/>
        <v>1</v>
      </c>
      <c r="H325" s="2">
        <v>55</v>
      </c>
      <c r="I325" t="s">
        <v>42</v>
      </c>
      <c r="J325" t="s">
        <v>22</v>
      </c>
      <c r="K325" s="2">
        <v>30.97</v>
      </c>
      <c r="L325" s="3">
        <v>521.23</v>
      </c>
      <c r="M325" s="3">
        <f>orders_1[[#This Row],[products.Base_Price]]*orders_1[[#This Row],[Quantity]]</f>
        <v>28667.65</v>
      </c>
      <c r="N325" t="s">
        <v>17</v>
      </c>
      <c r="O325" t="s">
        <v>14</v>
      </c>
      <c r="P325" t="s">
        <v>19</v>
      </c>
    </row>
    <row r="326" spans="1:16" x14ac:dyDescent="0.3">
      <c r="A326" s="2">
        <v>10325</v>
      </c>
      <c r="B326" s="2">
        <v>693</v>
      </c>
      <c r="C326" s="2">
        <v>2062</v>
      </c>
      <c r="D326" s="2">
        <v>311</v>
      </c>
      <c r="E326" s="4">
        <v>45542</v>
      </c>
      <c r="F326" s="4">
        <v>45547</v>
      </c>
      <c r="G326" s="2">
        <f t="shared" si="5"/>
        <v>5</v>
      </c>
      <c r="H326" s="2">
        <v>58</v>
      </c>
      <c r="I326" t="s">
        <v>42</v>
      </c>
      <c r="J326" t="s">
        <v>9</v>
      </c>
      <c r="K326" s="2">
        <v>32.479999999999997</v>
      </c>
      <c r="L326" s="3">
        <v>409.49</v>
      </c>
      <c r="M326" s="3">
        <f>orders_1[[#This Row],[products.Base_Price]]*orders_1[[#This Row],[Quantity]]</f>
        <v>23750.420000000002</v>
      </c>
      <c r="N326" t="s">
        <v>26</v>
      </c>
      <c r="O326" t="s">
        <v>10</v>
      </c>
      <c r="P326" t="s">
        <v>11</v>
      </c>
    </row>
    <row r="327" spans="1:16" x14ac:dyDescent="0.3">
      <c r="A327" s="2">
        <v>10326</v>
      </c>
      <c r="B327" s="2">
        <v>591</v>
      </c>
      <c r="C327" s="2">
        <v>2033</v>
      </c>
      <c r="D327" s="2">
        <v>303</v>
      </c>
      <c r="E327" s="4">
        <v>45598</v>
      </c>
      <c r="F327" s="4">
        <v>45604</v>
      </c>
      <c r="G327" s="2">
        <f t="shared" si="5"/>
        <v>6</v>
      </c>
      <c r="H327" s="2">
        <v>79</v>
      </c>
      <c r="I327" t="s">
        <v>39</v>
      </c>
      <c r="J327" t="s">
        <v>22</v>
      </c>
      <c r="K327" s="2">
        <v>8.33</v>
      </c>
      <c r="L327" s="3">
        <v>629.69000000000005</v>
      </c>
      <c r="M327" s="3">
        <f>orders_1[[#This Row],[products.Base_Price]]*orders_1[[#This Row],[Quantity]]</f>
        <v>49745.51</v>
      </c>
      <c r="N327" t="s">
        <v>15</v>
      </c>
      <c r="O327" t="s">
        <v>10</v>
      </c>
      <c r="P327" t="s">
        <v>16</v>
      </c>
    </row>
    <row r="328" spans="1:16" x14ac:dyDescent="0.3">
      <c r="A328" s="2">
        <v>10327</v>
      </c>
      <c r="B328" s="2">
        <v>736</v>
      </c>
      <c r="C328" s="2">
        <v>2053</v>
      </c>
      <c r="D328" s="2">
        <v>308</v>
      </c>
      <c r="E328" s="4">
        <v>45469</v>
      </c>
      <c r="F328" s="4">
        <v>45472</v>
      </c>
      <c r="G328" s="2">
        <f t="shared" si="5"/>
        <v>3</v>
      </c>
      <c r="H328" s="2">
        <v>85</v>
      </c>
      <c r="I328" t="s">
        <v>36</v>
      </c>
      <c r="J328" t="s">
        <v>22</v>
      </c>
      <c r="K328" s="2">
        <v>34.54</v>
      </c>
      <c r="L328" s="3">
        <v>162.21</v>
      </c>
      <c r="M328" s="3">
        <f>orders_1[[#This Row],[products.Base_Price]]*orders_1[[#This Row],[Quantity]]</f>
        <v>13787.85</v>
      </c>
      <c r="N328" t="s">
        <v>23</v>
      </c>
      <c r="O328" t="s">
        <v>14</v>
      </c>
      <c r="P328" t="s">
        <v>19</v>
      </c>
    </row>
    <row r="329" spans="1:16" x14ac:dyDescent="0.3">
      <c r="A329" s="2">
        <v>10328</v>
      </c>
      <c r="B329" s="2">
        <v>722</v>
      </c>
      <c r="C329" s="2">
        <v>2082</v>
      </c>
      <c r="D329" s="2">
        <v>309</v>
      </c>
      <c r="E329" s="4">
        <v>45503</v>
      </c>
      <c r="F329" s="4">
        <v>45509</v>
      </c>
      <c r="G329" s="2">
        <f t="shared" si="5"/>
        <v>6</v>
      </c>
      <c r="H329" s="2">
        <v>7</v>
      </c>
      <c r="I329" t="s">
        <v>42</v>
      </c>
      <c r="J329" t="s">
        <v>22</v>
      </c>
      <c r="K329" s="2">
        <v>41.79</v>
      </c>
      <c r="L329" s="3">
        <v>352.17</v>
      </c>
      <c r="M329" s="3">
        <f>orders_1[[#This Row],[products.Base_Price]]*orders_1[[#This Row],[Quantity]]</f>
        <v>2465.19</v>
      </c>
      <c r="N329" t="s">
        <v>24</v>
      </c>
      <c r="O329" t="s">
        <v>25</v>
      </c>
      <c r="P329" t="s">
        <v>16</v>
      </c>
    </row>
    <row r="330" spans="1:16" x14ac:dyDescent="0.3">
      <c r="A330" s="2">
        <v>10329</v>
      </c>
      <c r="B330" s="2">
        <v>776</v>
      </c>
      <c r="C330" s="2">
        <v>2062</v>
      </c>
      <c r="D330" s="2">
        <v>309</v>
      </c>
      <c r="E330" s="4">
        <v>45460</v>
      </c>
      <c r="F330" s="4">
        <v>45462</v>
      </c>
      <c r="G330" s="2">
        <f t="shared" si="5"/>
        <v>2</v>
      </c>
      <c r="H330" s="2">
        <v>9</v>
      </c>
      <c r="I330" t="s">
        <v>39</v>
      </c>
      <c r="J330" t="s">
        <v>9</v>
      </c>
      <c r="K330" s="2">
        <v>32.479999999999997</v>
      </c>
      <c r="L330" s="3">
        <v>409.49</v>
      </c>
      <c r="M330" s="3">
        <f>orders_1[[#This Row],[products.Base_Price]]*orders_1[[#This Row],[Quantity]]</f>
        <v>3685.41</v>
      </c>
      <c r="N330" t="s">
        <v>24</v>
      </c>
      <c r="O330" t="s">
        <v>25</v>
      </c>
      <c r="P330" t="s">
        <v>16</v>
      </c>
    </row>
    <row r="331" spans="1:16" x14ac:dyDescent="0.3">
      <c r="A331" s="2">
        <v>10330</v>
      </c>
      <c r="B331" s="2">
        <v>576</v>
      </c>
      <c r="C331" s="2">
        <v>2098</v>
      </c>
      <c r="D331" s="2">
        <v>320</v>
      </c>
      <c r="E331" s="4">
        <v>45512</v>
      </c>
      <c r="F331" s="4">
        <v>45517</v>
      </c>
      <c r="G331" s="2">
        <f t="shared" si="5"/>
        <v>5</v>
      </c>
      <c r="H331" s="2">
        <v>15</v>
      </c>
      <c r="I331" t="s">
        <v>36</v>
      </c>
      <c r="J331" t="s">
        <v>13</v>
      </c>
      <c r="K331" s="2">
        <v>25.35</v>
      </c>
      <c r="L331" s="3">
        <v>571.58000000000004</v>
      </c>
      <c r="M331" s="3">
        <f>orders_1[[#This Row],[products.Base_Price]]*orders_1[[#This Row],[Quantity]]</f>
        <v>8573.7000000000007</v>
      </c>
      <c r="N331" t="s">
        <v>15</v>
      </c>
      <c r="O331" t="s">
        <v>25</v>
      </c>
      <c r="P331" t="s">
        <v>11</v>
      </c>
    </row>
    <row r="332" spans="1:16" x14ac:dyDescent="0.3">
      <c r="A332" s="2">
        <v>10331</v>
      </c>
      <c r="B332" s="2">
        <v>684</v>
      </c>
      <c r="C332" s="2">
        <v>2044</v>
      </c>
      <c r="D332" s="2">
        <v>302</v>
      </c>
      <c r="E332" s="4">
        <v>45540</v>
      </c>
      <c r="F332" s="4">
        <v>45542</v>
      </c>
      <c r="G332" s="2">
        <f t="shared" si="5"/>
        <v>2</v>
      </c>
      <c r="H332" s="2">
        <v>59</v>
      </c>
      <c r="I332" t="s">
        <v>36</v>
      </c>
      <c r="J332" t="s">
        <v>21</v>
      </c>
      <c r="K332" s="2">
        <v>11.44</v>
      </c>
      <c r="L332" s="3">
        <v>939.99</v>
      </c>
      <c r="M332" s="3">
        <f>orders_1[[#This Row],[products.Base_Price]]*orders_1[[#This Row],[Quantity]]</f>
        <v>55459.41</v>
      </c>
      <c r="N332" t="s">
        <v>12</v>
      </c>
      <c r="O332" t="s">
        <v>14</v>
      </c>
      <c r="P332" t="s">
        <v>11</v>
      </c>
    </row>
    <row r="333" spans="1:16" x14ac:dyDescent="0.3">
      <c r="A333" s="2">
        <v>10332</v>
      </c>
      <c r="B333" s="2">
        <v>720</v>
      </c>
      <c r="C333" s="2">
        <v>2001</v>
      </c>
      <c r="D333" s="2">
        <v>303</v>
      </c>
      <c r="E333" s="4">
        <v>45394</v>
      </c>
      <c r="F333" s="4">
        <v>45402</v>
      </c>
      <c r="G333" s="2">
        <f t="shared" si="5"/>
        <v>8</v>
      </c>
      <c r="H333" s="2">
        <v>42</v>
      </c>
      <c r="I333" t="s">
        <v>42</v>
      </c>
      <c r="J333" t="s">
        <v>9</v>
      </c>
      <c r="K333" s="2">
        <v>49.85</v>
      </c>
      <c r="L333" s="3">
        <v>471.41</v>
      </c>
      <c r="M333" s="3">
        <f>orders_1[[#This Row],[products.Base_Price]]*orders_1[[#This Row],[Quantity]]</f>
        <v>19799.22</v>
      </c>
      <c r="N333" t="s">
        <v>15</v>
      </c>
      <c r="O333" t="s">
        <v>10</v>
      </c>
      <c r="P333" t="s">
        <v>16</v>
      </c>
    </row>
    <row r="334" spans="1:16" x14ac:dyDescent="0.3">
      <c r="A334" s="2">
        <v>10333</v>
      </c>
      <c r="B334" s="2">
        <v>813</v>
      </c>
      <c r="C334" s="2">
        <v>2032</v>
      </c>
      <c r="D334" s="2">
        <v>320</v>
      </c>
      <c r="E334" s="4">
        <v>45602</v>
      </c>
      <c r="F334" s="4">
        <v>45605</v>
      </c>
      <c r="G334" s="2">
        <f t="shared" si="5"/>
        <v>3</v>
      </c>
      <c r="H334" s="2">
        <v>62</v>
      </c>
      <c r="I334" t="s">
        <v>78</v>
      </c>
      <c r="J334" t="s">
        <v>9</v>
      </c>
      <c r="K334" s="2">
        <v>3.81</v>
      </c>
      <c r="L334" s="3">
        <v>682.41</v>
      </c>
      <c r="M334" s="3">
        <f>orders_1[[#This Row],[products.Base_Price]]*orders_1[[#This Row],[Quantity]]</f>
        <v>42309.42</v>
      </c>
      <c r="N334" t="s">
        <v>15</v>
      </c>
      <c r="O334" t="s">
        <v>25</v>
      </c>
      <c r="P334" t="s">
        <v>11</v>
      </c>
    </row>
    <row r="335" spans="1:16" x14ac:dyDescent="0.3">
      <c r="A335" s="2">
        <v>10334</v>
      </c>
      <c r="B335" s="2">
        <v>744</v>
      </c>
      <c r="C335" s="2">
        <v>2001</v>
      </c>
      <c r="D335" s="2">
        <v>320</v>
      </c>
      <c r="E335" s="4">
        <v>45588</v>
      </c>
      <c r="F335" s="4">
        <v>45592</v>
      </c>
      <c r="G335" s="2">
        <f t="shared" si="5"/>
        <v>4</v>
      </c>
      <c r="H335" s="2">
        <v>8</v>
      </c>
      <c r="I335" t="s">
        <v>78</v>
      </c>
      <c r="J335" t="s">
        <v>9</v>
      </c>
      <c r="K335" s="2">
        <v>49.85</v>
      </c>
      <c r="L335" s="3">
        <v>471.41</v>
      </c>
      <c r="M335" s="3">
        <f>orders_1[[#This Row],[products.Base_Price]]*orders_1[[#This Row],[Quantity]]</f>
        <v>3771.28</v>
      </c>
      <c r="N335" t="s">
        <v>15</v>
      </c>
      <c r="O335" t="s">
        <v>25</v>
      </c>
      <c r="P335" t="s">
        <v>11</v>
      </c>
    </row>
    <row r="336" spans="1:16" x14ac:dyDescent="0.3">
      <c r="A336" s="2">
        <v>10335</v>
      </c>
      <c r="B336" s="2">
        <v>605</v>
      </c>
      <c r="C336" s="2">
        <v>2037</v>
      </c>
      <c r="D336" s="2">
        <v>308</v>
      </c>
      <c r="E336" s="4">
        <v>45352</v>
      </c>
      <c r="F336" s="4">
        <v>45360</v>
      </c>
      <c r="G336" s="2">
        <f t="shared" si="5"/>
        <v>8</v>
      </c>
      <c r="H336" s="2">
        <v>55</v>
      </c>
      <c r="I336" t="s">
        <v>39</v>
      </c>
      <c r="J336" t="s">
        <v>21</v>
      </c>
      <c r="K336" s="2">
        <v>29.23</v>
      </c>
      <c r="L336" s="3">
        <v>491.44</v>
      </c>
      <c r="M336" s="3">
        <f>orders_1[[#This Row],[products.Base_Price]]*orders_1[[#This Row],[Quantity]]</f>
        <v>27029.200000000001</v>
      </c>
      <c r="N336" t="s">
        <v>23</v>
      </c>
      <c r="O336" t="s">
        <v>14</v>
      </c>
      <c r="P336" t="s">
        <v>19</v>
      </c>
    </row>
    <row r="337" spans="1:16" x14ac:dyDescent="0.3">
      <c r="A337" s="2">
        <v>10336</v>
      </c>
      <c r="B337" s="2">
        <v>670</v>
      </c>
      <c r="C337" s="2">
        <v>2092</v>
      </c>
      <c r="D337" s="2">
        <v>306</v>
      </c>
      <c r="E337" s="4">
        <v>45437</v>
      </c>
      <c r="F337" s="4">
        <v>45445</v>
      </c>
      <c r="G337" s="2">
        <f t="shared" si="5"/>
        <v>8</v>
      </c>
      <c r="H337" s="2">
        <v>78</v>
      </c>
      <c r="I337" t="s">
        <v>42</v>
      </c>
      <c r="J337" t="s">
        <v>22</v>
      </c>
      <c r="K337" s="2">
        <v>30.97</v>
      </c>
      <c r="L337" s="3">
        <v>521.23</v>
      </c>
      <c r="M337" s="3">
        <f>orders_1[[#This Row],[products.Base_Price]]*orders_1[[#This Row],[Quantity]]</f>
        <v>40655.94</v>
      </c>
      <c r="N337" t="s">
        <v>8</v>
      </c>
      <c r="O337" t="s">
        <v>10</v>
      </c>
      <c r="P337" t="s">
        <v>16</v>
      </c>
    </row>
    <row r="338" spans="1:16" x14ac:dyDescent="0.3">
      <c r="A338" s="2">
        <v>10337</v>
      </c>
      <c r="B338" s="2">
        <v>767</v>
      </c>
      <c r="C338" s="2">
        <v>2088</v>
      </c>
      <c r="D338" s="2">
        <v>320</v>
      </c>
      <c r="E338" s="4">
        <v>45416</v>
      </c>
      <c r="F338" s="4">
        <v>45422</v>
      </c>
      <c r="G338" s="2">
        <f t="shared" si="5"/>
        <v>6</v>
      </c>
      <c r="H338" s="2">
        <v>82</v>
      </c>
      <c r="I338" t="s">
        <v>42</v>
      </c>
      <c r="J338" t="s">
        <v>13</v>
      </c>
      <c r="K338" s="2">
        <v>27.71</v>
      </c>
      <c r="L338" s="3">
        <v>820.21</v>
      </c>
      <c r="M338" s="3">
        <f>orders_1[[#This Row],[products.Base_Price]]*orders_1[[#This Row],[Quantity]]</f>
        <v>67257.22</v>
      </c>
      <c r="N338" t="s">
        <v>15</v>
      </c>
      <c r="O338" t="s">
        <v>25</v>
      </c>
      <c r="P338" t="s">
        <v>11</v>
      </c>
    </row>
    <row r="339" spans="1:16" x14ac:dyDescent="0.3">
      <c r="A339" s="2">
        <v>10338</v>
      </c>
      <c r="B339" s="2">
        <v>726</v>
      </c>
      <c r="C339" s="2">
        <v>2044</v>
      </c>
      <c r="D339" s="2">
        <v>309</v>
      </c>
      <c r="E339" s="4">
        <v>45327</v>
      </c>
      <c r="F339" s="4">
        <v>45337</v>
      </c>
      <c r="G339" s="2">
        <f t="shared" si="5"/>
        <v>10</v>
      </c>
      <c r="H339" s="2">
        <v>49</v>
      </c>
      <c r="I339" t="s">
        <v>42</v>
      </c>
      <c r="J339" t="s">
        <v>21</v>
      </c>
      <c r="K339" s="2">
        <v>11.44</v>
      </c>
      <c r="L339" s="3">
        <v>939.99</v>
      </c>
      <c r="M339" s="3">
        <f>orders_1[[#This Row],[products.Base_Price]]*orders_1[[#This Row],[Quantity]]</f>
        <v>46059.51</v>
      </c>
      <c r="N339" t="s">
        <v>24</v>
      </c>
      <c r="O339" t="s">
        <v>25</v>
      </c>
      <c r="P339" t="s">
        <v>16</v>
      </c>
    </row>
    <row r="340" spans="1:16" x14ac:dyDescent="0.3">
      <c r="A340" s="2">
        <v>10339</v>
      </c>
      <c r="B340" s="2">
        <v>531</v>
      </c>
      <c r="C340" s="2">
        <v>2063</v>
      </c>
      <c r="D340" s="2">
        <v>314</v>
      </c>
      <c r="E340" s="4">
        <v>45535</v>
      </c>
      <c r="F340" s="4">
        <v>45542</v>
      </c>
      <c r="G340" s="2">
        <f t="shared" si="5"/>
        <v>7</v>
      </c>
      <c r="H340" s="2">
        <v>98</v>
      </c>
      <c r="I340" t="s">
        <v>42</v>
      </c>
      <c r="J340" t="s">
        <v>9</v>
      </c>
      <c r="K340" s="2">
        <v>13.23</v>
      </c>
      <c r="L340" s="3">
        <v>151.69999999999999</v>
      </c>
      <c r="M340" s="3">
        <f>orders_1[[#This Row],[products.Base_Price]]*orders_1[[#This Row],[Quantity]]</f>
        <v>14866.599999999999</v>
      </c>
      <c r="N340" t="s">
        <v>17</v>
      </c>
      <c r="O340" t="s">
        <v>14</v>
      </c>
      <c r="P340" t="s">
        <v>19</v>
      </c>
    </row>
    <row r="341" spans="1:16" x14ac:dyDescent="0.3">
      <c r="A341" s="2">
        <v>10340</v>
      </c>
      <c r="B341" s="2">
        <v>671</v>
      </c>
      <c r="C341" s="2">
        <v>2068</v>
      </c>
      <c r="D341" s="2">
        <v>316</v>
      </c>
      <c r="E341" s="4">
        <v>45618</v>
      </c>
      <c r="F341" s="4">
        <v>45619</v>
      </c>
      <c r="G341" s="2">
        <f t="shared" si="5"/>
        <v>1</v>
      </c>
      <c r="H341" s="2">
        <v>43</v>
      </c>
      <c r="I341" t="s">
        <v>39</v>
      </c>
      <c r="J341" t="s">
        <v>27</v>
      </c>
      <c r="K341" s="2">
        <v>47.08</v>
      </c>
      <c r="L341" s="3">
        <v>501.03</v>
      </c>
      <c r="M341" s="3">
        <f>orders_1[[#This Row],[products.Base_Price]]*orders_1[[#This Row],[Quantity]]</f>
        <v>21544.289999999997</v>
      </c>
      <c r="N341" t="s">
        <v>24</v>
      </c>
      <c r="O341" t="s">
        <v>25</v>
      </c>
      <c r="P341" t="s">
        <v>19</v>
      </c>
    </row>
    <row r="342" spans="1:16" x14ac:dyDescent="0.3">
      <c r="A342" s="2">
        <v>10341</v>
      </c>
      <c r="B342" s="2">
        <v>729</v>
      </c>
      <c r="C342" s="2">
        <v>2098</v>
      </c>
      <c r="D342" s="2">
        <v>315</v>
      </c>
      <c r="E342" s="4">
        <v>45458</v>
      </c>
      <c r="F342" s="4">
        <v>45468</v>
      </c>
      <c r="G342" s="2">
        <f t="shared" si="5"/>
        <v>10</v>
      </c>
      <c r="H342" s="2">
        <v>88</v>
      </c>
      <c r="I342" t="s">
        <v>78</v>
      </c>
      <c r="J342" t="s">
        <v>13</v>
      </c>
      <c r="K342" s="2">
        <v>25.35</v>
      </c>
      <c r="L342" s="3">
        <v>571.58000000000004</v>
      </c>
      <c r="M342" s="3">
        <f>orders_1[[#This Row],[products.Base_Price]]*orders_1[[#This Row],[Quantity]]</f>
        <v>50299.040000000001</v>
      </c>
      <c r="N342" t="s">
        <v>15</v>
      </c>
      <c r="O342" t="s">
        <v>25</v>
      </c>
      <c r="P342" t="s">
        <v>19</v>
      </c>
    </row>
    <row r="343" spans="1:16" x14ac:dyDescent="0.3">
      <c r="A343" s="2">
        <v>10342</v>
      </c>
      <c r="B343" s="2">
        <v>644</v>
      </c>
      <c r="C343" s="2">
        <v>2063</v>
      </c>
      <c r="D343" s="2">
        <v>301</v>
      </c>
      <c r="E343" s="4">
        <v>45427</v>
      </c>
      <c r="F343" s="4">
        <v>45429</v>
      </c>
      <c r="G343" s="2">
        <f t="shared" si="5"/>
        <v>2</v>
      </c>
      <c r="H343" s="2">
        <v>59</v>
      </c>
      <c r="I343" t="s">
        <v>39</v>
      </c>
      <c r="J343" t="s">
        <v>9</v>
      </c>
      <c r="K343" s="2">
        <v>13.23</v>
      </c>
      <c r="L343" s="3">
        <v>151.69999999999999</v>
      </c>
      <c r="M343" s="3">
        <f>orders_1[[#This Row],[products.Base_Price]]*orders_1[[#This Row],[Quantity]]</f>
        <v>8950.2999999999993</v>
      </c>
      <c r="N343" t="s">
        <v>8</v>
      </c>
      <c r="O343" t="s">
        <v>10</v>
      </c>
      <c r="P343" t="s">
        <v>11</v>
      </c>
    </row>
    <row r="344" spans="1:16" x14ac:dyDescent="0.3">
      <c r="A344" s="2">
        <v>10343</v>
      </c>
      <c r="B344" s="2">
        <v>612</v>
      </c>
      <c r="C344" s="2">
        <v>2098</v>
      </c>
      <c r="D344" s="2">
        <v>312</v>
      </c>
      <c r="E344" s="4">
        <v>45293</v>
      </c>
      <c r="F344" s="4">
        <v>45300</v>
      </c>
      <c r="G344" s="2">
        <f t="shared" si="5"/>
        <v>7</v>
      </c>
      <c r="H344" s="2">
        <v>85</v>
      </c>
      <c r="I344" t="s">
        <v>39</v>
      </c>
      <c r="J344" t="s">
        <v>13</v>
      </c>
      <c r="K344" s="2">
        <v>25.35</v>
      </c>
      <c r="L344" s="3">
        <v>571.58000000000004</v>
      </c>
      <c r="M344" s="3">
        <f>orders_1[[#This Row],[products.Base_Price]]*orders_1[[#This Row],[Quantity]]</f>
        <v>48584.3</v>
      </c>
      <c r="N344" t="s">
        <v>15</v>
      </c>
      <c r="O344" t="s">
        <v>10</v>
      </c>
      <c r="P344" t="s">
        <v>11</v>
      </c>
    </row>
    <row r="345" spans="1:16" x14ac:dyDescent="0.3">
      <c r="A345" s="2">
        <v>10344</v>
      </c>
      <c r="B345" s="2">
        <v>661</v>
      </c>
      <c r="C345" s="2">
        <v>2048</v>
      </c>
      <c r="D345" s="2">
        <v>305</v>
      </c>
      <c r="E345" s="4">
        <v>45365</v>
      </c>
      <c r="F345" s="4">
        <v>45366</v>
      </c>
      <c r="G345" s="2">
        <f t="shared" si="5"/>
        <v>1</v>
      </c>
      <c r="H345" s="2">
        <v>63</v>
      </c>
      <c r="I345" t="s">
        <v>78</v>
      </c>
      <c r="J345" t="s">
        <v>22</v>
      </c>
      <c r="K345" s="2">
        <v>6.74</v>
      </c>
      <c r="L345" s="3">
        <v>864.57</v>
      </c>
      <c r="M345" s="3">
        <f>orders_1[[#This Row],[products.Base_Price]]*orders_1[[#This Row],[Quantity]]</f>
        <v>54467.91</v>
      </c>
      <c r="N345" t="s">
        <v>20</v>
      </c>
      <c r="O345" t="s">
        <v>10</v>
      </c>
      <c r="P345" t="s">
        <v>19</v>
      </c>
    </row>
    <row r="346" spans="1:16" x14ac:dyDescent="0.3">
      <c r="A346" s="2">
        <v>10345</v>
      </c>
      <c r="B346" s="2">
        <v>885</v>
      </c>
      <c r="C346" s="2">
        <v>2004</v>
      </c>
      <c r="D346" s="2">
        <v>306</v>
      </c>
      <c r="E346" s="4">
        <v>45389</v>
      </c>
      <c r="F346" s="4">
        <v>45396</v>
      </c>
      <c r="G346" s="2">
        <f t="shared" si="5"/>
        <v>7</v>
      </c>
      <c r="H346" s="2">
        <v>53</v>
      </c>
      <c r="I346" t="s">
        <v>78</v>
      </c>
      <c r="J346" t="s">
        <v>9</v>
      </c>
      <c r="K346" s="2">
        <v>4.34</v>
      </c>
      <c r="L346" s="3">
        <v>52.14</v>
      </c>
      <c r="M346" s="3">
        <f>orders_1[[#This Row],[products.Base_Price]]*orders_1[[#This Row],[Quantity]]</f>
        <v>2763.42</v>
      </c>
      <c r="N346" t="s">
        <v>8</v>
      </c>
      <c r="O346" t="s">
        <v>10</v>
      </c>
      <c r="P346" t="s">
        <v>16</v>
      </c>
    </row>
    <row r="347" spans="1:16" x14ac:dyDescent="0.3">
      <c r="A347" s="2">
        <v>10346</v>
      </c>
      <c r="B347" s="2">
        <v>811</v>
      </c>
      <c r="C347" s="2">
        <v>2037</v>
      </c>
      <c r="D347" s="2">
        <v>320</v>
      </c>
      <c r="E347" s="4">
        <v>45569</v>
      </c>
      <c r="F347" s="4">
        <v>45573</v>
      </c>
      <c r="G347" s="2">
        <f t="shared" si="5"/>
        <v>4</v>
      </c>
      <c r="H347" s="2">
        <v>64</v>
      </c>
      <c r="I347" t="s">
        <v>78</v>
      </c>
      <c r="J347" t="s">
        <v>21</v>
      </c>
      <c r="K347" s="2">
        <v>29.23</v>
      </c>
      <c r="L347" s="3">
        <v>491.44</v>
      </c>
      <c r="M347" s="3">
        <f>orders_1[[#This Row],[products.Base_Price]]*orders_1[[#This Row],[Quantity]]</f>
        <v>31452.16</v>
      </c>
      <c r="N347" t="s">
        <v>15</v>
      </c>
      <c r="O347" t="s">
        <v>25</v>
      </c>
      <c r="P347" t="s">
        <v>11</v>
      </c>
    </row>
    <row r="348" spans="1:16" x14ac:dyDescent="0.3">
      <c r="A348" s="2">
        <v>10347</v>
      </c>
      <c r="B348" s="2">
        <v>521</v>
      </c>
      <c r="C348" s="2">
        <v>2089</v>
      </c>
      <c r="D348" s="2">
        <v>315</v>
      </c>
      <c r="E348" s="4">
        <v>45346</v>
      </c>
      <c r="F348" s="4">
        <v>45347</v>
      </c>
      <c r="G348" s="2">
        <f t="shared" si="5"/>
        <v>1</v>
      </c>
      <c r="H348" s="2">
        <v>37</v>
      </c>
      <c r="I348" t="s">
        <v>36</v>
      </c>
      <c r="J348" t="s">
        <v>22</v>
      </c>
      <c r="K348" s="2">
        <v>19.170000000000002</v>
      </c>
      <c r="L348" s="3">
        <v>513.33000000000004</v>
      </c>
      <c r="M348" s="3">
        <f>orders_1[[#This Row],[products.Base_Price]]*orders_1[[#This Row],[Quantity]]</f>
        <v>18993.210000000003</v>
      </c>
      <c r="N348" t="s">
        <v>15</v>
      </c>
      <c r="O348" t="s">
        <v>25</v>
      </c>
      <c r="P348" t="s">
        <v>19</v>
      </c>
    </row>
    <row r="349" spans="1:16" x14ac:dyDescent="0.3">
      <c r="A349" s="2">
        <v>10348</v>
      </c>
      <c r="B349" s="2">
        <v>646</v>
      </c>
      <c r="C349" s="2">
        <v>2003</v>
      </c>
      <c r="D349" s="2">
        <v>311</v>
      </c>
      <c r="E349" s="4">
        <v>45473</v>
      </c>
      <c r="F349" s="4">
        <v>45476</v>
      </c>
      <c r="G349" s="2">
        <f t="shared" si="5"/>
        <v>3</v>
      </c>
      <c r="H349" s="2">
        <v>70</v>
      </c>
      <c r="I349" t="s">
        <v>36</v>
      </c>
      <c r="J349" t="s">
        <v>13</v>
      </c>
      <c r="K349" s="2">
        <v>39.74</v>
      </c>
      <c r="L349" s="3">
        <v>864.17</v>
      </c>
      <c r="M349" s="3">
        <f>orders_1[[#This Row],[products.Base_Price]]*orders_1[[#This Row],[Quantity]]</f>
        <v>60491.899999999994</v>
      </c>
      <c r="N349" t="s">
        <v>26</v>
      </c>
      <c r="O349" t="s">
        <v>10</v>
      </c>
      <c r="P349" t="s">
        <v>11</v>
      </c>
    </row>
    <row r="350" spans="1:16" x14ac:dyDescent="0.3">
      <c r="A350" s="2">
        <v>10349</v>
      </c>
      <c r="B350" s="2">
        <v>726</v>
      </c>
      <c r="C350" s="2">
        <v>2011</v>
      </c>
      <c r="D350" s="2">
        <v>307</v>
      </c>
      <c r="E350" s="4">
        <v>45313</v>
      </c>
      <c r="F350" s="4">
        <v>45316</v>
      </c>
      <c r="G350" s="2">
        <f t="shared" si="5"/>
        <v>3</v>
      </c>
      <c r="H350" s="2">
        <v>24</v>
      </c>
      <c r="I350" t="s">
        <v>42</v>
      </c>
      <c r="J350" t="s">
        <v>21</v>
      </c>
      <c r="K350" s="2">
        <v>12.75</v>
      </c>
      <c r="L350" s="3">
        <v>987.99</v>
      </c>
      <c r="M350" s="3">
        <f>orders_1[[#This Row],[products.Base_Price]]*orders_1[[#This Row],[Quantity]]</f>
        <v>23711.760000000002</v>
      </c>
      <c r="N350" t="s">
        <v>17</v>
      </c>
      <c r="O350" t="s">
        <v>10</v>
      </c>
      <c r="P350" t="s">
        <v>11</v>
      </c>
    </row>
    <row r="351" spans="1:16" x14ac:dyDescent="0.3">
      <c r="A351" s="2">
        <v>10350</v>
      </c>
      <c r="B351" s="2">
        <v>777</v>
      </c>
      <c r="C351" s="2">
        <v>2037</v>
      </c>
      <c r="D351" s="2">
        <v>312</v>
      </c>
      <c r="E351" s="4">
        <v>45544</v>
      </c>
      <c r="F351" s="4">
        <v>45554</v>
      </c>
      <c r="G351" s="2">
        <f t="shared" si="5"/>
        <v>10</v>
      </c>
      <c r="H351" s="2">
        <v>59</v>
      </c>
      <c r="I351" t="s">
        <v>39</v>
      </c>
      <c r="J351" t="s">
        <v>21</v>
      </c>
      <c r="K351" s="2">
        <v>29.23</v>
      </c>
      <c r="L351" s="3">
        <v>491.44</v>
      </c>
      <c r="M351" s="3">
        <f>orders_1[[#This Row],[products.Base_Price]]*orders_1[[#This Row],[Quantity]]</f>
        <v>28994.959999999999</v>
      </c>
      <c r="N351" t="s">
        <v>15</v>
      </c>
      <c r="O351" t="s">
        <v>10</v>
      </c>
      <c r="P351" t="s">
        <v>11</v>
      </c>
    </row>
    <row r="352" spans="1:16" x14ac:dyDescent="0.3">
      <c r="A352" s="2">
        <v>10351</v>
      </c>
      <c r="B352" s="2">
        <v>799</v>
      </c>
      <c r="C352" s="2">
        <v>2028</v>
      </c>
      <c r="D352" s="2">
        <v>312</v>
      </c>
      <c r="E352" s="4">
        <v>45299</v>
      </c>
      <c r="F352" s="4">
        <v>45302</v>
      </c>
      <c r="G352" s="2">
        <f t="shared" si="5"/>
        <v>3</v>
      </c>
      <c r="H352" s="2">
        <v>51</v>
      </c>
      <c r="I352" t="s">
        <v>39</v>
      </c>
      <c r="J352" t="s">
        <v>13</v>
      </c>
      <c r="K352" s="2">
        <v>30.34</v>
      </c>
      <c r="L352" s="3">
        <v>630.65</v>
      </c>
      <c r="M352" s="3">
        <f>orders_1[[#This Row],[products.Base_Price]]*orders_1[[#This Row],[Quantity]]</f>
        <v>32163.149999999998</v>
      </c>
      <c r="N352" t="s">
        <v>15</v>
      </c>
      <c r="O352" t="s">
        <v>10</v>
      </c>
      <c r="P352" t="s">
        <v>11</v>
      </c>
    </row>
    <row r="353" spans="1:16" x14ac:dyDescent="0.3">
      <c r="A353" s="2">
        <v>10352</v>
      </c>
      <c r="B353" s="2">
        <v>900</v>
      </c>
      <c r="C353" s="2">
        <v>2010</v>
      </c>
      <c r="D353" s="2">
        <v>304</v>
      </c>
      <c r="E353" s="4">
        <v>45536</v>
      </c>
      <c r="F353" s="4">
        <v>45541</v>
      </c>
      <c r="G353" s="2">
        <f t="shared" si="5"/>
        <v>5</v>
      </c>
      <c r="H353" s="2">
        <v>28</v>
      </c>
      <c r="I353" t="s">
        <v>36</v>
      </c>
      <c r="J353" t="s">
        <v>13</v>
      </c>
      <c r="K353" s="2">
        <v>9.58</v>
      </c>
      <c r="L353" s="3">
        <v>440.93</v>
      </c>
      <c r="M353" s="3">
        <f>orders_1[[#This Row],[products.Base_Price]]*orders_1[[#This Row],[Quantity]]</f>
        <v>12346.04</v>
      </c>
      <c r="N353" t="s">
        <v>17</v>
      </c>
      <c r="O353" t="s">
        <v>18</v>
      </c>
      <c r="P353" t="s">
        <v>19</v>
      </c>
    </row>
    <row r="354" spans="1:16" x14ac:dyDescent="0.3">
      <c r="A354" s="2">
        <v>10353</v>
      </c>
      <c r="B354" s="2">
        <v>560</v>
      </c>
      <c r="C354" s="2">
        <v>2095</v>
      </c>
      <c r="D354" s="2">
        <v>306</v>
      </c>
      <c r="E354" s="4">
        <v>45467</v>
      </c>
      <c r="F354" s="4">
        <v>45470</v>
      </c>
      <c r="G354" s="2">
        <f t="shared" si="5"/>
        <v>3</v>
      </c>
      <c r="H354" s="2">
        <v>87</v>
      </c>
      <c r="I354" t="s">
        <v>78</v>
      </c>
      <c r="J354" t="s">
        <v>13</v>
      </c>
      <c r="K354" s="2">
        <v>38.81</v>
      </c>
      <c r="L354" s="3">
        <v>761.63</v>
      </c>
      <c r="M354" s="3">
        <f>orders_1[[#This Row],[products.Base_Price]]*orders_1[[#This Row],[Quantity]]</f>
        <v>66261.81</v>
      </c>
      <c r="N354" t="s">
        <v>8</v>
      </c>
      <c r="O354" t="s">
        <v>10</v>
      </c>
      <c r="P354" t="s">
        <v>16</v>
      </c>
    </row>
    <row r="355" spans="1:16" x14ac:dyDescent="0.3">
      <c r="A355" s="2">
        <v>10354</v>
      </c>
      <c r="B355" s="2">
        <v>656</v>
      </c>
      <c r="C355" s="2">
        <v>2015</v>
      </c>
      <c r="D355" s="2">
        <v>317</v>
      </c>
      <c r="E355" s="4">
        <v>45561</v>
      </c>
      <c r="F355" s="4">
        <v>45562</v>
      </c>
      <c r="G355" s="2">
        <f t="shared" si="5"/>
        <v>1</v>
      </c>
      <c r="H355" s="2">
        <v>99</v>
      </c>
      <c r="I355" t="s">
        <v>78</v>
      </c>
      <c r="J355" t="s">
        <v>13</v>
      </c>
      <c r="K355" s="2">
        <v>35.520000000000003</v>
      </c>
      <c r="L355" s="3">
        <v>638.11</v>
      </c>
      <c r="M355" s="3">
        <f>orders_1[[#This Row],[products.Base_Price]]*orders_1[[#This Row],[Quantity]]</f>
        <v>63172.89</v>
      </c>
      <c r="N355" t="s">
        <v>20</v>
      </c>
      <c r="O355" t="s">
        <v>25</v>
      </c>
      <c r="P355" t="s">
        <v>19</v>
      </c>
    </row>
    <row r="356" spans="1:16" x14ac:dyDescent="0.3">
      <c r="A356" s="2">
        <v>10355</v>
      </c>
      <c r="B356" s="2">
        <v>535</v>
      </c>
      <c r="C356" s="2">
        <v>2047</v>
      </c>
      <c r="D356" s="2">
        <v>305</v>
      </c>
      <c r="E356" s="4">
        <v>45444</v>
      </c>
      <c r="F356" s="4">
        <v>45453</v>
      </c>
      <c r="G356" s="2">
        <f t="shared" si="5"/>
        <v>9</v>
      </c>
      <c r="H356" s="2">
        <v>87</v>
      </c>
      <c r="I356" t="s">
        <v>39</v>
      </c>
      <c r="J356" t="s">
        <v>27</v>
      </c>
      <c r="K356" s="2">
        <v>31.72</v>
      </c>
      <c r="L356" s="3">
        <v>210.46</v>
      </c>
      <c r="M356" s="3">
        <f>orders_1[[#This Row],[products.Base_Price]]*orders_1[[#This Row],[Quantity]]</f>
        <v>18310.02</v>
      </c>
      <c r="N356" t="s">
        <v>20</v>
      </c>
      <c r="O356" t="s">
        <v>10</v>
      </c>
      <c r="P356" t="s">
        <v>19</v>
      </c>
    </row>
    <row r="357" spans="1:16" x14ac:dyDescent="0.3">
      <c r="A357" s="2">
        <v>10356</v>
      </c>
      <c r="B357" s="2">
        <v>682</v>
      </c>
      <c r="C357" s="2">
        <v>2011</v>
      </c>
      <c r="D357" s="2">
        <v>311</v>
      </c>
      <c r="E357" s="4">
        <v>45590</v>
      </c>
      <c r="F357" s="4">
        <v>45599</v>
      </c>
      <c r="G357" s="2">
        <f t="shared" si="5"/>
        <v>9</v>
      </c>
      <c r="H357" s="2">
        <v>53</v>
      </c>
      <c r="I357" t="s">
        <v>42</v>
      </c>
      <c r="J357" t="s">
        <v>21</v>
      </c>
      <c r="K357" s="2">
        <v>12.75</v>
      </c>
      <c r="L357" s="3">
        <v>987.99</v>
      </c>
      <c r="M357" s="3">
        <f>orders_1[[#This Row],[products.Base_Price]]*orders_1[[#This Row],[Quantity]]</f>
        <v>52363.47</v>
      </c>
      <c r="N357" t="s">
        <v>26</v>
      </c>
      <c r="O357" t="s">
        <v>10</v>
      </c>
      <c r="P357" t="s">
        <v>11</v>
      </c>
    </row>
    <row r="358" spans="1:16" x14ac:dyDescent="0.3">
      <c r="A358" s="2">
        <v>10357</v>
      </c>
      <c r="B358" s="2">
        <v>853</v>
      </c>
      <c r="C358" s="2">
        <v>2096</v>
      </c>
      <c r="D358" s="2">
        <v>312</v>
      </c>
      <c r="E358" s="4">
        <v>45583</v>
      </c>
      <c r="F358" s="4">
        <v>45585</v>
      </c>
      <c r="G358" s="2">
        <f t="shared" si="5"/>
        <v>2</v>
      </c>
      <c r="H358" s="2">
        <v>47</v>
      </c>
      <c r="I358" t="s">
        <v>78</v>
      </c>
      <c r="J358" t="s">
        <v>22</v>
      </c>
      <c r="K358" s="2">
        <v>20.04</v>
      </c>
      <c r="L358" s="3">
        <v>70.19</v>
      </c>
      <c r="M358" s="3">
        <f>orders_1[[#This Row],[products.Base_Price]]*orders_1[[#This Row],[Quantity]]</f>
        <v>3298.93</v>
      </c>
      <c r="N358" t="s">
        <v>15</v>
      </c>
      <c r="O358" t="s">
        <v>10</v>
      </c>
      <c r="P358" t="s">
        <v>11</v>
      </c>
    </row>
    <row r="359" spans="1:16" x14ac:dyDescent="0.3">
      <c r="A359" s="2">
        <v>10358</v>
      </c>
      <c r="B359" s="2">
        <v>811</v>
      </c>
      <c r="C359" s="2">
        <v>2012</v>
      </c>
      <c r="D359" s="2">
        <v>305</v>
      </c>
      <c r="E359" s="4">
        <v>45315</v>
      </c>
      <c r="F359" s="4">
        <v>45325</v>
      </c>
      <c r="G359" s="2">
        <f t="shared" si="5"/>
        <v>10</v>
      </c>
      <c r="H359" s="2">
        <v>92</v>
      </c>
      <c r="I359" t="s">
        <v>78</v>
      </c>
      <c r="J359" t="s">
        <v>21</v>
      </c>
      <c r="K359" s="2">
        <v>34.93</v>
      </c>
      <c r="L359" s="3">
        <v>327.92</v>
      </c>
      <c r="M359" s="3">
        <f>orders_1[[#This Row],[products.Base_Price]]*orders_1[[#This Row],[Quantity]]</f>
        <v>30168.640000000003</v>
      </c>
      <c r="N359" t="s">
        <v>20</v>
      </c>
      <c r="O359" t="s">
        <v>10</v>
      </c>
      <c r="P359" t="s">
        <v>19</v>
      </c>
    </row>
    <row r="360" spans="1:16" x14ac:dyDescent="0.3">
      <c r="A360" s="2">
        <v>10359</v>
      </c>
      <c r="B360" s="2">
        <v>503</v>
      </c>
      <c r="C360" s="2">
        <v>2036</v>
      </c>
      <c r="D360" s="2">
        <v>306</v>
      </c>
      <c r="E360" s="4">
        <v>45626</v>
      </c>
      <c r="F360" s="4">
        <v>45633</v>
      </c>
      <c r="G360" s="2">
        <f t="shared" si="5"/>
        <v>7</v>
      </c>
      <c r="H360" s="2">
        <v>45</v>
      </c>
      <c r="I360" t="s">
        <v>42</v>
      </c>
      <c r="J360" t="s">
        <v>22</v>
      </c>
      <c r="K360" s="2">
        <v>39.39</v>
      </c>
      <c r="L360" s="3">
        <v>745.86</v>
      </c>
      <c r="M360" s="3">
        <f>orders_1[[#This Row],[products.Base_Price]]*orders_1[[#This Row],[Quantity]]</f>
        <v>33563.699999999997</v>
      </c>
      <c r="N360" t="s">
        <v>8</v>
      </c>
      <c r="O360" t="s">
        <v>10</v>
      </c>
      <c r="P360" t="s">
        <v>16</v>
      </c>
    </row>
    <row r="361" spans="1:16" x14ac:dyDescent="0.3">
      <c r="A361" s="2">
        <v>10360</v>
      </c>
      <c r="B361" s="2">
        <v>819</v>
      </c>
      <c r="C361" s="2">
        <v>2093</v>
      </c>
      <c r="D361" s="2">
        <v>309</v>
      </c>
      <c r="E361" s="4">
        <v>45641</v>
      </c>
      <c r="F361" s="4">
        <v>45646</v>
      </c>
      <c r="G361" s="2">
        <f t="shared" si="5"/>
        <v>5</v>
      </c>
      <c r="H361" s="2">
        <v>16</v>
      </c>
      <c r="I361" t="s">
        <v>78</v>
      </c>
      <c r="J361" t="s">
        <v>9</v>
      </c>
      <c r="K361" s="2">
        <v>25.73</v>
      </c>
      <c r="L361" s="3">
        <v>537.69000000000005</v>
      </c>
      <c r="M361" s="3">
        <f>orders_1[[#This Row],[products.Base_Price]]*orders_1[[#This Row],[Quantity]]</f>
        <v>8603.0400000000009</v>
      </c>
      <c r="N361" t="s">
        <v>24</v>
      </c>
      <c r="O361" t="s">
        <v>25</v>
      </c>
      <c r="P361" t="s">
        <v>16</v>
      </c>
    </row>
    <row r="362" spans="1:16" x14ac:dyDescent="0.3">
      <c r="A362" s="2">
        <v>10361</v>
      </c>
      <c r="B362" s="2">
        <v>604</v>
      </c>
      <c r="C362" s="2">
        <v>2095</v>
      </c>
      <c r="D362" s="2">
        <v>314</v>
      </c>
      <c r="E362" s="4">
        <v>45473</v>
      </c>
      <c r="F362" s="4">
        <v>45474</v>
      </c>
      <c r="G362" s="2">
        <f t="shared" si="5"/>
        <v>1</v>
      </c>
      <c r="H362" s="2">
        <v>16</v>
      </c>
      <c r="I362" t="s">
        <v>39</v>
      </c>
      <c r="J362" t="s">
        <v>13</v>
      </c>
      <c r="K362" s="2">
        <v>38.81</v>
      </c>
      <c r="L362" s="3">
        <v>761.63</v>
      </c>
      <c r="M362" s="3">
        <f>orders_1[[#This Row],[products.Base_Price]]*orders_1[[#This Row],[Quantity]]</f>
        <v>12186.08</v>
      </c>
      <c r="N362" t="s">
        <v>17</v>
      </c>
      <c r="O362" t="s">
        <v>14</v>
      </c>
      <c r="P362" t="s">
        <v>19</v>
      </c>
    </row>
    <row r="363" spans="1:16" x14ac:dyDescent="0.3">
      <c r="A363" s="2">
        <v>10362</v>
      </c>
      <c r="B363" s="2">
        <v>578</v>
      </c>
      <c r="C363" s="2">
        <v>2079</v>
      </c>
      <c r="D363" s="2">
        <v>308</v>
      </c>
      <c r="E363" s="4">
        <v>45575</v>
      </c>
      <c r="F363" s="4">
        <v>45583</v>
      </c>
      <c r="G363" s="2">
        <f t="shared" si="5"/>
        <v>8</v>
      </c>
      <c r="H363" s="2">
        <v>90</v>
      </c>
      <c r="I363" t="s">
        <v>39</v>
      </c>
      <c r="J363" t="s">
        <v>22</v>
      </c>
      <c r="K363" s="2">
        <v>12.3</v>
      </c>
      <c r="L363" s="3">
        <v>99.7</v>
      </c>
      <c r="M363" s="3">
        <f>orders_1[[#This Row],[products.Base_Price]]*orders_1[[#This Row],[Quantity]]</f>
        <v>8973</v>
      </c>
      <c r="N363" t="s">
        <v>23</v>
      </c>
      <c r="O363" t="s">
        <v>14</v>
      </c>
      <c r="P363" t="s">
        <v>19</v>
      </c>
    </row>
    <row r="364" spans="1:16" x14ac:dyDescent="0.3">
      <c r="A364" s="2">
        <v>10363</v>
      </c>
      <c r="B364" s="2">
        <v>823</v>
      </c>
      <c r="C364" s="2">
        <v>2046</v>
      </c>
      <c r="D364" s="2">
        <v>308</v>
      </c>
      <c r="E364" s="4">
        <v>45597</v>
      </c>
      <c r="F364" s="4">
        <v>45599</v>
      </c>
      <c r="G364" s="2">
        <f t="shared" si="5"/>
        <v>2</v>
      </c>
      <c r="H364" s="2">
        <v>47</v>
      </c>
      <c r="I364" t="s">
        <v>39</v>
      </c>
      <c r="J364" t="s">
        <v>27</v>
      </c>
      <c r="K364" s="2">
        <v>38.130000000000003</v>
      </c>
      <c r="L364" s="3">
        <v>649.34</v>
      </c>
      <c r="M364" s="3">
        <f>orders_1[[#This Row],[products.Base_Price]]*orders_1[[#This Row],[Quantity]]</f>
        <v>30518.980000000003</v>
      </c>
      <c r="N364" t="s">
        <v>23</v>
      </c>
      <c r="O364" t="s">
        <v>14</v>
      </c>
      <c r="P364" t="s">
        <v>19</v>
      </c>
    </row>
    <row r="365" spans="1:16" x14ac:dyDescent="0.3">
      <c r="A365" s="2">
        <v>10364</v>
      </c>
      <c r="B365" s="2">
        <v>781</v>
      </c>
      <c r="C365" s="2">
        <v>2056</v>
      </c>
      <c r="D365" s="2">
        <v>305</v>
      </c>
      <c r="E365" s="4">
        <v>45585</v>
      </c>
      <c r="F365" s="4">
        <v>45590</v>
      </c>
      <c r="G365" s="2">
        <f t="shared" si="5"/>
        <v>5</v>
      </c>
      <c r="H365" s="2">
        <v>54</v>
      </c>
      <c r="I365" t="s">
        <v>42</v>
      </c>
      <c r="J365" t="s">
        <v>9</v>
      </c>
      <c r="K365" s="2">
        <v>18.559999999999999</v>
      </c>
      <c r="L365" s="3">
        <v>564.01</v>
      </c>
      <c r="M365" s="3">
        <f>orders_1[[#This Row],[products.Base_Price]]*orders_1[[#This Row],[Quantity]]</f>
        <v>30456.54</v>
      </c>
      <c r="N365" t="s">
        <v>20</v>
      </c>
      <c r="O365" t="s">
        <v>10</v>
      </c>
      <c r="P365" t="s">
        <v>19</v>
      </c>
    </row>
    <row r="366" spans="1:16" x14ac:dyDescent="0.3">
      <c r="A366" s="2">
        <v>10365</v>
      </c>
      <c r="B366" s="2">
        <v>785</v>
      </c>
      <c r="C366" s="2">
        <v>2031</v>
      </c>
      <c r="D366" s="2">
        <v>318</v>
      </c>
      <c r="E366" s="4">
        <v>45339</v>
      </c>
      <c r="F366" s="4">
        <v>45349</v>
      </c>
      <c r="G366" s="2">
        <f t="shared" si="5"/>
        <v>10</v>
      </c>
      <c r="H366" s="2">
        <v>5</v>
      </c>
      <c r="I366" t="s">
        <v>78</v>
      </c>
      <c r="J366" t="s">
        <v>27</v>
      </c>
      <c r="K366" s="2">
        <v>24.61</v>
      </c>
      <c r="L366" s="3">
        <v>342.86</v>
      </c>
      <c r="M366" s="3">
        <f>orders_1[[#This Row],[products.Base_Price]]*orders_1[[#This Row],[Quantity]]</f>
        <v>1714.3000000000002</v>
      </c>
      <c r="N366" t="s">
        <v>17</v>
      </c>
      <c r="O366" t="s">
        <v>10</v>
      </c>
      <c r="P366" t="s">
        <v>19</v>
      </c>
    </row>
    <row r="367" spans="1:16" x14ac:dyDescent="0.3">
      <c r="A367" s="2">
        <v>10366</v>
      </c>
      <c r="B367" s="2">
        <v>782</v>
      </c>
      <c r="C367" s="2">
        <v>2032</v>
      </c>
      <c r="D367" s="2">
        <v>308</v>
      </c>
      <c r="E367" s="4">
        <v>45438</v>
      </c>
      <c r="F367" s="4">
        <v>45442</v>
      </c>
      <c r="G367" s="2">
        <f t="shared" si="5"/>
        <v>4</v>
      </c>
      <c r="H367" s="2">
        <v>95</v>
      </c>
      <c r="I367" t="s">
        <v>78</v>
      </c>
      <c r="J367" t="s">
        <v>9</v>
      </c>
      <c r="K367" s="2">
        <v>3.81</v>
      </c>
      <c r="L367" s="3">
        <v>682.41</v>
      </c>
      <c r="M367" s="3">
        <f>orders_1[[#This Row],[products.Base_Price]]*orders_1[[#This Row],[Quantity]]</f>
        <v>64828.95</v>
      </c>
      <c r="N367" t="s">
        <v>23</v>
      </c>
      <c r="O367" t="s">
        <v>14</v>
      </c>
      <c r="P367" t="s">
        <v>19</v>
      </c>
    </row>
    <row r="368" spans="1:16" x14ac:dyDescent="0.3">
      <c r="A368" s="2">
        <v>10367</v>
      </c>
      <c r="B368" s="2">
        <v>651</v>
      </c>
      <c r="C368" s="2">
        <v>2018</v>
      </c>
      <c r="D368" s="2">
        <v>318</v>
      </c>
      <c r="E368" s="4">
        <v>45375</v>
      </c>
      <c r="F368" s="4">
        <v>45383</v>
      </c>
      <c r="G368" s="2">
        <f t="shared" si="5"/>
        <v>8</v>
      </c>
      <c r="H368" s="2">
        <v>66</v>
      </c>
      <c r="I368" t="s">
        <v>36</v>
      </c>
      <c r="J368" t="s">
        <v>21</v>
      </c>
      <c r="K368" s="2">
        <v>16.739999999999998</v>
      </c>
      <c r="L368" s="3">
        <v>103.05</v>
      </c>
      <c r="M368" s="3">
        <f>orders_1[[#This Row],[products.Base_Price]]*orders_1[[#This Row],[Quantity]]</f>
        <v>6801.3</v>
      </c>
      <c r="N368" t="s">
        <v>17</v>
      </c>
      <c r="O368" t="s">
        <v>10</v>
      </c>
      <c r="P368" t="s">
        <v>19</v>
      </c>
    </row>
    <row r="369" spans="1:16" x14ac:dyDescent="0.3">
      <c r="A369" s="2">
        <v>10368</v>
      </c>
      <c r="B369" s="2">
        <v>702</v>
      </c>
      <c r="C369" s="2">
        <v>2070</v>
      </c>
      <c r="D369" s="2">
        <v>306</v>
      </c>
      <c r="E369" s="4">
        <v>45487</v>
      </c>
      <c r="F369" s="4">
        <v>45492</v>
      </c>
      <c r="G369" s="2">
        <f t="shared" si="5"/>
        <v>5</v>
      </c>
      <c r="H369" s="2">
        <v>45</v>
      </c>
      <c r="I369" t="s">
        <v>36</v>
      </c>
      <c r="J369" t="s">
        <v>22</v>
      </c>
      <c r="K369" s="2">
        <v>22.6</v>
      </c>
      <c r="L369" s="3">
        <v>196.67</v>
      </c>
      <c r="M369" s="3">
        <f>orders_1[[#This Row],[products.Base_Price]]*orders_1[[#This Row],[Quantity]]</f>
        <v>8850.15</v>
      </c>
      <c r="N369" t="s">
        <v>8</v>
      </c>
      <c r="O369" t="s">
        <v>10</v>
      </c>
      <c r="P369" t="s">
        <v>16</v>
      </c>
    </row>
    <row r="370" spans="1:16" x14ac:dyDescent="0.3">
      <c r="A370" s="2">
        <v>10369</v>
      </c>
      <c r="B370" s="2">
        <v>616</v>
      </c>
      <c r="C370" s="2">
        <v>2040</v>
      </c>
      <c r="D370" s="2">
        <v>316</v>
      </c>
      <c r="E370" s="4">
        <v>45381</v>
      </c>
      <c r="F370" s="4">
        <v>45389</v>
      </c>
      <c r="G370" s="2">
        <f t="shared" si="5"/>
        <v>8</v>
      </c>
      <c r="H370" s="2">
        <v>58</v>
      </c>
      <c r="I370" t="s">
        <v>36</v>
      </c>
      <c r="J370" t="s">
        <v>27</v>
      </c>
      <c r="K370" s="2">
        <v>3.71</v>
      </c>
      <c r="L370" s="3">
        <v>27.53</v>
      </c>
      <c r="M370" s="3">
        <f>orders_1[[#This Row],[products.Base_Price]]*orders_1[[#This Row],[Quantity]]</f>
        <v>1596.74</v>
      </c>
      <c r="N370" t="s">
        <v>24</v>
      </c>
      <c r="O370" t="s">
        <v>25</v>
      </c>
      <c r="P370" t="s">
        <v>19</v>
      </c>
    </row>
    <row r="371" spans="1:16" x14ac:dyDescent="0.3">
      <c r="A371" s="2">
        <v>10370</v>
      </c>
      <c r="B371" s="2">
        <v>882</v>
      </c>
      <c r="C371" s="2">
        <v>2085</v>
      </c>
      <c r="D371" s="2">
        <v>316</v>
      </c>
      <c r="E371" s="4">
        <v>45327</v>
      </c>
      <c r="F371" s="4">
        <v>45330</v>
      </c>
      <c r="G371" s="2">
        <f t="shared" si="5"/>
        <v>3</v>
      </c>
      <c r="H371" s="2">
        <v>85</v>
      </c>
      <c r="I371" t="s">
        <v>42</v>
      </c>
      <c r="J371" t="s">
        <v>22</v>
      </c>
      <c r="K371" s="2">
        <v>47.56</v>
      </c>
      <c r="L371" s="3">
        <v>131.63</v>
      </c>
      <c r="M371" s="3">
        <f>orders_1[[#This Row],[products.Base_Price]]*orders_1[[#This Row],[Quantity]]</f>
        <v>11188.55</v>
      </c>
      <c r="N371" t="s">
        <v>24</v>
      </c>
      <c r="O371" t="s">
        <v>25</v>
      </c>
      <c r="P371" t="s">
        <v>19</v>
      </c>
    </row>
    <row r="372" spans="1:16" x14ac:dyDescent="0.3">
      <c r="A372" s="2">
        <v>10371</v>
      </c>
      <c r="B372" s="2">
        <v>638</v>
      </c>
      <c r="C372" s="2">
        <v>2063</v>
      </c>
      <c r="D372" s="2">
        <v>311</v>
      </c>
      <c r="E372" s="4">
        <v>45432</v>
      </c>
      <c r="F372" s="4">
        <v>45442</v>
      </c>
      <c r="G372" s="2">
        <f t="shared" si="5"/>
        <v>10</v>
      </c>
      <c r="H372" s="2">
        <v>30</v>
      </c>
      <c r="I372" t="s">
        <v>78</v>
      </c>
      <c r="J372" t="s">
        <v>9</v>
      </c>
      <c r="K372" s="2">
        <v>13.23</v>
      </c>
      <c r="L372" s="3">
        <v>151.69999999999999</v>
      </c>
      <c r="M372" s="3">
        <f>orders_1[[#This Row],[products.Base_Price]]*orders_1[[#This Row],[Quantity]]</f>
        <v>4551</v>
      </c>
      <c r="N372" t="s">
        <v>26</v>
      </c>
      <c r="O372" t="s">
        <v>10</v>
      </c>
      <c r="P372" t="s">
        <v>11</v>
      </c>
    </row>
    <row r="373" spans="1:16" x14ac:dyDescent="0.3">
      <c r="A373" s="2">
        <v>10372</v>
      </c>
      <c r="B373" s="2">
        <v>788</v>
      </c>
      <c r="C373" s="2">
        <v>2072</v>
      </c>
      <c r="D373" s="2">
        <v>302</v>
      </c>
      <c r="E373" s="4">
        <v>45584</v>
      </c>
      <c r="F373" s="4">
        <v>45589</v>
      </c>
      <c r="G373" s="2">
        <f t="shared" si="5"/>
        <v>5</v>
      </c>
      <c r="H373" s="2">
        <v>70</v>
      </c>
      <c r="I373" t="s">
        <v>39</v>
      </c>
      <c r="J373" t="s">
        <v>9</v>
      </c>
      <c r="K373" s="2">
        <v>26.22</v>
      </c>
      <c r="L373" s="3">
        <v>576.57000000000005</v>
      </c>
      <c r="M373" s="3">
        <f>orders_1[[#This Row],[products.Base_Price]]*orders_1[[#This Row],[Quantity]]</f>
        <v>40359.9</v>
      </c>
      <c r="N373" t="s">
        <v>12</v>
      </c>
      <c r="O373" t="s">
        <v>14</v>
      </c>
      <c r="P373" t="s">
        <v>11</v>
      </c>
    </row>
    <row r="374" spans="1:16" x14ac:dyDescent="0.3">
      <c r="A374" s="2">
        <v>10373</v>
      </c>
      <c r="B374" s="2">
        <v>862</v>
      </c>
      <c r="C374" s="2">
        <v>2076</v>
      </c>
      <c r="D374" s="2">
        <v>314</v>
      </c>
      <c r="E374" s="4">
        <v>45480</v>
      </c>
      <c r="F374" s="4">
        <v>45484</v>
      </c>
      <c r="G374" s="2">
        <f t="shared" si="5"/>
        <v>4</v>
      </c>
      <c r="H374" s="2">
        <v>88</v>
      </c>
      <c r="I374" t="s">
        <v>42</v>
      </c>
      <c r="J374" t="s">
        <v>13</v>
      </c>
      <c r="K374" s="2">
        <v>14.63</v>
      </c>
      <c r="L374" s="3">
        <v>638.11</v>
      </c>
      <c r="M374" s="3">
        <f>orders_1[[#This Row],[products.Base_Price]]*orders_1[[#This Row],[Quantity]]</f>
        <v>56153.68</v>
      </c>
      <c r="N374" t="s">
        <v>17</v>
      </c>
      <c r="O374" t="s">
        <v>14</v>
      </c>
      <c r="P374" t="s">
        <v>19</v>
      </c>
    </row>
    <row r="375" spans="1:16" x14ac:dyDescent="0.3">
      <c r="A375" s="2">
        <v>10374</v>
      </c>
      <c r="B375" s="2">
        <v>867</v>
      </c>
      <c r="C375" s="2">
        <v>2061</v>
      </c>
      <c r="D375" s="2">
        <v>313</v>
      </c>
      <c r="E375" s="4">
        <v>45293</v>
      </c>
      <c r="F375" s="4">
        <v>45294</v>
      </c>
      <c r="G375" s="2">
        <f t="shared" si="5"/>
        <v>1</v>
      </c>
      <c r="H375" s="2">
        <v>44</v>
      </c>
      <c r="I375" t="s">
        <v>36</v>
      </c>
      <c r="J375" t="s">
        <v>13</v>
      </c>
      <c r="K375" s="2">
        <v>46.64</v>
      </c>
      <c r="L375" s="3">
        <v>620.16999999999996</v>
      </c>
      <c r="M375" s="3">
        <f>orders_1[[#This Row],[products.Base_Price]]*orders_1[[#This Row],[Quantity]]</f>
        <v>27287.48</v>
      </c>
      <c r="N375" t="s">
        <v>15</v>
      </c>
      <c r="O375" t="s">
        <v>25</v>
      </c>
      <c r="P375" t="s">
        <v>16</v>
      </c>
    </row>
    <row r="376" spans="1:16" x14ac:dyDescent="0.3">
      <c r="A376" s="2">
        <v>10375</v>
      </c>
      <c r="B376" s="2">
        <v>883</v>
      </c>
      <c r="C376" s="2">
        <v>2097</v>
      </c>
      <c r="D376" s="2">
        <v>303</v>
      </c>
      <c r="E376" s="4">
        <v>45552</v>
      </c>
      <c r="F376" s="4">
        <v>45556</v>
      </c>
      <c r="G376" s="2">
        <f t="shared" si="5"/>
        <v>4</v>
      </c>
      <c r="H376" s="2">
        <v>33</v>
      </c>
      <c r="I376" t="s">
        <v>78</v>
      </c>
      <c r="J376" t="s">
        <v>27</v>
      </c>
      <c r="K376" s="2">
        <v>30.63</v>
      </c>
      <c r="L376" s="3">
        <v>828.74</v>
      </c>
      <c r="M376" s="3">
        <f>orders_1[[#This Row],[products.Base_Price]]*orders_1[[#This Row],[Quantity]]</f>
        <v>27348.420000000002</v>
      </c>
      <c r="N376" t="s">
        <v>15</v>
      </c>
      <c r="O376" t="s">
        <v>10</v>
      </c>
      <c r="P376" t="s">
        <v>16</v>
      </c>
    </row>
    <row r="377" spans="1:16" x14ac:dyDescent="0.3">
      <c r="A377" s="2">
        <v>10376</v>
      </c>
      <c r="B377" s="2">
        <v>510</v>
      </c>
      <c r="C377" s="2">
        <v>2053</v>
      </c>
      <c r="D377" s="2">
        <v>312</v>
      </c>
      <c r="E377" s="4">
        <v>45574</v>
      </c>
      <c r="F377" s="4">
        <v>45581</v>
      </c>
      <c r="G377" s="2">
        <f t="shared" si="5"/>
        <v>7</v>
      </c>
      <c r="H377" s="2">
        <v>88</v>
      </c>
      <c r="I377" t="s">
        <v>42</v>
      </c>
      <c r="J377" t="s">
        <v>22</v>
      </c>
      <c r="K377" s="2">
        <v>34.54</v>
      </c>
      <c r="L377" s="3">
        <v>162.21</v>
      </c>
      <c r="M377" s="3">
        <f>orders_1[[#This Row],[products.Base_Price]]*orders_1[[#This Row],[Quantity]]</f>
        <v>14274.480000000001</v>
      </c>
      <c r="N377" t="s">
        <v>15</v>
      </c>
      <c r="O377" t="s">
        <v>10</v>
      </c>
      <c r="P377" t="s">
        <v>11</v>
      </c>
    </row>
    <row r="378" spans="1:16" x14ac:dyDescent="0.3">
      <c r="A378" s="2">
        <v>10377</v>
      </c>
      <c r="B378" s="2">
        <v>782</v>
      </c>
      <c r="C378" s="2">
        <v>2011</v>
      </c>
      <c r="D378" s="2">
        <v>311</v>
      </c>
      <c r="E378" s="4">
        <v>45369</v>
      </c>
      <c r="F378" s="4">
        <v>45376</v>
      </c>
      <c r="G378" s="2">
        <f t="shared" si="5"/>
        <v>7</v>
      </c>
      <c r="H378" s="2">
        <v>69</v>
      </c>
      <c r="I378" t="s">
        <v>42</v>
      </c>
      <c r="J378" t="s">
        <v>21</v>
      </c>
      <c r="K378" s="2">
        <v>12.75</v>
      </c>
      <c r="L378" s="3">
        <v>987.99</v>
      </c>
      <c r="M378" s="3">
        <f>orders_1[[#This Row],[products.Base_Price]]*orders_1[[#This Row],[Quantity]]</f>
        <v>68171.31</v>
      </c>
      <c r="N378" t="s">
        <v>26</v>
      </c>
      <c r="O378" t="s">
        <v>10</v>
      </c>
      <c r="P378" t="s">
        <v>11</v>
      </c>
    </row>
    <row r="379" spans="1:16" x14ac:dyDescent="0.3">
      <c r="A379" s="2">
        <v>10378</v>
      </c>
      <c r="B379" s="2">
        <v>833</v>
      </c>
      <c r="C379" s="2">
        <v>2036</v>
      </c>
      <c r="D379" s="2">
        <v>309</v>
      </c>
      <c r="E379" s="4">
        <v>45553</v>
      </c>
      <c r="F379" s="4">
        <v>45557</v>
      </c>
      <c r="G379" s="2">
        <f t="shared" si="5"/>
        <v>4</v>
      </c>
      <c r="H379" s="2">
        <v>28</v>
      </c>
      <c r="I379" t="s">
        <v>78</v>
      </c>
      <c r="J379" t="s">
        <v>22</v>
      </c>
      <c r="K379" s="2">
        <v>39.39</v>
      </c>
      <c r="L379" s="3">
        <v>745.86</v>
      </c>
      <c r="M379" s="3">
        <f>orders_1[[#This Row],[products.Base_Price]]*orders_1[[#This Row],[Quantity]]</f>
        <v>20884.080000000002</v>
      </c>
      <c r="N379" t="s">
        <v>24</v>
      </c>
      <c r="O379" t="s">
        <v>25</v>
      </c>
      <c r="P379" t="s">
        <v>16</v>
      </c>
    </row>
    <row r="380" spans="1:16" x14ac:dyDescent="0.3">
      <c r="A380" s="2">
        <v>10379</v>
      </c>
      <c r="B380" s="2">
        <v>568</v>
      </c>
      <c r="C380" s="2">
        <v>2003</v>
      </c>
      <c r="D380" s="2">
        <v>303</v>
      </c>
      <c r="E380" s="4">
        <v>45601</v>
      </c>
      <c r="F380" s="4">
        <v>45610</v>
      </c>
      <c r="G380" s="2">
        <f t="shared" si="5"/>
        <v>9</v>
      </c>
      <c r="H380" s="2">
        <v>68</v>
      </c>
      <c r="I380" t="s">
        <v>39</v>
      </c>
      <c r="J380" t="s">
        <v>13</v>
      </c>
      <c r="K380" s="2">
        <v>39.74</v>
      </c>
      <c r="L380" s="3">
        <v>864.17</v>
      </c>
      <c r="M380" s="3">
        <f>orders_1[[#This Row],[products.Base_Price]]*orders_1[[#This Row],[Quantity]]</f>
        <v>58763.56</v>
      </c>
      <c r="N380" t="s">
        <v>15</v>
      </c>
      <c r="O380" t="s">
        <v>10</v>
      </c>
      <c r="P380" t="s">
        <v>16</v>
      </c>
    </row>
    <row r="381" spans="1:16" x14ac:dyDescent="0.3">
      <c r="A381" s="2">
        <v>10380</v>
      </c>
      <c r="B381" s="2">
        <v>526</v>
      </c>
      <c r="C381" s="2">
        <v>2099</v>
      </c>
      <c r="D381" s="2">
        <v>317</v>
      </c>
      <c r="E381" s="4">
        <v>45350</v>
      </c>
      <c r="F381" s="4">
        <v>45360</v>
      </c>
      <c r="G381" s="2">
        <f t="shared" si="5"/>
        <v>10</v>
      </c>
      <c r="H381" s="2">
        <v>78</v>
      </c>
      <c r="I381" t="s">
        <v>39</v>
      </c>
      <c r="J381" t="s">
        <v>21</v>
      </c>
      <c r="K381" s="2">
        <v>31.62</v>
      </c>
      <c r="L381" s="3">
        <v>652.77</v>
      </c>
      <c r="M381" s="3">
        <f>orders_1[[#This Row],[products.Base_Price]]*orders_1[[#This Row],[Quantity]]</f>
        <v>50916.06</v>
      </c>
      <c r="N381" t="s">
        <v>20</v>
      </c>
      <c r="O381" t="s">
        <v>25</v>
      </c>
      <c r="P381" t="s">
        <v>19</v>
      </c>
    </row>
    <row r="382" spans="1:16" x14ac:dyDescent="0.3">
      <c r="A382" s="2">
        <v>10381</v>
      </c>
      <c r="B382" s="2">
        <v>798</v>
      </c>
      <c r="C382" s="2">
        <v>2062</v>
      </c>
      <c r="D382" s="2">
        <v>319</v>
      </c>
      <c r="E382" s="4">
        <v>45298</v>
      </c>
      <c r="F382" s="4">
        <v>45305</v>
      </c>
      <c r="G382" s="2">
        <f t="shared" si="5"/>
        <v>7</v>
      </c>
      <c r="H382" s="2">
        <v>34</v>
      </c>
      <c r="I382" t="s">
        <v>39</v>
      </c>
      <c r="J382" t="s">
        <v>9</v>
      </c>
      <c r="K382" s="2">
        <v>32.479999999999997</v>
      </c>
      <c r="L382" s="3">
        <v>409.49</v>
      </c>
      <c r="M382" s="3">
        <f>orders_1[[#This Row],[products.Base_Price]]*orders_1[[#This Row],[Quantity]]</f>
        <v>13922.66</v>
      </c>
      <c r="N382" t="s">
        <v>20</v>
      </c>
      <c r="O382" t="s">
        <v>18</v>
      </c>
      <c r="P382" t="s">
        <v>11</v>
      </c>
    </row>
    <row r="383" spans="1:16" x14ac:dyDescent="0.3">
      <c r="A383" s="2">
        <v>10382</v>
      </c>
      <c r="B383" s="2">
        <v>501</v>
      </c>
      <c r="C383" s="2">
        <v>2077</v>
      </c>
      <c r="D383" s="2">
        <v>307</v>
      </c>
      <c r="E383" s="4">
        <v>45453</v>
      </c>
      <c r="F383" s="4">
        <v>45456</v>
      </c>
      <c r="G383" s="2">
        <f t="shared" si="5"/>
        <v>3</v>
      </c>
      <c r="H383" s="2">
        <v>4</v>
      </c>
      <c r="I383" t="s">
        <v>42</v>
      </c>
      <c r="J383" t="s">
        <v>9</v>
      </c>
      <c r="K383" s="2">
        <v>28.18</v>
      </c>
      <c r="L383" s="3">
        <v>857.59</v>
      </c>
      <c r="M383" s="3">
        <f>orders_1[[#This Row],[products.Base_Price]]*orders_1[[#This Row],[Quantity]]</f>
        <v>3430.36</v>
      </c>
      <c r="N383" t="s">
        <v>17</v>
      </c>
      <c r="O383" t="s">
        <v>10</v>
      </c>
      <c r="P383" t="s">
        <v>11</v>
      </c>
    </row>
    <row r="384" spans="1:16" x14ac:dyDescent="0.3">
      <c r="A384" s="2">
        <v>10383</v>
      </c>
      <c r="B384" s="2">
        <v>745</v>
      </c>
      <c r="C384" s="2">
        <v>2081</v>
      </c>
      <c r="D384" s="2">
        <v>319</v>
      </c>
      <c r="E384" s="4">
        <v>45511</v>
      </c>
      <c r="F384" s="4">
        <v>45513</v>
      </c>
      <c r="G384" s="2">
        <f t="shared" si="5"/>
        <v>2</v>
      </c>
      <c r="H384" s="2">
        <v>57</v>
      </c>
      <c r="I384" t="s">
        <v>39</v>
      </c>
      <c r="J384" t="s">
        <v>21</v>
      </c>
      <c r="K384" s="2">
        <v>20.72</v>
      </c>
      <c r="L384" s="3">
        <v>668.31</v>
      </c>
      <c r="M384" s="3">
        <f>orders_1[[#This Row],[products.Base_Price]]*orders_1[[#This Row],[Quantity]]</f>
        <v>38093.67</v>
      </c>
      <c r="N384" t="s">
        <v>20</v>
      </c>
      <c r="O384" t="s">
        <v>18</v>
      </c>
      <c r="P384" t="s">
        <v>11</v>
      </c>
    </row>
    <row r="385" spans="1:16" x14ac:dyDescent="0.3">
      <c r="A385" s="2">
        <v>10384</v>
      </c>
      <c r="B385" s="2">
        <v>631</v>
      </c>
      <c r="C385" s="2">
        <v>2019</v>
      </c>
      <c r="D385" s="2">
        <v>320</v>
      </c>
      <c r="E385" s="4">
        <v>45401</v>
      </c>
      <c r="F385" s="4">
        <v>45409</v>
      </c>
      <c r="G385" s="2">
        <f t="shared" si="5"/>
        <v>8</v>
      </c>
      <c r="H385" s="2">
        <v>19</v>
      </c>
      <c r="I385" t="s">
        <v>36</v>
      </c>
      <c r="J385" t="s">
        <v>22</v>
      </c>
      <c r="K385" s="2">
        <v>27.65</v>
      </c>
      <c r="L385" s="3">
        <v>89.85</v>
      </c>
      <c r="M385" s="3">
        <f>orders_1[[#This Row],[products.Base_Price]]*orders_1[[#This Row],[Quantity]]</f>
        <v>1707.1499999999999</v>
      </c>
      <c r="N385" t="s">
        <v>15</v>
      </c>
      <c r="O385" t="s">
        <v>25</v>
      </c>
      <c r="P385" t="s">
        <v>11</v>
      </c>
    </row>
    <row r="386" spans="1:16" x14ac:dyDescent="0.3">
      <c r="A386" s="2">
        <v>10385</v>
      </c>
      <c r="B386" s="2">
        <v>695</v>
      </c>
      <c r="C386" s="2">
        <v>2041</v>
      </c>
      <c r="D386" s="2">
        <v>305</v>
      </c>
      <c r="E386" s="4">
        <v>45301</v>
      </c>
      <c r="F386" s="4">
        <v>45309</v>
      </c>
      <c r="G386" s="2">
        <f t="shared" ref="G386:G449" si="6">F386-E386</f>
        <v>8</v>
      </c>
      <c r="H386" s="2">
        <v>56</v>
      </c>
      <c r="I386" t="s">
        <v>39</v>
      </c>
      <c r="J386" t="s">
        <v>22</v>
      </c>
      <c r="K386" s="2">
        <v>48.2</v>
      </c>
      <c r="L386" s="3">
        <v>792.77</v>
      </c>
      <c r="M386" s="3">
        <f>orders_1[[#This Row],[products.Base_Price]]*orders_1[[#This Row],[Quantity]]</f>
        <v>44395.119999999995</v>
      </c>
      <c r="N386" t="s">
        <v>20</v>
      </c>
      <c r="O386" t="s">
        <v>10</v>
      </c>
      <c r="P386" t="s">
        <v>19</v>
      </c>
    </row>
    <row r="387" spans="1:16" x14ac:dyDescent="0.3">
      <c r="A387" s="2">
        <v>10386</v>
      </c>
      <c r="B387" s="2">
        <v>824</v>
      </c>
      <c r="C387" s="2">
        <v>2080</v>
      </c>
      <c r="D387" s="2">
        <v>301</v>
      </c>
      <c r="E387" s="4">
        <v>45538</v>
      </c>
      <c r="F387" s="4">
        <v>45539</v>
      </c>
      <c r="G387" s="2">
        <f t="shared" si="6"/>
        <v>1</v>
      </c>
      <c r="H387" s="2">
        <v>71</v>
      </c>
      <c r="I387" t="s">
        <v>78</v>
      </c>
      <c r="J387" t="s">
        <v>9</v>
      </c>
      <c r="K387" s="2">
        <v>29.56</v>
      </c>
      <c r="L387" s="3">
        <v>143.84</v>
      </c>
      <c r="M387" s="3">
        <f>orders_1[[#This Row],[products.Base_Price]]*orders_1[[#This Row],[Quantity]]</f>
        <v>10212.64</v>
      </c>
      <c r="N387" t="s">
        <v>8</v>
      </c>
      <c r="O387" t="s">
        <v>10</v>
      </c>
      <c r="P387" t="s">
        <v>11</v>
      </c>
    </row>
    <row r="388" spans="1:16" x14ac:dyDescent="0.3">
      <c r="A388" s="2">
        <v>10387</v>
      </c>
      <c r="B388" s="2">
        <v>836</v>
      </c>
      <c r="C388" s="2">
        <v>2091</v>
      </c>
      <c r="D388" s="2">
        <v>303</v>
      </c>
      <c r="E388" s="4">
        <v>45472</v>
      </c>
      <c r="F388" s="4">
        <v>45473</v>
      </c>
      <c r="G388" s="2">
        <f t="shared" si="6"/>
        <v>1</v>
      </c>
      <c r="H388" s="2">
        <v>52</v>
      </c>
      <c r="I388" t="s">
        <v>36</v>
      </c>
      <c r="J388" t="s">
        <v>21</v>
      </c>
      <c r="K388" s="2">
        <v>10.41</v>
      </c>
      <c r="L388" s="3">
        <v>271.61</v>
      </c>
      <c r="M388" s="3">
        <f>orders_1[[#This Row],[products.Base_Price]]*orders_1[[#This Row],[Quantity]]</f>
        <v>14123.720000000001</v>
      </c>
      <c r="N388" t="s">
        <v>15</v>
      </c>
      <c r="O388" t="s">
        <v>10</v>
      </c>
      <c r="P388" t="s">
        <v>16</v>
      </c>
    </row>
    <row r="389" spans="1:16" x14ac:dyDescent="0.3">
      <c r="A389" s="2">
        <v>10388</v>
      </c>
      <c r="B389" s="2">
        <v>777</v>
      </c>
      <c r="C389" s="2">
        <v>2021</v>
      </c>
      <c r="D389" s="2">
        <v>307</v>
      </c>
      <c r="E389" s="4">
        <v>45541</v>
      </c>
      <c r="F389" s="4">
        <v>45545</v>
      </c>
      <c r="G389" s="2">
        <f t="shared" si="6"/>
        <v>4</v>
      </c>
      <c r="H389" s="2">
        <v>88</v>
      </c>
      <c r="I389" t="s">
        <v>42</v>
      </c>
      <c r="J389" t="s">
        <v>9</v>
      </c>
      <c r="K389" s="2">
        <v>18.77</v>
      </c>
      <c r="L389" s="3">
        <v>259.72000000000003</v>
      </c>
      <c r="M389" s="3">
        <f>orders_1[[#This Row],[products.Base_Price]]*orders_1[[#This Row],[Quantity]]</f>
        <v>22855.360000000001</v>
      </c>
      <c r="N389" t="s">
        <v>17</v>
      </c>
      <c r="O389" t="s">
        <v>10</v>
      </c>
      <c r="P389" t="s">
        <v>11</v>
      </c>
    </row>
    <row r="390" spans="1:16" x14ac:dyDescent="0.3">
      <c r="A390" s="2">
        <v>10389</v>
      </c>
      <c r="B390" s="2">
        <v>634</v>
      </c>
      <c r="C390" s="2">
        <v>2082</v>
      </c>
      <c r="D390" s="2">
        <v>316</v>
      </c>
      <c r="E390" s="4">
        <v>45352</v>
      </c>
      <c r="F390" s="4">
        <v>45360</v>
      </c>
      <c r="G390" s="2">
        <f t="shared" si="6"/>
        <v>8</v>
      </c>
      <c r="H390" s="2">
        <v>72</v>
      </c>
      <c r="I390" t="s">
        <v>36</v>
      </c>
      <c r="J390" t="s">
        <v>22</v>
      </c>
      <c r="K390" s="2">
        <v>41.79</v>
      </c>
      <c r="L390" s="3">
        <v>352.17</v>
      </c>
      <c r="M390" s="3">
        <f>orders_1[[#This Row],[products.Base_Price]]*orders_1[[#This Row],[Quantity]]</f>
        <v>25356.240000000002</v>
      </c>
      <c r="N390" t="s">
        <v>24</v>
      </c>
      <c r="O390" t="s">
        <v>25</v>
      </c>
      <c r="P390" t="s">
        <v>19</v>
      </c>
    </row>
    <row r="391" spans="1:16" x14ac:dyDescent="0.3">
      <c r="A391" s="2">
        <v>10390</v>
      </c>
      <c r="B391" s="2">
        <v>900</v>
      </c>
      <c r="C391" s="2">
        <v>2084</v>
      </c>
      <c r="D391" s="2">
        <v>317</v>
      </c>
      <c r="E391" s="4">
        <v>45572</v>
      </c>
      <c r="F391" s="4">
        <v>45581</v>
      </c>
      <c r="G391" s="2">
        <f t="shared" si="6"/>
        <v>9</v>
      </c>
      <c r="H391" s="2">
        <v>11</v>
      </c>
      <c r="I391" t="s">
        <v>78</v>
      </c>
      <c r="J391" t="s">
        <v>21</v>
      </c>
      <c r="K391" s="2">
        <v>14.27</v>
      </c>
      <c r="L391" s="3">
        <v>223.58</v>
      </c>
      <c r="M391" s="3">
        <f>orders_1[[#This Row],[products.Base_Price]]*orders_1[[#This Row],[Quantity]]</f>
        <v>2459.38</v>
      </c>
      <c r="N391" t="s">
        <v>20</v>
      </c>
      <c r="O391" t="s">
        <v>25</v>
      </c>
      <c r="P391" t="s">
        <v>19</v>
      </c>
    </row>
    <row r="392" spans="1:16" x14ac:dyDescent="0.3">
      <c r="A392" s="2">
        <v>10391</v>
      </c>
      <c r="B392" s="2">
        <v>579</v>
      </c>
      <c r="C392" s="2">
        <v>2077</v>
      </c>
      <c r="D392" s="2">
        <v>318</v>
      </c>
      <c r="E392" s="4">
        <v>45548</v>
      </c>
      <c r="F392" s="4">
        <v>45558</v>
      </c>
      <c r="G392" s="2">
        <f t="shared" si="6"/>
        <v>10</v>
      </c>
      <c r="H392" s="2">
        <v>14</v>
      </c>
      <c r="I392" t="s">
        <v>36</v>
      </c>
      <c r="J392" t="s">
        <v>9</v>
      </c>
      <c r="K392" s="2">
        <v>28.18</v>
      </c>
      <c r="L392" s="3">
        <v>857.59</v>
      </c>
      <c r="M392" s="3">
        <f>orders_1[[#This Row],[products.Base_Price]]*orders_1[[#This Row],[Quantity]]</f>
        <v>12006.26</v>
      </c>
      <c r="N392" t="s">
        <v>17</v>
      </c>
      <c r="O392" t="s">
        <v>10</v>
      </c>
      <c r="P392" t="s">
        <v>19</v>
      </c>
    </row>
    <row r="393" spans="1:16" x14ac:dyDescent="0.3">
      <c r="A393" s="2">
        <v>10392</v>
      </c>
      <c r="B393" s="2">
        <v>695</v>
      </c>
      <c r="C393" s="2">
        <v>2067</v>
      </c>
      <c r="D393" s="2">
        <v>310</v>
      </c>
      <c r="E393" s="4">
        <v>45398</v>
      </c>
      <c r="F393" s="4">
        <v>45403</v>
      </c>
      <c r="G393" s="2">
        <f t="shared" si="6"/>
        <v>5</v>
      </c>
      <c r="H393" s="2">
        <v>82</v>
      </c>
      <c r="I393" t="s">
        <v>36</v>
      </c>
      <c r="J393" t="s">
        <v>9</v>
      </c>
      <c r="K393" s="2">
        <v>24.79</v>
      </c>
      <c r="L393" s="3">
        <v>48.68</v>
      </c>
      <c r="M393" s="3">
        <f>orders_1[[#This Row],[products.Base_Price]]*orders_1[[#This Row],[Quantity]]</f>
        <v>3991.7599999999998</v>
      </c>
      <c r="N393" t="s">
        <v>26</v>
      </c>
      <c r="O393" t="s">
        <v>25</v>
      </c>
      <c r="P393" t="s">
        <v>11</v>
      </c>
    </row>
    <row r="394" spans="1:16" x14ac:dyDescent="0.3">
      <c r="A394" s="2">
        <v>10393</v>
      </c>
      <c r="B394" s="2">
        <v>574</v>
      </c>
      <c r="C394" s="2">
        <v>2047</v>
      </c>
      <c r="D394" s="2">
        <v>302</v>
      </c>
      <c r="E394" s="4">
        <v>45602</v>
      </c>
      <c r="F394" s="4">
        <v>45605</v>
      </c>
      <c r="G394" s="2">
        <f t="shared" si="6"/>
        <v>3</v>
      </c>
      <c r="H394" s="2">
        <v>40</v>
      </c>
      <c r="I394" t="s">
        <v>78</v>
      </c>
      <c r="J394" t="s">
        <v>27</v>
      </c>
      <c r="K394" s="2">
        <v>31.72</v>
      </c>
      <c r="L394" s="3">
        <v>210.46</v>
      </c>
      <c r="M394" s="3">
        <f>orders_1[[#This Row],[products.Base_Price]]*orders_1[[#This Row],[Quantity]]</f>
        <v>8418.4</v>
      </c>
      <c r="N394" t="s">
        <v>12</v>
      </c>
      <c r="O394" t="s">
        <v>14</v>
      </c>
      <c r="P394" t="s">
        <v>11</v>
      </c>
    </row>
    <row r="395" spans="1:16" x14ac:dyDescent="0.3">
      <c r="A395" s="2">
        <v>10394</v>
      </c>
      <c r="B395" s="2">
        <v>527</v>
      </c>
      <c r="C395" s="2">
        <v>2084</v>
      </c>
      <c r="D395" s="2">
        <v>317</v>
      </c>
      <c r="E395" s="4">
        <v>45617</v>
      </c>
      <c r="F395" s="4">
        <v>45619</v>
      </c>
      <c r="G395" s="2">
        <f t="shared" si="6"/>
        <v>2</v>
      </c>
      <c r="H395" s="2">
        <v>20</v>
      </c>
      <c r="I395" t="s">
        <v>42</v>
      </c>
      <c r="J395" t="s">
        <v>21</v>
      </c>
      <c r="K395" s="2">
        <v>14.27</v>
      </c>
      <c r="L395" s="3">
        <v>223.58</v>
      </c>
      <c r="M395" s="3">
        <f>orders_1[[#This Row],[products.Base_Price]]*orders_1[[#This Row],[Quantity]]</f>
        <v>4471.6000000000004</v>
      </c>
      <c r="N395" t="s">
        <v>20</v>
      </c>
      <c r="O395" t="s">
        <v>25</v>
      </c>
      <c r="P395" t="s">
        <v>19</v>
      </c>
    </row>
    <row r="396" spans="1:16" x14ac:dyDescent="0.3">
      <c r="A396" s="2">
        <v>10395</v>
      </c>
      <c r="B396" s="2">
        <v>552</v>
      </c>
      <c r="C396" s="2">
        <v>2047</v>
      </c>
      <c r="D396" s="2">
        <v>314</v>
      </c>
      <c r="E396" s="4">
        <v>45496</v>
      </c>
      <c r="F396" s="4">
        <v>45506</v>
      </c>
      <c r="G396" s="2">
        <f t="shared" si="6"/>
        <v>10</v>
      </c>
      <c r="H396" s="2">
        <v>31</v>
      </c>
      <c r="I396" t="s">
        <v>36</v>
      </c>
      <c r="J396" t="s">
        <v>27</v>
      </c>
      <c r="K396" s="2">
        <v>31.72</v>
      </c>
      <c r="L396" s="3">
        <v>210.46</v>
      </c>
      <c r="M396" s="3">
        <f>orders_1[[#This Row],[products.Base_Price]]*orders_1[[#This Row],[Quantity]]</f>
        <v>6524.26</v>
      </c>
      <c r="N396" t="s">
        <v>17</v>
      </c>
      <c r="O396" t="s">
        <v>14</v>
      </c>
      <c r="P396" t="s">
        <v>19</v>
      </c>
    </row>
    <row r="397" spans="1:16" x14ac:dyDescent="0.3">
      <c r="A397" s="2">
        <v>10396</v>
      </c>
      <c r="B397" s="2">
        <v>619</v>
      </c>
      <c r="C397" s="2">
        <v>2026</v>
      </c>
      <c r="D397" s="2">
        <v>313</v>
      </c>
      <c r="E397" s="4">
        <v>45342</v>
      </c>
      <c r="F397" s="4">
        <v>45343</v>
      </c>
      <c r="G397" s="2">
        <f t="shared" si="6"/>
        <v>1</v>
      </c>
      <c r="H397" s="2">
        <v>94</v>
      </c>
      <c r="I397" t="s">
        <v>36</v>
      </c>
      <c r="J397" t="s">
        <v>22</v>
      </c>
      <c r="K397" s="2">
        <v>23.02</v>
      </c>
      <c r="L397" s="3">
        <v>858.57</v>
      </c>
      <c r="M397" s="3">
        <f>orders_1[[#This Row],[products.Base_Price]]*orders_1[[#This Row],[Quantity]]</f>
        <v>80705.58</v>
      </c>
      <c r="N397" t="s">
        <v>15</v>
      </c>
      <c r="O397" t="s">
        <v>25</v>
      </c>
      <c r="P397" t="s">
        <v>16</v>
      </c>
    </row>
    <row r="398" spans="1:16" x14ac:dyDescent="0.3">
      <c r="A398" s="2">
        <v>10397</v>
      </c>
      <c r="B398" s="2">
        <v>632</v>
      </c>
      <c r="C398" s="2">
        <v>2001</v>
      </c>
      <c r="D398" s="2">
        <v>302</v>
      </c>
      <c r="E398" s="4">
        <v>45624</v>
      </c>
      <c r="F398" s="4">
        <v>45627</v>
      </c>
      <c r="G398" s="2">
        <f t="shared" si="6"/>
        <v>3</v>
      </c>
      <c r="H398" s="2">
        <v>75</v>
      </c>
      <c r="I398" t="s">
        <v>39</v>
      </c>
      <c r="J398" t="s">
        <v>9</v>
      </c>
      <c r="K398" s="2">
        <v>49.85</v>
      </c>
      <c r="L398" s="3">
        <v>471.41</v>
      </c>
      <c r="M398" s="3">
        <f>orders_1[[#This Row],[products.Base_Price]]*orders_1[[#This Row],[Quantity]]</f>
        <v>35355.75</v>
      </c>
      <c r="N398" t="s">
        <v>12</v>
      </c>
      <c r="O398" t="s">
        <v>14</v>
      </c>
      <c r="P398" t="s">
        <v>11</v>
      </c>
    </row>
    <row r="399" spans="1:16" x14ac:dyDescent="0.3">
      <c r="A399" s="2">
        <v>10398</v>
      </c>
      <c r="B399" s="2">
        <v>723</v>
      </c>
      <c r="C399" s="2">
        <v>2082</v>
      </c>
      <c r="D399" s="2">
        <v>302</v>
      </c>
      <c r="E399" s="4">
        <v>45591</v>
      </c>
      <c r="F399" s="4">
        <v>45600</v>
      </c>
      <c r="G399" s="2">
        <f t="shared" si="6"/>
        <v>9</v>
      </c>
      <c r="H399" s="2">
        <v>6</v>
      </c>
      <c r="I399" t="s">
        <v>39</v>
      </c>
      <c r="J399" t="s">
        <v>22</v>
      </c>
      <c r="K399" s="2">
        <v>41.79</v>
      </c>
      <c r="L399" s="3">
        <v>352.17</v>
      </c>
      <c r="M399" s="3">
        <f>orders_1[[#This Row],[products.Base_Price]]*orders_1[[#This Row],[Quantity]]</f>
        <v>2113.02</v>
      </c>
      <c r="N399" t="s">
        <v>12</v>
      </c>
      <c r="O399" t="s">
        <v>14</v>
      </c>
      <c r="P399" t="s">
        <v>11</v>
      </c>
    </row>
    <row r="400" spans="1:16" x14ac:dyDescent="0.3">
      <c r="A400" s="2">
        <v>10399</v>
      </c>
      <c r="B400" s="2">
        <v>791</v>
      </c>
      <c r="C400" s="2">
        <v>2033</v>
      </c>
      <c r="D400" s="2">
        <v>309</v>
      </c>
      <c r="E400" s="4">
        <v>45489</v>
      </c>
      <c r="F400" s="4">
        <v>45491</v>
      </c>
      <c r="G400" s="2">
        <f t="shared" si="6"/>
        <v>2</v>
      </c>
      <c r="H400" s="2">
        <v>6</v>
      </c>
      <c r="I400" t="s">
        <v>39</v>
      </c>
      <c r="J400" t="s">
        <v>22</v>
      </c>
      <c r="K400" s="2">
        <v>8.33</v>
      </c>
      <c r="L400" s="3">
        <v>629.69000000000005</v>
      </c>
      <c r="M400" s="3">
        <f>orders_1[[#This Row],[products.Base_Price]]*orders_1[[#This Row],[Quantity]]</f>
        <v>3778.1400000000003</v>
      </c>
      <c r="N400" t="s">
        <v>24</v>
      </c>
      <c r="O400" t="s">
        <v>25</v>
      </c>
      <c r="P400" t="s">
        <v>16</v>
      </c>
    </row>
    <row r="401" spans="1:16" x14ac:dyDescent="0.3">
      <c r="A401" s="2">
        <v>10400</v>
      </c>
      <c r="B401" s="2">
        <v>847</v>
      </c>
      <c r="C401" s="2">
        <v>2055</v>
      </c>
      <c r="D401" s="2">
        <v>320</v>
      </c>
      <c r="E401" s="4">
        <v>45646</v>
      </c>
      <c r="F401" s="4">
        <v>45652</v>
      </c>
      <c r="G401" s="2">
        <f t="shared" si="6"/>
        <v>6</v>
      </c>
      <c r="H401" s="2">
        <v>50</v>
      </c>
      <c r="I401" t="s">
        <v>36</v>
      </c>
      <c r="J401" t="s">
        <v>27</v>
      </c>
      <c r="K401" s="2">
        <v>26.24</v>
      </c>
      <c r="L401" s="3">
        <v>312.67</v>
      </c>
      <c r="M401" s="3">
        <f>orders_1[[#This Row],[products.Base_Price]]*orders_1[[#This Row],[Quantity]]</f>
        <v>15633.5</v>
      </c>
      <c r="N401" t="s">
        <v>15</v>
      </c>
      <c r="O401" t="s">
        <v>25</v>
      </c>
      <c r="P401" t="s">
        <v>11</v>
      </c>
    </row>
    <row r="402" spans="1:16" x14ac:dyDescent="0.3">
      <c r="A402" s="2">
        <v>10401</v>
      </c>
      <c r="B402" s="2">
        <v>790</v>
      </c>
      <c r="C402" s="2">
        <v>2077</v>
      </c>
      <c r="D402" s="2">
        <v>301</v>
      </c>
      <c r="E402" s="4">
        <v>45599</v>
      </c>
      <c r="F402" s="4">
        <v>45601</v>
      </c>
      <c r="G402" s="2">
        <f t="shared" si="6"/>
        <v>2</v>
      </c>
      <c r="H402" s="2">
        <v>12</v>
      </c>
      <c r="I402" t="s">
        <v>39</v>
      </c>
      <c r="J402" t="s">
        <v>9</v>
      </c>
      <c r="K402" s="2">
        <v>28.18</v>
      </c>
      <c r="L402" s="3">
        <v>857.59</v>
      </c>
      <c r="M402" s="3">
        <f>orders_1[[#This Row],[products.Base_Price]]*orders_1[[#This Row],[Quantity]]</f>
        <v>10291.08</v>
      </c>
      <c r="N402" t="s">
        <v>8</v>
      </c>
      <c r="O402" t="s">
        <v>10</v>
      </c>
      <c r="P402" t="s">
        <v>11</v>
      </c>
    </row>
    <row r="403" spans="1:16" x14ac:dyDescent="0.3">
      <c r="A403" s="2">
        <v>10402</v>
      </c>
      <c r="B403" s="2">
        <v>592</v>
      </c>
      <c r="C403" s="2">
        <v>2014</v>
      </c>
      <c r="D403" s="2">
        <v>312</v>
      </c>
      <c r="E403" s="4">
        <v>45380</v>
      </c>
      <c r="F403" s="4">
        <v>45386</v>
      </c>
      <c r="G403" s="2">
        <f t="shared" si="6"/>
        <v>6</v>
      </c>
      <c r="H403" s="2">
        <v>51</v>
      </c>
      <c r="I403" t="s">
        <v>42</v>
      </c>
      <c r="J403" t="s">
        <v>27</v>
      </c>
      <c r="K403" s="2">
        <v>12.2</v>
      </c>
      <c r="L403" s="3">
        <v>652.53</v>
      </c>
      <c r="M403" s="3">
        <f>orders_1[[#This Row],[products.Base_Price]]*orders_1[[#This Row],[Quantity]]</f>
        <v>33279.03</v>
      </c>
      <c r="N403" t="s">
        <v>15</v>
      </c>
      <c r="O403" t="s">
        <v>10</v>
      </c>
      <c r="P403" t="s">
        <v>11</v>
      </c>
    </row>
    <row r="404" spans="1:16" x14ac:dyDescent="0.3">
      <c r="A404" s="2">
        <v>10403</v>
      </c>
      <c r="B404" s="2">
        <v>508</v>
      </c>
      <c r="C404" s="2">
        <v>2023</v>
      </c>
      <c r="D404" s="2">
        <v>310</v>
      </c>
      <c r="E404" s="4">
        <v>45427</v>
      </c>
      <c r="F404" s="4">
        <v>45435</v>
      </c>
      <c r="G404" s="2">
        <f t="shared" si="6"/>
        <v>8</v>
      </c>
      <c r="H404" s="2">
        <v>25</v>
      </c>
      <c r="I404" t="s">
        <v>42</v>
      </c>
      <c r="J404" t="s">
        <v>13</v>
      </c>
      <c r="K404" s="2">
        <v>39.520000000000003</v>
      </c>
      <c r="L404" s="3">
        <v>618.29999999999995</v>
      </c>
      <c r="M404" s="3">
        <f>orders_1[[#This Row],[products.Base_Price]]*orders_1[[#This Row],[Quantity]]</f>
        <v>15457.499999999998</v>
      </c>
      <c r="N404" t="s">
        <v>26</v>
      </c>
      <c r="O404" t="s">
        <v>25</v>
      </c>
      <c r="P404" t="s">
        <v>11</v>
      </c>
    </row>
    <row r="405" spans="1:16" x14ac:dyDescent="0.3">
      <c r="A405" s="2">
        <v>10404</v>
      </c>
      <c r="B405" s="2">
        <v>900</v>
      </c>
      <c r="C405" s="2">
        <v>2019</v>
      </c>
      <c r="D405" s="2">
        <v>304</v>
      </c>
      <c r="E405" s="4">
        <v>45642</v>
      </c>
      <c r="F405" s="4">
        <v>45649</v>
      </c>
      <c r="G405" s="2">
        <f t="shared" si="6"/>
        <v>7</v>
      </c>
      <c r="H405" s="2">
        <v>24</v>
      </c>
      <c r="I405" t="s">
        <v>78</v>
      </c>
      <c r="J405" t="s">
        <v>22</v>
      </c>
      <c r="K405" s="2">
        <v>27.65</v>
      </c>
      <c r="L405" s="3">
        <v>89.85</v>
      </c>
      <c r="M405" s="3">
        <f>orders_1[[#This Row],[products.Base_Price]]*orders_1[[#This Row],[Quantity]]</f>
        <v>2156.3999999999996</v>
      </c>
      <c r="N405" t="s">
        <v>17</v>
      </c>
      <c r="O405" t="s">
        <v>18</v>
      </c>
      <c r="P405" t="s">
        <v>19</v>
      </c>
    </row>
    <row r="406" spans="1:16" x14ac:dyDescent="0.3">
      <c r="A406" s="2">
        <v>10405</v>
      </c>
      <c r="B406" s="2">
        <v>806</v>
      </c>
      <c r="C406" s="2">
        <v>2013</v>
      </c>
      <c r="D406" s="2">
        <v>309</v>
      </c>
      <c r="E406" s="4">
        <v>45425</v>
      </c>
      <c r="F406" s="4">
        <v>45431</v>
      </c>
      <c r="G406" s="2">
        <f t="shared" si="6"/>
        <v>6</v>
      </c>
      <c r="H406" s="2">
        <v>94</v>
      </c>
      <c r="I406" t="s">
        <v>42</v>
      </c>
      <c r="J406" t="s">
        <v>13</v>
      </c>
      <c r="K406" s="2">
        <v>19.53</v>
      </c>
      <c r="L406" s="3">
        <v>563.69000000000005</v>
      </c>
      <c r="M406" s="3">
        <f>orders_1[[#This Row],[products.Base_Price]]*orders_1[[#This Row],[Quantity]]</f>
        <v>52986.860000000008</v>
      </c>
      <c r="N406" t="s">
        <v>24</v>
      </c>
      <c r="O406" t="s">
        <v>25</v>
      </c>
      <c r="P406" t="s">
        <v>16</v>
      </c>
    </row>
    <row r="407" spans="1:16" x14ac:dyDescent="0.3">
      <c r="A407" s="2">
        <v>10406</v>
      </c>
      <c r="B407" s="2">
        <v>805</v>
      </c>
      <c r="C407" s="2">
        <v>2012</v>
      </c>
      <c r="D407" s="2">
        <v>304</v>
      </c>
      <c r="E407" s="4">
        <v>45621</v>
      </c>
      <c r="F407" s="4">
        <v>45631</v>
      </c>
      <c r="G407" s="2">
        <f t="shared" si="6"/>
        <v>10</v>
      </c>
      <c r="H407" s="2">
        <v>63</v>
      </c>
      <c r="I407" t="s">
        <v>42</v>
      </c>
      <c r="J407" t="s">
        <v>21</v>
      </c>
      <c r="K407" s="2">
        <v>34.93</v>
      </c>
      <c r="L407" s="3">
        <v>327.92</v>
      </c>
      <c r="M407" s="3">
        <f>orders_1[[#This Row],[products.Base_Price]]*orders_1[[#This Row],[Quantity]]</f>
        <v>20658.960000000003</v>
      </c>
      <c r="N407" t="s">
        <v>17</v>
      </c>
      <c r="O407" t="s">
        <v>18</v>
      </c>
      <c r="P407" t="s">
        <v>19</v>
      </c>
    </row>
    <row r="408" spans="1:16" x14ac:dyDescent="0.3">
      <c r="A408" s="2">
        <v>10407</v>
      </c>
      <c r="B408" s="2">
        <v>544</v>
      </c>
      <c r="C408" s="2">
        <v>2049</v>
      </c>
      <c r="D408" s="2">
        <v>305</v>
      </c>
      <c r="E408" s="4">
        <v>45622</v>
      </c>
      <c r="F408" s="4">
        <v>45626</v>
      </c>
      <c r="G408" s="2">
        <f t="shared" si="6"/>
        <v>4</v>
      </c>
      <c r="H408" s="2">
        <v>31</v>
      </c>
      <c r="I408" t="s">
        <v>42</v>
      </c>
      <c r="J408" t="s">
        <v>27</v>
      </c>
      <c r="K408" s="2">
        <v>17.52</v>
      </c>
      <c r="L408" s="3">
        <v>832.77</v>
      </c>
      <c r="M408" s="3">
        <f>orders_1[[#This Row],[products.Base_Price]]*orders_1[[#This Row],[Quantity]]</f>
        <v>25815.87</v>
      </c>
      <c r="N408" t="s">
        <v>20</v>
      </c>
      <c r="O408" t="s">
        <v>10</v>
      </c>
      <c r="P408" t="s">
        <v>19</v>
      </c>
    </row>
    <row r="409" spans="1:16" x14ac:dyDescent="0.3">
      <c r="A409" s="2">
        <v>10408</v>
      </c>
      <c r="B409" s="2">
        <v>627</v>
      </c>
      <c r="C409" s="2">
        <v>2019</v>
      </c>
      <c r="D409" s="2">
        <v>310</v>
      </c>
      <c r="E409" s="4">
        <v>45386</v>
      </c>
      <c r="F409" s="4">
        <v>45390</v>
      </c>
      <c r="G409" s="2">
        <f t="shared" si="6"/>
        <v>4</v>
      </c>
      <c r="H409" s="2">
        <v>1</v>
      </c>
      <c r="I409" t="s">
        <v>42</v>
      </c>
      <c r="J409" t="s">
        <v>22</v>
      </c>
      <c r="K409" s="2">
        <v>27.65</v>
      </c>
      <c r="L409" s="3">
        <v>89.85</v>
      </c>
      <c r="M409" s="3">
        <f>orders_1[[#This Row],[products.Base_Price]]*orders_1[[#This Row],[Quantity]]</f>
        <v>89.85</v>
      </c>
      <c r="N409" t="s">
        <v>26</v>
      </c>
      <c r="O409" t="s">
        <v>25</v>
      </c>
      <c r="P409" t="s">
        <v>11</v>
      </c>
    </row>
    <row r="410" spans="1:16" x14ac:dyDescent="0.3">
      <c r="A410" s="2">
        <v>10409</v>
      </c>
      <c r="B410" s="2">
        <v>782</v>
      </c>
      <c r="C410" s="2">
        <v>2047</v>
      </c>
      <c r="D410" s="2">
        <v>320</v>
      </c>
      <c r="E410" s="4">
        <v>45330</v>
      </c>
      <c r="F410" s="4">
        <v>45340</v>
      </c>
      <c r="G410" s="2">
        <f t="shared" si="6"/>
        <v>10</v>
      </c>
      <c r="H410" s="2">
        <v>82</v>
      </c>
      <c r="I410" t="s">
        <v>39</v>
      </c>
      <c r="J410" t="s">
        <v>27</v>
      </c>
      <c r="K410" s="2">
        <v>31.72</v>
      </c>
      <c r="L410" s="3">
        <v>210.46</v>
      </c>
      <c r="M410" s="3">
        <f>orders_1[[#This Row],[products.Base_Price]]*orders_1[[#This Row],[Quantity]]</f>
        <v>17257.72</v>
      </c>
      <c r="N410" t="s">
        <v>15</v>
      </c>
      <c r="O410" t="s">
        <v>25</v>
      </c>
      <c r="P410" t="s">
        <v>11</v>
      </c>
    </row>
    <row r="411" spans="1:16" x14ac:dyDescent="0.3">
      <c r="A411" s="2">
        <v>10410</v>
      </c>
      <c r="B411" s="2">
        <v>532</v>
      </c>
      <c r="C411" s="2">
        <v>2082</v>
      </c>
      <c r="D411" s="2">
        <v>306</v>
      </c>
      <c r="E411" s="4">
        <v>45448</v>
      </c>
      <c r="F411" s="4">
        <v>45457</v>
      </c>
      <c r="G411" s="2">
        <f t="shared" si="6"/>
        <v>9</v>
      </c>
      <c r="H411" s="2">
        <v>56</v>
      </c>
      <c r="I411" t="s">
        <v>36</v>
      </c>
      <c r="J411" t="s">
        <v>22</v>
      </c>
      <c r="K411" s="2">
        <v>41.79</v>
      </c>
      <c r="L411" s="3">
        <v>352.17</v>
      </c>
      <c r="M411" s="3">
        <f>orders_1[[#This Row],[products.Base_Price]]*orders_1[[#This Row],[Quantity]]</f>
        <v>19721.52</v>
      </c>
      <c r="N411" t="s">
        <v>8</v>
      </c>
      <c r="O411" t="s">
        <v>10</v>
      </c>
      <c r="P411" t="s">
        <v>16</v>
      </c>
    </row>
    <row r="412" spans="1:16" x14ac:dyDescent="0.3">
      <c r="A412" s="2">
        <v>10411</v>
      </c>
      <c r="B412" s="2">
        <v>582</v>
      </c>
      <c r="C412" s="2">
        <v>2049</v>
      </c>
      <c r="D412" s="2">
        <v>302</v>
      </c>
      <c r="E412" s="4">
        <v>45469</v>
      </c>
      <c r="F412" s="4">
        <v>45474</v>
      </c>
      <c r="G412" s="2">
        <f t="shared" si="6"/>
        <v>5</v>
      </c>
      <c r="H412" s="2">
        <v>35</v>
      </c>
      <c r="I412" t="s">
        <v>39</v>
      </c>
      <c r="J412" t="s">
        <v>27</v>
      </c>
      <c r="K412" s="2">
        <v>17.52</v>
      </c>
      <c r="L412" s="3">
        <v>832.77</v>
      </c>
      <c r="M412" s="3">
        <f>orders_1[[#This Row],[products.Base_Price]]*orders_1[[#This Row],[Quantity]]</f>
        <v>29146.95</v>
      </c>
      <c r="N412" t="s">
        <v>12</v>
      </c>
      <c r="O412" t="s">
        <v>14</v>
      </c>
      <c r="P412" t="s">
        <v>11</v>
      </c>
    </row>
    <row r="413" spans="1:16" x14ac:dyDescent="0.3">
      <c r="A413" s="2">
        <v>10412</v>
      </c>
      <c r="B413" s="2">
        <v>581</v>
      </c>
      <c r="C413" s="2">
        <v>2037</v>
      </c>
      <c r="D413" s="2">
        <v>311</v>
      </c>
      <c r="E413" s="4">
        <v>45420</v>
      </c>
      <c r="F413" s="4">
        <v>45422</v>
      </c>
      <c r="G413" s="2">
        <f t="shared" si="6"/>
        <v>2</v>
      </c>
      <c r="H413" s="2">
        <v>56</v>
      </c>
      <c r="I413" t="s">
        <v>39</v>
      </c>
      <c r="J413" t="s">
        <v>21</v>
      </c>
      <c r="K413" s="2">
        <v>29.23</v>
      </c>
      <c r="L413" s="3">
        <v>491.44</v>
      </c>
      <c r="M413" s="3">
        <f>orders_1[[#This Row],[products.Base_Price]]*orders_1[[#This Row],[Quantity]]</f>
        <v>27520.639999999999</v>
      </c>
      <c r="N413" t="s">
        <v>26</v>
      </c>
      <c r="O413" t="s">
        <v>10</v>
      </c>
      <c r="P413" t="s">
        <v>11</v>
      </c>
    </row>
    <row r="414" spans="1:16" x14ac:dyDescent="0.3">
      <c r="A414" s="2">
        <v>10413</v>
      </c>
      <c r="B414" s="2">
        <v>893</v>
      </c>
      <c r="C414" s="2">
        <v>2009</v>
      </c>
      <c r="D414" s="2">
        <v>307</v>
      </c>
      <c r="E414" s="4">
        <v>45624</v>
      </c>
      <c r="F414" s="4">
        <v>45629</v>
      </c>
      <c r="G414" s="2">
        <f t="shared" si="6"/>
        <v>5</v>
      </c>
      <c r="H414" s="2">
        <v>85</v>
      </c>
      <c r="I414" t="s">
        <v>36</v>
      </c>
      <c r="J414" t="s">
        <v>21</v>
      </c>
      <c r="K414" s="2">
        <v>16.82</v>
      </c>
      <c r="L414" s="3">
        <v>376.01</v>
      </c>
      <c r="M414" s="3">
        <f>orders_1[[#This Row],[products.Base_Price]]*orders_1[[#This Row],[Quantity]]</f>
        <v>31960.85</v>
      </c>
      <c r="N414" t="s">
        <v>17</v>
      </c>
      <c r="O414" t="s">
        <v>10</v>
      </c>
      <c r="P414" t="s">
        <v>11</v>
      </c>
    </row>
    <row r="415" spans="1:16" x14ac:dyDescent="0.3">
      <c r="A415" s="2">
        <v>10414</v>
      </c>
      <c r="B415" s="2">
        <v>667</v>
      </c>
      <c r="C415" s="2">
        <v>2076</v>
      </c>
      <c r="D415" s="2">
        <v>320</v>
      </c>
      <c r="E415" s="4">
        <v>45317</v>
      </c>
      <c r="F415" s="4">
        <v>45322</v>
      </c>
      <c r="G415" s="2">
        <f t="shared" si="6"/>
        <v>5</v>
      </c>
      <c r="H415" s="2">
        <v>59</v>
      </c>
      <c r="I415" t="s">
        <v>42</v>
      </c>
      <c r="J415" t="s">
        <v>13</v>
      </c>
      <c r="K415" s="2">
        <v>14.63</v>
      </c>
      <c r="L415" s="3">
        <v>638.11</v>
      </c>
      <c r="M415" s="3">
        <f>orders_1[[#This Row],[products.Base_Price]]*orders_1[[#This Row],[Quantity]]</f>
        <v>37648.49</v>
      </c>
      <c r="N415" t="s">
        <v>15</v>
      </c>
      <c r="O415" t="s">
        <v>25</v>
      </c>
      <c r="P415" t="s">
        <v>11</v>
      </c>
    </row>
    <row r="416" spans="1:16" x14ac:dyDescent="0.3">
      <c r="A416" s="2">
        <v>10415</v>
      </c>
      <c r="B416" s="2">
        <v>625</v>
      </c>
      <c r="C416" s="2">
        <v>2016</v>
      </c>
      <c r="D416" s="2">
        <v>308</v>
      </c>
      <c r="E416" s="4">
        <v>45413</v>
      </c>
      <c r="F416" s="4">
        <v>45418</v>
      </c>
      <c r="G416" s="2">
        <f t="shared" si="6"/>
        <v>5</v>
      </c>
      <c r="H416" s="2">
        <v>26</v>
      </c>
      <c r="I416" t="s">
        <v>36</v>
      </c>
      <c r="J416" t="s">
        <v>13</v>
      </c>
      <c r="K416" s="2">
        <v>12.52</v>
      </c>
      <c r="L416" s="3">
        <v>709.8</v>
      </c>
      <c r="M416" s="3">
        <f>orders_1[[#This Row],[products.Base_Price]]*orders_1[[#This Row],[Quantity]]</f>
        <v>18454.8</v>
      </c>
      <c r="N416" t="s">
        <v>23</v>
      </c>
      <c r="O416" t="s">
        <v>14</v>
      </c>
      <c r="P416" t="s">
        <v>19</v>
      </c>
    </row>
    <row r="417" spans="1:16" x14ac:dyDescent="0.3">
      <c r="A417" s="2">
        <v>10416</v>
      </c>
      <c r="B417" s="2">
        <v>855</v>
      </c>
      <c r="C417" s="2">
        <v>2065</v>
      </c>
      <c r="D417" s="2">
        <v>305</v>
      </c>
      <c r="E417" s="4">
        <v>45427</v>
      </c>
      <c r="F417" s="4">
        <v>45433</v>
      </c>
      <c r="G417" s="2">
        <f t="shared" si="6"/>
        <v>6</v>
      </c>
      <c r="H417" s="2">
        <v>63</v>
      </c>
      <c r="I417" t="s">
        <v>78</v>
      </c>
      <c r="J417" t="s">
        <v>13</v>
      </c>
      <c r="K417" s="2">
        <v>26.94</v>
      </c>
      <c r="L417" s="3">
        <v>155.15</v>
      </c>
      <c r="M417" s="3">
        <f>orders_1[[#This Row],[products.Base_Price]]*orders_1[[#This Row],[Quantity]]</f>
        <v>9774.4500000000007</v>
      </c>
      <c r="N417" t="s">
        <v>20</v>
      </c>
      <c r="O417" t="s">
        <v>10</v>
      </c>
      <c r="P417" t="s">
        <v>19</v>
      </c>
    </row>
    <row r="418" spans="1:16" x14ac:dyDescent="0.3">
      <c r="A418" s="2">
        <v>10417</v>
      </c>
      <c r="B418" s="2">
        <v>519</v>
      </c>
      <c r="C418" s="2">
        <v>2022</v>
      </c>
      <c r="D418" s="2">
        <v>318</v>
      </c>
      <c r="E418" s="4">
        <v>45632</v>
      </c>
      <c r="F418" s="4">
        <v>45640</v>
      </c>
      <c r="G418" s="2">
        <f t="shared" si="6"/>
        <v>8</v>
      </c>
      <c r="H418" s="2">
        <v>5</v>
      </c>
      <c r="I418" t="s">
        <v>39</v>
      </c>
      <c r="J418" t="s">
        <v>13</v>
      </c>
      <c r="K418" s="2">
        <v>47.91</v>
      </c>
      <c r="L418" s="3">
        <v>756.92</v>
      </c>
      <c r="M418" s="3">
        <f>orders_1[[#This Row],[products.Base_Price]]*orders_1[[#This Row],[Quantity]]</f>
        <v>3784.6</v>
      </c>
      <c r="N418" t="s">
        <v>17</v>
      </c>
      <c r="O418" t="s">
        <v>10</v>
      </c>
      <c r="P418" t="s">
        <v>19</v>
      </c>
    </row>
    <row r="419" spans="1:16" x14ac:dyDescent="0.3">
      <c r="A419" s="2">
        <v>10418</v>
      </c>
      <c r="B419" s="2">
        <v>630</v>
      </c>
      <c r="C419" s="2">
        <v>2094</v>
      </c>
      <c r="D419" s="2">
        <v>319</v>
      </c>
      <c r="E419" s="4">
        <v>45593</v>
      </c>
      <c r="F419" s="4">
        <v>45601</v>
      </c>
      <c r="G419" s="2">
        <f t="shared" si="6"/>
        <v>8</v>
      </c>
      <c r="H419" s="2">
        <v>9</v>
      </c>
      <c r="I419" t="s">
        <v>42</v>
      </c>
      <c r="J419" t="s">
        <v>27</v>
      </c>
      <c r="K419" s="2">
        <v>22.56</v>
      </c>
      <c r="L419" s="3">
        <v>393.53</v>
      </c>
      <c r="M419" s="3">
        <f>orders_1[[#This Row],[products.Base_Price]]*orders_1[[#This Row],[Quantity]]</f>
        <v>3541.7699999999995</v>
      </c>
      <c r="N419" t="s">
        <v>20</v>
      </c>
      <c r="O419" t="s">
        <v>18</v>
      </c>
      <c r="P419" t="s">
        <v>11</v>
      </c>
    </row>
    <row r="420" spans="1:16" x14ac:dyDescent="0.3">
      <c r="A420" s="2">
        <v>10419</v>
      </c>
      <c r="B420" s="2">
        <v>618</v>
      </c>
      <c r="C420" s="2">
        <v>2036</v>
      </c>
      <c r="D420" s="2">
        <v>316</v>
      </c>
      <c r="E420" s="4">
        <v>45582</v>
      </c>
      <c r="F420" s="4">
        <v>45588</v>
      </c>
      <c r="G420" s="2">
        <f t="shared" si="6"/>
        <v>6</v>
      </c>
      <c r="H420" s="2">
        <v>33</v>
      </c>
      <c r="I420" t="s">
        <v>78</v>
      </c>
      <c r="J420" t="s">
        <v>22</v>
      </c>
      <c r="K420" s="2">
        <v>39.39</v>
      </c>
      <c r="L420" s="3">
        <v>745.86</v>
      </c>
      <c r="M420" s="3">
        <f>orders_1[[#This Row],[products.Base_Price]]*orders_1[[#This Row],[Quantity]]</f>
        <v>24613.38</v>
      </c>
      <c r="N420" t="s">
        <v>24</v>
      </c>
      <c r="O420" t="s">
        <v>25</v>
      </c>
      <c r="P420" t="s">
        <v>19</v>
      </c>
    </row>
    <row r="421" spans="1:16" x14ac:dyDescent="0.3">
      <c r="A421" s="2">
        <v>10420</v>
      </c>
      <c r="B421" s="2">
        <v>528</v>
      </c>
      <c r="C421" s="2">
        <v>2055</v>
      </c>
      <c r="D421" s="2">
        <v>313</v>
      </c>
      <c r="E421" s="4">
        <v>45302</v>
      </c>
      <c r="F421" s="4">
        <v>45303</v>
      </c>
      <c r="G421" s="2">
        <f t="shared" si="6"/>
        <v>1</v>
      </c>
      <c r="H421" s="2">
        <v>68</v>
      </c>
      <c r="I421" t="s">
        <v>36</v>
      </c>
      <c r="J421" t="s">
        <v>27</v>
      </c>
      <c r="K421" s="2">
        <v>26.24</v>
      </c>
      <c r="L421" s="3">
        <v>312.67</v>
      </c>
      <c r="M421" s="3">
        <f>orders_1[[#This Row],[products.Base_Price]]*orders_1[[#This Row],[Quantity]]</f>
        <v>21261.56</v>
      </c>
      <c r="N421" t="s">
        <v>15</v>
      </c>
      <c r="O421" t="s">
        <v>25</v>
      </c>
      <c r="P421" t="s">
        <v>16</v>
      </c>
    </row>
    <row r="422" spans="1:16" x14ac:dyDescent="0.3">
      <c r="A422" s="2">
        <v>10421</v>
      </c>
      <c r="B422" s="2">
        <v>508</v>
      </c>
      <c r="C422" s="2">
        <v>2075</v>
      </c>
      <c r="D422" s="2">
        <v>316</v>
      </c>
      <c r="E422" s="4">
        <v>45617</v>
      </c>
      <c r="F422" s="4">
        <v>45623</v>
      </c>
      <c r="G422" s="2">
        <f t="shared" si="6"/>
        <v>6</v>
      </c>
      <c r="H422" s="2">
        <v>81</v>
      </c>
      <c r="I422" t="s">
        <v>39</v>
      </c>
      <c r="J422" t="s">
        <v>27</v>
      </c>
      <c r="K422" s="2">
        <v>16.57</v>
      </c>
      <c r="L422" s="3">
        <v>429.9</v>
      </c>
      <c r="M422" s="3">
        <f>orders_1[[#This Row],[products.Base_Price]]*orders_1[[#This Row],[Quantity]]</f>
        <v>34821.9</v>
      </c>
      <c r="N422" t="s">
        <v>24</v>
      </c>
      <c r="O422" t="s">
        <v>25</v>
      </c>
      <c r="P422" t="s">
        <v>19</v>
      </c>
    </row>
    <row r="423" spans="1:16" x14ac:dyDescent="0.3">
      <c r="A423" s="2">
        <v>10422</v>
      </c>
      <c r="B423" s="2">
        <v>575</v>
      </c>
      <c r="C423" s="2">
        <v>2013</v>
      </c>
      <c r="D423" s="2">
        <v>316</v>
      </c>
      <c r="E423" s="4">
        <v>45294</v>
      </c>
      <c r="F423" s="4">
        <v>45300</v>
      </c>
      <c r="G423" s="2">
        <f t="shared" si="6"/>
        <v>6</v>
      </c>
      <c r="H423" s="2">
        <v>28</v>
      </c>
      <c r="I423" t="s">
        <v>78</v>
      </c>
      <c r="J423" t="s">
        <v>13</v>
      </c>
      <c r="K423" s="2">
        <v>19.53</v>
      </c>
      <c r="L423" s="3">
        <v>563.69000000000005</v>
      </c>
      <c r="M423" s="3">
        <f>orders_1[[#This Row],[products.Base_Price]]*orders_1[[#This Row],[Quantity]]</f>
        <v>15783.320000000002</v>
      </c>
      <c r="N423" t="s">
        <v>24</v>
      </c>
      <c r="O423" t="s">
        <v>25</v>
      </c>
      <c r="P423" t="s">
        <v>19</v>
      </c>
    </row>
    <row r="424" spans="1:16" x14ac:dyDescent="0.3">
      <c r="A424" s="2">
        <v>10423</v>
      </c>
      <c r="B424" s="2">
        <v>604</v>
      </c>
      <c r="C424" s="2">
        <v>2100</v>
      </c>
      <c r="D424" s="2">
        <v>312</v>
      </c>
      <c r="E424" s="4">
        <v>45573</v>
      </c>
      <c r="F424" s="4">
        <v>45578</v>
      </c>
      <c r="G424" s="2">
        <f t="shared" si="6"/>
        <v>5</v>
      </c>
      <c r="H424" s="2">
        <v>55</v>
      </c>
      <c r="I424" t="s">
        <v>78</v>
      </c>
      <c r="J424" t="s">
        <v>27</v>
      </c>
      <c r="K424" s="2">
        <v>2.2799999999999998</v>
      </c>
      <c r="L424" s="3">
        <v>813.8</v>
      </c>
      <c r="M424" s="3">
        <f>orders_1[[#This Row],[products.Base_Price]]*orders_1[[#This Row],[Quantity]]</f>
        <v>44759</v>
      </c>
      <c r="N424" t="s">
        <v>15</v>
      </c>
      <c r="O424" t="s">
        <v>10</v>
      </c>
      <c r="P424" t="s">
        <v>11</v>
      </c>
    </row>
    <row r="425" spans="1:16" x14ac:dyDescent="0.3">
      <c r="A425" s="2">
        <v>10424</v>
      </c>
      <c r="B425" s="2">
        <v>876</v>
      </c>
      <c r="C425" s="2">
        <v>2051</v>
      </c>
      <c r="D425" s="2">
        <v>306</v>
      </c>
      <c r="E425" s="4">
        <v>45345</v>
      </c>
      <c r="F425" s="4">
        <v>45351</v>
      </c>
      <c r="G425" s="2">
        <f t="shared" si="6"/>
        <v>6</v>
      </c>
      <c r="H425" s="2">
        <v>74</v>
      </c>
      <c r="I425" t="s">
        <v>78</v>
      </c>
      <c r="J425" t="s">
        <v>9</v>
      </c>
      <c r="K425" s="2">
        <v>47.82</v>
      </c>
      <c r="L425" s="3">
        <v>376.19</v>
      </c>
      <c r="M425" s="3">
        <f>orders_1[[#This Row],[products.Base_Price]]*orders_1[[#This Row],[Quantity]]</f>
        <v>27838.06</v>
      </c>
      <c r="N425" t="s">
        <v>8</v>
      </c>
      <c r="O425" t="s">
        <v>10</v>
      </c>
      <c r="P425" t="s">
        <v>16</v>
      </c>
    </row>
    <row r="426" spans="1:16" x14ac:dyDescent="0.3">
      <c r="A426" s="2">
        <v>10425</v>
      </c>
      <c r="B426" s="2">
        <v>677</v>
      </c>
      <c r="C426" s="2">
        <v>2011</v>
      </c>
      <c r="D426" s="2">
        <v>316</v>
      </c>
      <c r="E426" s="4">
        <v>45470</v>
      </c>
      <c r="F426" s="4">
        <v>45474</v>
      </c>
      <c r="G426" s="2">
        <f t="shared" si="6"/>
        <v>4</v>
      </c>
      <c r="H426" s="2">
        <v>20</v>
      </c>
      <c r="I426" t="s">
        <v>78</v>
      </c>
      <c r="J426" t="s">
        <v>21</v>
      </c>
      <c r="K426" s="2">
        <v>12.75</v>
      </c>
      <c r="L426" s="3">
        <v>987.99</v>
      </c>
      <c r="M426" s="3">
        <f>orders_1[[#This Row],[products.Base_Price]]*orders_1[[#This Row],[Quantity]]</f>
        <v>19759.8</v>
      </c>
      <c r="N426" t="s">
        <v>24</v>
      </c>
      <c r="O426" t="s">
        <v>25</v>
      </c>
      <c r="P426" t="s">
        <v>19</v>
      </c>
    </row>
    <row r="427" spans="1:16" x14ac:dyDescent="0.3">
      <c r="A427" s="2">
        <v>10426</v>
      </c>
      <c r="B427" s="2">
        <v>634</v>
      </c>
      <c r="C427" s="2">
        <v>2084</v>
      </c>
      <c r="D427" s="2">
        <v>304</v>
      </c>
      <c r="E427" s="4">
        <v>45332</v>
      </c>
      <c r="F427" s="4">
        <v>45338</v>
      </c>
      <c r="G427" s="2">
        <f t="shared" si="6"/>
        <v>6</v>
      </c>
      <c r="H427" s="2">
        <v>34</v>
      </c>
      <c r="I427" t="s">
        <v>42</v>
      </c>
      <c r="J427" t="s">
        <v>21</v>
      </c>
      <c r="K427" s="2">
        <v>14.27</v>
      </c>
      <c r="L427" s="3">
        <v>223.58</v>
      </c>
      <c r="M427" s="3">
        <f>orders_1[[#This Row],[products.Base_Price]]*orders_1[[#This Row],[Quantity]]</f>
        <v>7601.72</v>
      </c>
      <c r="N427" t="s">
        <v>17</v>
      </c>
      <c r="O427" t="s">
        <v>18</v>
      </c>
      <c r="P427" t="s">
        <v>19</v>
      </c>
    </row>
    <row r="428" spans="1:16" x14ac:dyDescent="0.3">
      <c r="A428" s="2">
        <v>10427</v>
      </c>
      <c r="B428" s="2">
        <v>737</v>
      </c>
      <c r="C428" s="2">
        <v>2081</v>
      </c>
      <c r="D428" s="2">
        <v>313</v>
      </c>
      <c r="E428" s="4">
        <v>45453</v>
      </c>
      <c r="F428" s="4">
        <v>45459</v>
      </c>
      <c r="G428" s="2">
        <f t="shared" si="6"/>
        <v>6</v>
      </c>
      <c r="H428" s="2">
        <v>23</v>
      </c>
      <c r="I428" t="s">
        <v>39</v>
      </c>
      <c r="J428" t="s">
        <v>21</v>
      </c>
      <c r="K428" s="2">
        <v>20.72</v>
      </c>
      <c r="L428" s="3">
        <v>668.31</v>
      </c>
      <c r="M428" s="3">
        <f>orders_1[[#This Row],[products.Base_Price]]*orders_1[[#This Row],[Quantity]]</f>
        <v>15371.13</v>
      </c>
      <c r="N428" t="s">
        <v>15</v>
      </c>
      <c r="O428" t="s">
        <v>25</v>
      </c>
      <c r="P428" t="s">
        <v>16</v>
      </c>
    </row>
    <row r="429" spans="1:16" x14ac:dyDescent="0.3">
      <c r="A429" s="2">
        <v>10428</v>
      </c>
      <c r="B429" s="2">
        <v>527</v>
      </c>
      <c r="C429" s="2">
        <v>2083</v>
      </c>
      <c r="D429" s="2">
        <v>305</v>
      </c>
      <c r="E429" s="4">
        <v>45442</v>
      </c>
      <c r="F429" s="4">
        <v>45450</v>
      </c>
      <c r="G429" s="2">
        <f t="shared" si="6"/>
        <v>8</v>
      </c>
      <c r="H429" s="2">
        <v>63</v>
      </c>
      <c r="I429" t="s">
        <v>42</v>
      </c>
      <c r="J429" t="s">
        <v>22</v>
      </c>
      <c r="K429" s="2">
        <v>13.79</v>
      </c>
      <c r="L429" s="3">
        <v>843.82</v>
      </c>
      <c r="M429" s="3">
        <f>orders_1[[#This Row],[products.Base_Price]]*orders_1[[#This Row],[Quantity]]</f>
        <v>53160.66</v>
      </c>
      <c r="N429" t="s">
        <v>20</v>
      </c>
      <c r="O429" t="s">
        <v>10</v>
      </c>
      <c r="P429" t="s">
        <v>19</v>
      </c>
    </row>
    <row r="430" spans="1:16" x14ac:dyDescent="0.3">
      <c r="A430" s="2">
        <v>10429</v>
      </c>
      <c r="B430" s="2">
        <v>891</v>
      </c>
      <c r="C430" s="2">
        <v>2066</v>
      </c>
      <c r="D430" s="2">
        <v>304</v>
      </c>
      <c r="E430" s="4">
        <v>45613</v>
      </c>
      <c r="F430" s="4">
        <v>45621</v>
      </c>
      <c r="G430" s="2">
        <f t="shared" si="6"/>
        <v>8</v>
      </c>
      <c r="H430" s="2">
        <v>39</v>
      </c>
      <c r="I430" t="s">
        <v>39</v>
      </c>
      <c r="J430" t="s">
        <v>9</v>
      </c>
      <c r="K430" s="2">
        <v>43.64</v>
      </c>
      <c r="L430" s="3">
        <v>832.31</v>
      </c>
      <c r="M430" s="3">
        <f>orders_1[[#This Row],[products.Base_Price]]*orders_1[[#This Row],[Quantity]]</f>
        <v>32460.089999999997</v>
      </c>
      <c r="N430" t="s">
        <v>17</v>
      </c>
      <c r="O430" t="s">
        <v>18</v>
      </c>
      <c r="P430" t="s">
        <v>19</v>
      </c>
    </row>
    <row r="431" spans="1:16" x14ac:dyDescent="0.3">
      <c r="A431" s="2">
        <v>10430</v>
      </c>
      <c r="B431" s="2">
        <v>786</v>
      </c>
      <c r="C431" s="2">
        <v>2028</v>
      </c>
      <c r="D431" s="2">
        <v>306</v>
      </c>
      <c r="E431" s="4">
        <v>45310</v>
      </c>
      <c r="F431" s="4">
        <v>45315</v>
      </c>
      <c r="G431" s="2">
        <f t="shared" si="6"/>
        <v>5</v>
      </c>
      <c r="H431" s="2">
        <v>38</v>
      </c>
      <c r="I431" t="s">
        <v>39</v>
      </c>
      <c r="J431" t="s">
        <v>13</v>
      </c>
      <c r="K431" s="2">
        <v>30.34</v>
      </c>
      <c r="L431" s="3">
        <v>630.65</v>
      </c>
      <c r="M431" s="3">
        <f>orders_1[[#This Row],[products.Base_Price]]*orders_1[[#This Row],[Quantity]]</f>
        <v>23964.7</v>
      </c>
      <c r="N431" t="s">
        <v>8</v>
      </c>
      <c r="O431" t="s">
        <v>10</v>
      </c>
      <c r="P431" t="s">
        <v>16</v>
      </c>
    </row>
    <row r="432" spans="1:16" x14ac:dyDescent="0.3">
      <c r="A432" s="2">
        <v>10431</v>
      </c>
      <c r="B432" s="2">
        <v>747</v>
      </c>
      <c r="C432" s="2">
        <v>2065</v>
      </c>
      <c r="D432" s="2">
        <v>311</v>
      </c>
      <c r="E432" s="4">
        <v>45485</v>
      </c>
      <c r="F432" s="4">
        <v>45489</v>
      </c>
      <c r="G432" s="2">
        <f t="shared" si="6"/>
        <v>4</v>
      </c>
      <c r="H432" s="2">
        <v>44</v>
      </c>
      <c r="I432" t="s">
        <v>42</v>
      </c>
      <c r="J432" t="s">
        <v>13</v>
      </c>
      <c r="K432" s="2">
        <v>26.94</v>
      </c>
      <c r="L432" s="3">
        <v>155.15</v>
      </c>
      <c r="M432" s="3">
        <f>orders_1[[#This Row],[products.Base_Price]]*orders_1[[#This Row],[Quantity]]</f>
        <v>6826.6</v>
      </c>
      <c r="N432" t="s">
        <v>26</v>
      </c>
      <c r="O432" t="s">
        <v>10</v>
      </c>
      <c r="P432" t="s">
        <v>11</v>
      </c>
    </row>
    <row r="433" spans="1:16" x14ac:dyDescent="0.3">
      <c r="A433" s="2">
        <v>10432</v>
      </c>
      <c r="B433" s="2">
        <v>784</v>
      </c>
      <c r="C433" s="2">
        <v>2046</v>
      </c>
      <c r="D433" s="2">
        <v>315</v>
      </c>
      <c r="E433" s="4">
        <v>45426</v>
      </c>
      <c r="F433" s="4">
        <v>45436</v>
      </c>
      <c r="G433" s="2">
        <f t="shared" si="6"/>
        <v>10</v>
      </c>
      <c r="H433" s="2">
        <v>78</v>
      </c>
      <c r="I433" t="s">
        <v>39</v>
      </c>
      <c r="J433" t="s">
        <v>27</v>
      </c>
      <c r="K433" s="2">
        <v>38.130000000000003</v>
      </c>
      <c r="L433" s="3">
        <v>649.34</v>
      </c>
      <c r="M433" s="3">
        <f>orders_1[[#This Row],[products.Base_Price]]*orders_1[[#This Row],[Quantity]]</f>
        <v>50648.520000000004</v>
      </c>
      <c r="N433" t="s">
        <v>15</v>
      </c>
      <c r="O433" t="s">
        <v>25</v>
      </c>
      <c r="P433" t="s">
        <v>19</v>
      </c>
    </row>
    <row r="434" spans="1:16" x14ac:dyDescent="0.3">
      <c r="A434" s="2">
        <v>10433</v>
      </c>
      <c r="B434" s="2">
        <v>876</v>
      </c>
      <c r="C434" s="2">
        <v>2094</v>
      </c>
      <c r="D434" s="2">
        <v>316</v>
      </c>
      <c r="E434" s="4">
        <v>45515</v>
      </c>
      <c r="F434" s="4">
        <v>45519</v>
      </c>
      <c r="G434" s="2">
        <f t="shared" si="6"/>
        <v>4</v>
      </c>
      <c r="H434" s="2">
        <v>69</v>
      </c>
      <c r="I434" t="s">
        <v>42</v>
      </c>
      <c r="J434" t="s">
        <v>27</v>
      </c>
      <c r="K434" s="2">
        <v>22.56</v>
      </c>
      <c r="L434" s="3">
        <v>393.53</v>
      </c>
      <c r="M434" s="3">
        <f>orders_1[[#This Row],[products.Base_Price]]*orders_1[[#This Row],[Quantity]]</f>
        <v>27153.57</v>
      </c>
      <c r="N434" t="s">
        <v>24</v>
      </c>
      <c r="O434" t="s">
        <v>25</v>
      </c>
      <c r="P434" t="s">
        <v>19</v>
      </c>
    </row>
    <row r="435" spans="1:16" x14ac:dyDescent="0.3">
      <c r="A435" s="2">
        <v>10434</v>
      </c>
      <c r="B435" s="2">
        <v>747</v>
      </c>
      <c r="C435" s="2">
        <v>2042</v>
      </c>
      <c r="D435" s="2">
        <v>308</v>
      </c>
      <c r="E435" s="4">
        <v>45595</v>
      </c>
      <c r="F435" s="4">
        <v>45599</v>
      </c>
      <c r="G435" s="2">
        <f t="shared" si="6"/>
        <v>4</v>
      </c>
      <c r="H435" s="2">
        <v>58</v>
      </c>
      <c r="I435" t="s">
        <v>78</v>
      </c>
      <c r="J435" t="s">
        <v>27</v>
      </c>
      <c r="K435" s="2">
        <v>46.87</v>
      </c>
      <c r="L435" s="3">
        <v>313.88</v>
      </c>
      <c r="M435" s="3">
        <f>orders_1[[#This Row],[products.Base_Price]]*orders_1[[#This Row],[Quantity]]</f>
        <v>18205.04</v>
      </c>
      <c r="N435" t="s">
        <v>23</v>
      </c>
      <c r="O435" t="s">
        <v>14</v>
      </c>
      <c r="P435" t="s">
        <v>19</v>
      </c>
    </row>
    <row r="436" spans="1:16" x14ac:dyDescent="0.3">
      <c r="A436" s="2">
        <v>10435</v>
      </c>
      <c r="B436" s="2">
        <v>572</v>
      </c>
      <c r="C436" s="2">
        <v>2019</v>
      </c>
      <c r="D436" s="2">
        <v>303</v>
      </c>
      <c r="E436" s="4">
        <v>45616</v>
      </c>
      <c r="F436" s="4">
        <v>45617</v>
      </c>
      <c r="G436" s="2">
        <f t="shared" si="6"/>
        <v>1</v>
      </c>
      <c r="H436" s="2">
        <v>11</v>
      </c>
      <c r="I436" t="s">
        <v>78</v>
      </c>
      <c r="J436" t="s">
        <v>22</v>
      </c>
      <c r="K436" s="2">
        <v>27.65</v>
      </c>
      <c r="L436" s="3">
        <v>89.85</v>
      </c>
      <c r="M436" s="3">
        <f>orders_1[[#This Row],[products.Base_Price]]*orders_1[[#This Row],[Quantity]]</f>
        <v>988.34999999999991</v>
      </c>
      <c r="N436" t="s">
        <v>15</v>
      </c>
      <c r="O436" t="s">
        <v>10</v>
      </c>
      <c r="P436" t="s">
        <v>16</v>
      </c>
    </row>
    <row r="437" spans="1:16" x14ac:dyDescent="0.3">
      <c r="A437" s="2">
        <v>10436</v>
      </c>
      <c r="B437" s="2">
        <v>656</v>
      </c>
      <c r="C437" s="2">
        <v>2076</v>
      </c>
      <c r="D437" s="2">
        <v>320</v>
      </c>
      <c r="E437" s="4">
        <v>45297</v>
      </c>
      <c r="F437" s="4">
        <v>45300</v>
      </c>
      <c r="G437" s="2">
        <f t="shared" si="6"/>
        <v>3</v>
      </c>
      <c r="H437" s="2">
        <v>79</v>
      </c>
      <c r="I437" t="s">
        <v>36</v>
      </c>
      <c r="J437" t="s">
        <v>13</v>
      </c>
      <c r="K437" s="2">
        <v>14.63</v>
      </c>
      <c r="L437" s="3">
        <v>638.11</v>
      </c>
      <c r="M437" s="3">
        <f>orders_1[[#This Row],[products.Base_Price]]*orders_1[[#This Row],[Quantity]]</f>
        <v>50410.69</v>
      </c>
      <c r="N437" t="s">
        <v>15</v>
      </c>
      <c r="O437" t="s">
        <v>25</v>
      </c>
      <c r="P437" t="s">
        <v>11</v>
      </c>
    </row>
    <row r="438" spans="1:16" x14ac:dyDescent="0.3">
      <c r="A438" s="2">
        <v>10437</v>
      </c>
      <c r="B438" s="2">
        <v>575</v>
      </c>
      <c r="C438" s="2">
        <v>2081</v>
      </c>
      <c r="D438" s="2">
        <v>302</v>
      </c>
      <c r="E438" s="4">
        <v>45338</v>
      </c>
      <c r="F438" s="4">
        <v>45339</v>
      </c>
      <c r="G438" s="2">
        <f t="shared" si="6"/>
        <v>1</v>
      </c>
      <c r="H438" s="2">
        <v>4</v>
      </c>
      <c r="I438" t="s">
        <v>78</v>
      </c>
      <c r="J438" t="s">
        <v>21</v>
      </c>
      <c r="K438" s="2">
        <v>20.72</v>
      </c>
      <c r="L438" s="3">
        <v>668.31</v>
      </c>
      <c r="M438" s="3">
        <f>orders_1[[#This Row],[products.Base_Price]]*orders_1[[#This Row],[Quantity]]</f>
        <v>2673.24</v>
      </c>
      <c r="N438" t="s">
        <v>12</v>
      </c>
      <c r="O438" t="s">
        <v>14</v>
      </c>
      <c r="P438" t="s">
        <v>11</v>
      </c>
    </row>
    <row r="439" spans="1:16" x14ac:dyDescent="0.3">
      <c r="A439" s="2">
        <v>10438</v>
      </c>
      <c r="B439" s="2">
        <v>636</v>
      </c>
      <c r="C439" s="2">
        <v>2073</v>
      </c>
      <c r="D439" s="2">
        <v>307</v>
      </c>
      <c r="E439" s="4">
        <v>45607</v>
      </c>
      <c r="F439" s="4">
        <v>45617</v>
      </c>
      <c r="G439" s="2">
        <f t="shared" si="6"/>
        <v>10</v>
      </c>
      <c r="H439" s="2">
        <v>13</v>
      </c>
      <c r="I439" t="s">
        <v>42</v>
      </c>
      <c r="J439" t="s">
        <v>9</v>
      </c>
      <c r="K439" s="2">
        <v>11.78</v>
      </c>
      <c r="L439" s="3">
        <v>416.74</v>
      </c>
      <c r="M439" s="3">
        <f>orders_1[[#This Row],[products.Base_Price]]*orders_1[[#This Row],[Quantity]]</f>
        <v>5417.62</v>
      </c>
      <c r="N439" t="s">
        <v>17</v>
      </c>
      <c r="O439" t="s">
        <v>10</v>
      </c>
      <c r="P439" t="s">
        <v>11</v>
      </c>
    </row>
    <row r="440" spans="1:16" x14ac:dyDescent="0.3">
      <c r="A440" s="2">
        <v>10439</v>
      </c>
      <c r="B440" s="2">
        <v>701</v>
      </c>
      <c r="C440" s="2">
        <v>2075</v>
      </c>
      <c r="D440" s="2">
        <v>301</v>
      </c>
      <c r="E440" s="4">
        <v>45459</v>
      </c>
      <c r="F440" s="4">
        <v>45463</v>
      </c>
      <c r="G440" s="2">
        <f t="shared" si="6"/>
        <v>4</v>
      </c>
      <c r="H440" s="2">
        <v>67</v>
      </c>
      <c r="I440" t="s">
        <v>39</v>
      </c>
      <c r="J440" t="s">
        <v>27</v>
      </c>
      <c r="K440" s="2">
        <v>16.57</v>
      </c>
      <c r="L440" s="3">
        <v>429.9</v>
      </c>
      <c r="M440" s="3">
        <f>orders_1[[#This Row],[products.Base_Price]]*orders_1[[#This Row],[Quantity]]</f>
        <v>28803.3</v>
      </c>
      <c r="N440" t="s">
        <v>8</v>
      </c>
      <c r="O440" t="s">
        <v>10</v>
      </c>
      <c r="P440" t="s">
        <v>11</v>
      </c>
    </row>
    <row r="441" spans="1:16" x14ac:dyDescent="0.3">
      <c r="A441" s="2">
        <v>10440</v>
      </c>
      <c r="B441" s="2">
        <v>582</v>
      </c>
      <c r="C441" s="2">
        <v>2053</v>
      </c>
      <c r="D441" s="2">
        <v>306</v>
      </c>
      <c r="E441" s="4">
        <v>45312</v>
      </c>
      <c r="F441" s="4">
        <v>45315</v>
      </c>
      <c r="G441" s="2">
        <f t="shared" si="6"/>
        <v>3</v>
      </c>
      <c r="H441" s="2">
        <v>58</v>
      </c>
      <c r="I441" t="s">
        <v>36</v>
      </c>
      <c r="J441" t="s">
        <v>22</v>
      </c>
      <c r="K441" s="2">
        <v>34.54</v>
      </c>
      <c r="L441" s="3">
        <v>162.21</v>
      </c>
      <c r="M441" s="3">
        <f>orders_1[[#This Row],[products.Base_Price]]*orders_1[[#This Row],[Quantity]]</f>
        <v>9408.18</v>
      </c>
      <c r="N441" t="s">
        <v>8</v>
      </c>
      <c r="O441" t="s">
        <v>10</v>
      </c>
      <c r="P441" t="s">
        <v>16</v>
      </c>
    </row>
    <row r="442" spans="1:16" x14ac:dyDescent="0.3">
      <c r="A442" s="2">
        <v>10441</v>
      </c>
      <c r="B442" s="2">
        <v>834</v>
      </c>
      <c r="C442" s="2">
        <v>2092</v>
      </c>
      <c r="D442" s="2">
        <v>302</v>
      </c>
      <c r="E442" s="4">
        <v>45584</v>
      </c>
      <c r="F442" s="4">
        <v>45593</v>
      </c>
      <c r="G442" s="2">
        <f t="shared" si="6"/>
        <v>9</v>
      </c>
      <c r="H442" s="2">
        <v>49</v>
      </c>
      <c r="I442" t="s">
        <v>39</v>
      </c>
      <c r="J442" t="s">
        <v>22</v>
      </c>
      <c r="K442" s="2">
        <v>30.97</v>
      </c>
      <c r="L442" s="3">
        <v>521.23</v>
      </c>
      <c r="M442" s="3">
        <f>orders_1[[#This Row],[products.Base_Price]]*orders_1[[#This Row],[Quantity]]</f>
        <v>25540.27</v>
      </c>
      <c r="N442" t="s">
        <v>12</v>
      </c>
      <c r="O442" t="s">
        <v>14</v>
      </c>
      <c r="P442" t="s">
        <v>11</v>
      </c>
    </row>
    <row r="443" spans="1:16" x14ac:dyDescent="0.3">
      <c r="A443" s="2">
        <v>10442</v>
      </c>
      <c r="B443" s="2">
        <v>754</v>
      </c>
      <c r="C443" s="2">
        <v>2005</v>
      </c>
      <c r="D443" s="2">
        <v>316</v>
      </c>
      <c r="E443" s="4">
        <v>45611</v>
      </c>
      <c r="F443" s="4">
        <v>45617</v>
      </c>
      <c r="G443" s="2">
        <f t="shared" si="6"/>
        <v>6</v>
      </c>
      <c r="H443" s="2">
        <v>96</v>
      </c>
      <c r="I443" t="s">
        <v>42</v>
      </c>
      <c r="J443" t="s">
        <v>9</v>
      </c>
      <c r="K443" s="2">
        <v>13.6</v>
      </c>
      <c r="L443" s="3">
        <v>606.04999999999995</v>
      </c>
      <c r="M443" s="3">
        <f>orders_1[[#This Row],[products.Base_Price]]*orders_1[[#This Row],[Quantity]]</f>
        <v>58180.799999999996</v>
      </c>
      <c r="N443" t="s">
        <v>24</v>
      </c>
      <c r="O443" t="s">
        <v>25</v>
      </c>
      <c r="P443" t="s">
        <v>19</v>
      </c>
    </row>
    <row r="444" spans="1:16" x14ac:dyDescent="0.3">
      <c r="A444" s="2">
        <v>10443</v>
      </c>
      <c r="B444" s="2">
        <v>780</v>
      </c>
      <c r="C444" s="2">
        <v>2048</v>
      </c>
      <c r="D444" s="2">
        <v>302</v>
      </c>
      <c r="E444" s="4">
        <v>45583</v>
      </c>
      <c r="F444" s="4">
        <v>45593</v>
      </c>
      <c r="G444" s="2">
        <f t="shared" si="6"/>
        <v>10</v>
      </c>
      <c r="H444" s="2">
        <v>4</v>
      </c>
      <c r="I444" t="s">
        <v>78</v>
      </c>
      <c r="J444" t="s">
        <v>22</v>
      </c>
      <c r="K444" s="2">
        <v>6.74</v>
      </c>
      <c r="L444" s="3">
        <v>864.57</v>
      </c>
      <c r="M444" s="3">
        <f>orders_1[[#This Row],[products.Base_Price]]*orders_1[[#This Row],[Quantity]]</f>
        <v>3458.28</v>
      </c>
      <c r="N444" t="s">
        <v>12</v>
      </c>
      <c r="O444" t="s">
        <v>14</v>
      </c>
      <c r="P444" t="s">
        <v>11</v>
      </c>
    </row>
    <row r="445" spans="1:16" x14ac:dyDescent="0.3">
      <c r="A445" s="2">
        <v>10444</v>
      </c>
      <c r="B445" s="2">
        <v>610</v>
      </c>
      <c r="C445" s="2">
        <v>2064</v>
      </c>
      <c r="D445" s="2">
        <v>301</v>
      </c>
      <c r="E445" s="4">
        <v>45505</v>
      </c>
      <c r="F445" s="4">
        <v>45514</v>
      </c>
      <c r="G445" s="2">
        <f t="shared" si="6"/>
        <v>9</v>
      </c>
      <c r="H445" s="2">
        <v>80</v>
      </c>
      <c r="I445" t="s">
        <v>36</v>
      </c>
      <c r="J445" t="s">
        <v>21</v>
      </c>
      <c r="K445" s="2">
        <v>15.41</v>
      </c>
      <c r="L445" s="3">
        <v>203.79</v>
      </c>
      <c r="M445" s="3">
        <f>orders_1[[#This Row],[products.Base_Price]]*orders_1[[#This Row],[Quantity]]</f>
        <v>16303.199999999999</v>
      </c>
      <c r="N445" t="s">
        <v>8</v>
      </c>
      <c r="O445" t="s">
        <v>10</v>
      </c>
      <c r="P445" t="s">
        <v>11</v>
      </c>
    </row>
    <row r="446" spans="1:16" x14ac:dyDescent="0.3">
      <c r="A446" s="2">
        <v>10445</v>
      </c>
      <c r="B446" s="2">
        <v>756</v>
      </c>
      <c r="C446" s="2">
        <v>2074</v>
      </c>
      <c r="D446" s="2">
        <v>319</v>
      </c>
      <c r="E446" s="4">
        <v>45340</v>
      </c>
      <c r="F446" s="4">
        <v>45347</v>
      </c>
      <c r="G446" s="2">
        <f t="shared" si="6"/>
        <v>7</v>
      </c>
      <c r="H446" s="2">
        <v>64</v>
      </c>
      <c r="I446" t="s">
        <v>36</v>
      </c>
      <c r="J446" t="s">
        <v>13</v>
      </c>
      <c r="K446" s="2">
        <v>41.45</v>
      </c>
      <c r="L446" s="3">
        <v>650.42999999999995</v>
      </c>
      <c r="M446" s="3">
        <f>orders_1[[#This Row],[products.Base_Price]]*orders_1[[#This Row],[Quantity]]</f>
        <v>41627.519999999997</v>
      </c>
      <c r="N446" t="s">
        <v>20</v>
      </c>
      <c r="O446" t="s">
        <v>18</v>
      </c>
      <c r="P446" t="s">
        <v>11</v>
      </c>
    </row>
    <row r="447" spans="1:16" x14ac:dyDescent="0.3">
      <c r="A447" s="2">
        <v>10446</v>
      </c>
      <c r="B447" s="2">
        <v>653</v>
      </c>
      <c r="C447" s="2">
        <v>2075</v>
      </c>
      <c r="D447" s="2">
        <v>304</v>
      </c>
      <c r="E447" s="4">
        <v>45640</v>
      </c>
      <c r="F447" s="4">
        <v>45641</v>
      </c>
      <c r="G447" s="2">
        <f t="shared" si="6"/>
        <v>1</v>
      </c>
      <c r="H447" s="2">
        <v>50</v>
      </c>
      <c r="I447" t="s">
        <v>36</v>
      </c>
      <c r="J447" t="s">
        <v>27</v>
      </c>
      <c r="K447" s="2">
        <v>16.57</v>
      </c>
      <c r="L447" s="3">
        <v>429.9</v>
      </c>
      <c r="M447" s="3">
        <f>orders_1[[#This Row],[products.Base_Price]]*orders_1[[#This Row],[Quantity]]</f>
        <v>21495</v>
      </c>
      <c r="N447" t="s">
        <v>17</v>
      </c>
      <c r="O447" t="s">
        <v>18</v>
      </c>
      <c r="P447" t="s">
        <v>19</v>
      </c>
    </row>
    <row r="448" spans="1:16" x14ac:dyDescent="0.3">
      <c r="A448" s="2">
        <v>10447</v>
      </c>
      <c r="B448" s="2">
        <v>865</v>
      </c>
      <c r="C448" s="2">
        <v>2048</v>
      </c>
      <c r="D448" s="2">
        <v>317</v>
      </c>
      <c r="E448" s="4">
        <v>45326</v>
      </c>
      <c r="F448" s="4">
        <v>45328</v>
      </c>
      <c r="G448" s="2">
        <f t="shared" si="6"/>
        <v>2</v>
      </c>
      <c r="H448" s="2">
        <v>66</v>
      </c>
      <c r="I448" t="s">
        <v>42</v>
      </c>
      <c r="J448" t="s">
        <v>22</v>
      </c>
      <c r="K448" s="2">
        <v>6.74</v>
      </c>
      <c r="L448" s="3">
        <v>864.57</v>
      </c>
      <c r="M448" s="3">
        <f>orders_1[[#This Row],[products.Base_Price]]*orders_1[[#This Row],[Quantity]]</f>
        <v>57061.62</v>
      </c>
      <c r="N448" t="s">
        <v>20</v>
      </c>
      <c r="O448" t="s">
        <v>25</v>
      </c>
      <c r="P448" t="s">
        <v>19</v>
      </c>
    </row>
    <row r="449" spans="1:16" x14ac:dyDescent="0.3">
      <c r="A449" s="2">
        <v>10448</v>
      </c>
      <c r="B449" s="2">
        <v>827</v>
      </c>
      <c r="C449" s="2">
        <v>2056</v>
      </c>
      <c r="D449" s="2">
        <v>305</v>
      </c>
      <c r="E449" s="4">
        <v>45607</v>
      </c>
      <c r="F449" s="4">
        <v>45609</v>
      </c>
      <c r="G449" s="2">
        <f t="shared" si="6"/>
        <v>2</v>
      </c>
      <c r="H449" s="2">
        <v>32</v>
      </c>
      <c r="I449" t="s">
        <v>39</v>
      </c>
      <c r="J449" t="s">
        <v>9</v>
      </c>
      <c r="K449" s="2">
        <v>18.559999999999999</v>
      </c>
      <c r="L449" s="3">
        <v>564.01</v>
      </c>
      <c r="M449" s="3">
        <f>orders_1[[#This Row],[products.Base_Price]]*orders_1[[#This Row],[Quantity]]</f>
        <v>18048.32</v>
      </c>
      <c r="N449" t="s">
        <v>20</v>
      </c>
      <c r="O449" t="s">
        <v>10</v>
      </c>
      <c r="P449" t="s">
        <v>19</v>
      </c>
    </row>
    <row r="450" spans="1:16" x14ac:dyDescent="0.3">
      <c r="A450" s="2">
        <v>10449</v>
      </c>
      <c r="B450" s="2">
        <v>648</v>
      </c>
      <c r="C450" s="2">
        <v>2053</v>
      </c>
      <c r="D450" s="2">
        <v>306</v>
      </c>
      <c r="E450" s="4">
        <v>45378</v>
      </c>
      <c r="F450" s="4">
        <v>45386</v>
      </c>
      <c r="G450" s="2">
        <f t="shared" ref="G450:G513" si="7">F450-E450</f>
        <v>8</v>
      </c>
      <c r="H450" s="2">
        <v>15</v>
      </c>
      <c r="I450" t="s">
        <v>78</v>
      </c>
      <c r="J450" t="s">
        <v>22</v>
      </c>
      <c r="K450" s="2">
        <v>34.54</v>
      </c>
      <c r="L450" s="3">
        <v>162.21</v>
      </c>
      <c r="M450" s="3">
        <f>orders_1[[#This Row],[products.Base_Price]]*orders_1[[#This Row],[Quantity]]</f>
        <v>2433.15</v>
      </c>
      <c r="N450" t="s">
        <v>8</v>
      </c>
      <c r="O450" t="s">
        <v>10</v>
      </c>
      <c r="P450" t="s">
        <v>16</v>
      </c>
    </row>
    <row r="451" spans="1:16" x14ac:dyDescent="0.3">
      <c r="A451" s="2">
        <v>10450</v>
      </c>
      <c r="B451" s="2">
        <v>802</v>
      </c>
      <c r="C451" s="2">
        <v>2074</v>
      </c>
      <c r="D451" s="2">
        <v>315</v>
      </c>
      <c r="E451" s="4">
        <v>45296</v>
      </c>
      <c r="F451" s="4">
        <v>45298</v>
      </c>
      <c r="G451" s="2">
        <f t="shared" si="7"/>
        <v>2</v>
      </c>
      <c r="H451" s="2">
        <v>60</v>
      </c>
      <c r="I451" t="s">
        <v>78</v>
      </c>
      <c r="J451" t="s">
        <v>13</v>
      </c>
      <c r="K451" s="2">
        <v>41.45</v>
      </c>
      <c r="L451" s="3">
        <v>650.42999999999995</v>
      </c>
      <c r="M451" s="3">
        <f>orders_1[[#This Row],[products.Base_Price]]*orders_1[[#This Row],[Quantity]]</f>
        <v>39025.799999999996</v>
      </c>
      <c r="N451" t="s">
        <v>15</v>
      </c>
      <c r="O451" t="s">
        <v>25</v>
      </c>
      <c r="P451" t="s">
        <v>19</v>
      </c>
    </row>
    <row r="452" spans="1:16" x14ac:dyDescent="0.3">
      <c r="A452" s="2">
        <v>10451</v>
      </c>
      <c r="B452" s="2">
        <v>541</v>
      </c>
      <c r="C452" s="2">
        <v>2058</v>
      </c>
      <c r="D452" s="2">
        <v>302</v>
      </c>
      <c r="E452" s="4">
        <v>45564</v>
      </c>
      <c r="F452" s="4">
        <v>45569</v>
      </c>
      <c r="G452" s="2">
        <f t="shared" si="7"/>
        <v>5</v>
      </c>
      <c r="H452" s="2">
        <v>47</v>
      </c>
      <c r="I452" t="s">
        <v>36</v>
      </c>
      <c r="J452" t="s">
        <v>27</v>
      </c>
      <c r="K452" s="2">
        <v>28.48</v>
      </c>
      <c r="L452" s="3">
        <v>13.34</v>
      </c>
      <c r="M452" s="3">
        <f>orders_1[[#This Row],[products.Base_Price]]*orders_1[[#This Row],[Quantity]]</f>
        <v>626.98</v>
      </c>
      <c r="N452" t="s">
        <v>12</v>
      </c>
      <c r="O452" t="s">
        <v>14</v>
      </c>
      <c r="P452" t="s">
        <v>11</v>
      </c>
    </row>
    <row r="453" spans="1:16" x14ac:dyDescent="0.3">
      <c r="A453" s="2">
        <v>10452</v>
      </c>
      <c r="B453" s="2">
        <v>613</v>
      </c>
      <c r="C453" s="2">
        <v>2046</v>
      </c>
      <c r="D453" s="2">
        <v>304</v>
      </c>
      <c r="E453" s="4">
        <v>45348</v>
      </c>
      <c r="F453" s="4">
        <v>45355</v>
      </c>
      <c r="G453" s="2">
        <f t="shared" si="7"/>
        <v>7</v>
      </c>
      <c r="H453" s="2">
        <v>35</v>
      </c>
      <c r="I453" t="s">
        <v>36</v>
      </c>
      <c r="J453" t="s">
        <v>27</v>
      </c>
      <c r="K453" s="2">
        <v>38.130000000000003</v>
      </c>
      <c r="L453" s="3">
        <v>649.34</v>
      </c>
      <c r="M453" s="3">
        <f>orders_1[[#This Row],[products.Base_Price]]*orders_1[[#This Row],[Quantity]]</f>
        <v>22726.9</v>
      </c>
      <c r="N453" t="s">
        <v>17</v>
      </c>
      <c r="O453" t="s">
        <v>18</v>
      </c>
      <c r="P453" t="s">
        <v>19</v>
      </c>
    </row>
    <row r="454" spans="1:16" x14ac:dyDescent="0.3">
      <c r="A454" s="2">
        <v>10453</v>
      </c>
      <c r="B454" s="2">
        <v>591</v>
      </c>
      <c r="C454" s="2">
        <v>2005</v>
      </c>
      <c r="D454" s="2">
        <v>302</v>
      </c>
      <c r="E454" s="4">
        <v>45580</v>
      </c>
      <c r="F454" s="4">
        <v>45588</v>
      </c>
      <c r="G454" s="2">
        <f t="shared" si="7"/>
        <v>8</v>
      </c>
      <c r="H454" s="2">
        <v>92</v>
      </c>
      <c r="I454" t="s">
        <v>36</v>
      </c>
      <c r="J454" t="s">
        <v>9</v>
      </c>
      <c r="K454" s="2">
        <v>13.6</v>
      </c>
      <c r="L454" s="3">
        <v>606.04999999999995</v>
      </c>
      <c r="M454" s="3">
        <f>orders_1[[#This Row],[products.Base_Price]]*orders_1[[#This Row],[Quantity]]</f>
        <v>55756.6</v>
      </c>
      <c r="N454" t="s">
        <v>12</v>
      </c>
      <c r="O454" t="s">
        <v>14</v>
      </c>
      <c r="P454" t="s">
        <v>11</v>
      </c>
    </row>
    <row r="455" spans="1:16" x14ac:dyDescent="0.3">
      <c r="A455" s="2">
        <v>10454</v>
      </c>
      <c r="B455" s="2">
        <v>789</v>
      </c>
      <c r="C455" s="2">
        <v>2068</v>
      </c>
      <c r="D455" s="2">
        <v>304</v>
      </c>
      <c r="E455" s="4">
        <v>45345</v>
      </c>
      <c r="F455" s="4">
        <v>45354</v>
      </c>
      <c r="G455" s="2">
        <f t="shared" si="7"/>
        <v>9</v>
      </c>
      <c r="H455" s="2">
        <v>94</v>
      </c>
      <c r="I455" t="s">
        <v>78</v>
      </c>
      <c r="J455" t="s">
        <v>27</v>
      </c>
      <c r="K455" s="2">
        <v>47.08</v>
      </c>
      <c r="L455" s="3">
        <v>501.03</v>
      </c>
      <c r="M455" s="3">
        <f>orders_1[[#This Row],[products.Base_Price]]*orders_1[[#This Row],[Quantity]]</f>
        <v>47096.82</v>
      </c>
      <c r="N455" t="s">
        <v>17</v>
      </c>
      <c r="O455" t="s">
        <v>18</v>
      </c>
      <c r="P455" t="s">
        <v>19</v>
      </c>
    </row>
    <row r="456" spans="1:16" x14ac:dyDescent="0.3">
      <c r="A456" s="2">
        <v>10455</v>
      </c>
      <c r="B456" s="2">
        <v>599</v>
      </c>
      <c r="C456" s="2">
        <v>2028</v>
      </c>
      <c r="D456" s="2">
        <v>304</v>
      </c>
      <c r="E456" s="4">
        <v>45299</v>
      </c>
      <c r="F456" s="4">
        <v>45305</v>
      </c>
      <c r="G456" s="2">
        <f t="shared" si="7"/>
        <v>6</v>
      </c>
      <c r="H456" s="2">
        <v>90</v>
      </c>
      <c r="I456" t="s">
        <v>39</v>
      </c>
      <c r="J456" t="s">
        <v>13</v>
      </c>
      <c r="K456" s="2">
        <v>30.34</v>
      </c>
      <c r="L456" s="3">
        <v>630.65</v>
      </c>
      <c r="M456" s="3">
        <f>orders_1[[#This Row],[products.Base_Price]]*orders_1[[#This Row],[Quantity]]</f>
        <v>56758.5</v>
      </c>
      <c r="N456" t="s">
        <v>17</v>
      </c>
      <c r="O456" t="s">
        <v>18</v>
      </c>
      <c r="P456" t="s">
        <v>19</v>
      </c>
    </row>
    <row r="457" spans="1:16" x14ac:dyDescent="0.3">
      <c r="A457" s="2">
        <v>10456</v>
      </c>
      <c r="B457" s="2">
        <v>877</v>
      </c>
      <c r="C457" s="2">
        <v>2095</v>
      </c>
      <c r="D457" s="2">
        <v>304</v>
      </c>
      <c r="E457" s="4">
        <v>45564</v>
      </c>
      <c r="F457" s="4">
        <v>45572</v>
      </c>
      <c r="G457" s="2">
        <f t="shared" si="7"/>
        <v>8</v>
      </c>
      <c r="H457" s="2">
        <v>76</v>
      </c>
      <c r="I457" t="s">
        <v>42</v>
      </c>
      <c r="J457" t="s">
        <v>13</v>
      </c>
      <c r="K457" s="2">
        <v>38.81</v>
      </c>
      <c r="L457" s="3">
        <v>761.63</v>
      </c>
      <c r="M457" s="3">
        <f>orders_1[[#This Row],[products.Base_Price]]*orders_1[[#This Row],[Quantity]]</f>
        <v>57883.88</v>
      </c>
      <c r="N457" t="s">
        <v>17</v>
      </c>
      <c r="O457" t="s">
        <v>18</v>
      </c>
      <c r="P457" t="s">
        <v>19</v>
      </c>
    </row>
    <row r="458" spans="1:16" x14ac:dyDescent="0.3">
      <c r="A458" s="2">
        <v>10457</v>
      </c>
      <c r="B458" s="2">
        <v>840</v>
      </c>
      <c r="C458" s="2">
        <v>2019</v>
      </c>
      <c r="D458" s="2">
        <v>320</v>
      </c>
      <c r="E458" s="4">
        <v>45433</v>
      </c>
      <c r="F458" s="4">
        <v>45437</v>
      </c>
      <c r="G458" s="2">
        <f t="shared" si="7"/>
        <v>4</v>
      </c>
      <c r="H458" s="2">
        <v>91</v>
      </c>
      <c r="I458" t="s">
        <v>39</v>
      </c>
      <c r="J458" t="s">
        <v>22</v>
      </c>
      <c r="K458" s="2">
        <v>27.65</v>
      </c>
      <c r="L458" s="3">
        <v>89.85</v>
      </c>
      <c r="M458" s="3">
        <f>orders_1[[#This Row],[products.Base_Price]]*orders_1[[#This Row],[Quantity]]</f>
        <v>8176.3499999999995</v>
      </c>
      <c r="N458" t="s">
        <v>15</v>
      </c>
      <c r="O458" t="s">
        <v>25</v>
      </c>
      <c r="P458" t="s">
        <v>11</v>
      </c>
    </row>
    <row r="459" spans="1:16" x14ac:dyDescent="0.3">
      <c r="A459" s="2">
        <v>10458</v>
      </c>
      <c r="B459" s="2">
        <v>754</v>
      </c>
      <c r="C459" s="2">
        <v>2024</v>
      </c>
      <c r="D459" s="2">
        <v>306</v>
      </c>
      <c r="E459" s="4">
        <v>45473</v>
      </c>
      <c r="F459" s="4">
        <v>45475</v>
      </c>
      <c r="G459" s="2">
        <f t="shared" si="7"/>
        <v>2</v>
      </c>
      <c r="H459" s="2">
        <v>76</v>
      </c>
      <c r="I459" t="s">
        <v>42</v>
      </c>
      <c r="J459" t="s">
        <v>13</v>
      </c>
      <c r="K459" s="2">
        <v>21.16</v>
      </c>
      <c r="L459" s="3">
        <v>291.08</v>
      </c>
      <c r="M459" s="3">
        <f>orders_1[[#This Row],[products.Base_Price]]*orders_1[[#This Row],[Quantity]]</f>
        <v>22122.079999999998</v>
      </c>
      <c r="N459" t="s">
        <v>8</v>
      </c>
      <c r="O459" t="s">
        <v>10</v>
      </c>
      <c r="P459" t="s">
        <v>16</v>
      </c>
    </row>
    <row r="460" spans="1:16" x14ac:dyDescent="0.3">
      <c r="A460" s="2">
        <v>10459</v>
      </c>
      <c r="B460" s="2">
        <v>593</v>
      </c>
      <c r="C460" s="2">
        <v>2001</v>
      </c>
      <c r="D460" s="2">
        <v>302</v>
      </c>
      <c r="E460" s="4">
        <v>45405</v>
      </c>
      <c r="F460" s="4">
        <v>45410</v>
      </c>
      <c r="G460" s="2">
        <f t="shared" si="7"/>
        <v>5</v>
      </c>
      <c r="H460" s="2">
        <v>6</v>
      </c>
      <c r="I460" t="s">
        <v>39</v>
      </c>
      <c r="J460" t="s">
        <v>9</v>
      </c>
      <c r="K460" s="2">
        <v>49.85</v>
      </c>
      <c r="L460" s="3">
        <v>471.41</v>
      </c>
      <c r="M460" s="3">
        <f>orders_1[[#This Row],[products.Base_Price]]*orders_1[[#This Row],[Quantity]]</f>
        <v>2828.46</v>
      </c>
      <c r="N460" t="s">
        <v>12</v>
      </c>
      <c r="O460" t="s">
        <v>14</v>
      </c>
      <c r="P460" t="s">
        <v>11</v>
      </c>
    </row>
    <row r="461" spans="1:16" x14ac:dyDescent="0.3">
      <c r="A461" s="2">
        <v>10460</v>
      </c>
      <c r="B461" s="2">
        <v>895</v>
      </c>
      <c r="C461" s="2">
        <v>2056</v>
      </c>
      <c r="D461" s="2">
        <v>312</v>
      </c>
      <c r="E461" s="4">
        <v>45488</v>
      </c>
      <c r="F461" s="4">
        <v>45498</v>
      </c>
      <c r="G461" s="2">
        <f t="shared" si="7"/>
        <v>10</v>
      </c>
      <c r="H461" s="2">
        <v>85</v>
      </c>
      <c r="I461" t="s">
        <v>42</v>
      </c>
      <c r="J461" t="s">
        <v>9</v>
      </c>
      <c r="K461" s="2">
        <v>18.559999999999999</v>
      </c>
      <c r="L461" s="3">
        <v>564.01</v>
      </c>
      <c r="M461" s="3">
        <f>orders_1[[#This Row],[products.Base_Price]]*orders_1[[#This Row],[Quantity]]</f>
        <v>47940.85</v>
      </c>
      <c r="N461" t="s">
        <v>15</v>
      </c>
      <c r="O461" t="s">
        <v>10</v>
      </c>
      <c r="P461" t="s">
        <v>11</v>
      </c>
    </row>
    <row r="462" spans="1:16" x14ac:dyDescent="0.3">
      <c r="A462" s="2">
        <v>10461</v>
      </c>
      <c r="B462" s="2">
        <v>835</v>
      </c>
      <c r="C462" s="2">
        <v>2008</v>
      </c>
      <c r="D462" s="2">
        <v>305</v>
      </c>
      <c r="E462" s="4">
        <v>45621</v>
      </c>
      <c r="F462" s="4">
        <v>45625</v>
      </c>
      <c r="G462" s="2">
        <f t="shared" si="7"/>
        <v>4</v>
      </c>
      <c r="H462" s="2">
        <v>39</v>
      </c>
      <c r="I462" t="s">
        <v>39</v>
      </c>
      <c r="J462" t="s">
        <v>21</v>
      </c>
      <c r="K462" s="2">
        <v>8.5</v>
      </c>
      <c r="L462" s="3">
        <v>899.21</v>
      </c>
      <c r="M462" s="3">
        <f>orders_1[[#This Row],[products.Base_Price]]*orders_1[[#This Row],[Quantity]]</f>
        <v>35069.19</v>
      </c>
      <c r="N462" t="s">
        <v>20</v>
      </c>
      <c r="O462" t="s">
        <v>10</v>
      </c>
      <c r="P462" t="s">
        <v>19</v>
      </c>
    </row>
    <row r="463" spans="1:16" x14ac:dyDescent="0.3">
      <c r="A463" s="2">
        <v>10462</v>
      </c>
      <c r="B463" s="2">
        <v>843</v>
      </c>
      <c r="C463" s="2">
        <v>2007</v>
      </c>
      <c r="D463" s="2">
        <v>306</v>
      </c>
      <c r="E463" s="4">
        <v>45515</v>
      </c>
      <c r="F463" s="4">
        <v>45521</v>
      </c>
      <c r="G463" s="2">
        <f t="shared" si="7"/>
        <v>6</v>
      </c>
      <c r="H463" s="2">
        <v>80</v>
      </c>
      <c r="I463" t="s">
        <v>42</v>
      </c>
      <c r="J463" t="s">
        <v>21</v>
      </c>
      <c r="K463" s="2">
        <v>48.07</v>
      </c>
      <c r="L463" s="3">
        <v>759.78</v>
      </c>
      <c r="M463" s="3">
        <f>orders_1[[#This Row],[products.Base_Price]]*orders_1[[#This Row],[Quantity]]</f>
        <v>60782.399999999994</v>
      </c>
      <c r="N463" t="s">
        <v>8</v>
      </c>
      <c r="O463" t="s">
        <v>10</v>
      </c>
      <c r="P463" t="s">
        <v>16</v>
      </c>
    </row>
    <row r="464" spans="1:16" x14ac:dyDescent="0.3">
      <c r="A464" s="2">
        <v>10463</v>
      </c>
      <c r="B464" s="2">
        <v>668</v>
      </c>
      <c r="C464" s="2">
        <v>2047</v>
      </c>
      <c r="D464" s="2">
        <v>319</v>
      </c>
      <c r="E464" s="4">
        <v>45566</v>
      </c>
      <c r="F464" s="4">
        <v>45574</v>
      </c>
      <c r="G464" s="2">
        <f t="shared" si="7"/>
        <v>8</v>
      </c>
      <c r="H464" s="2">
        <v>71</v>
      </c>
      <c r="I464" t="s">
        <v>39</v>
      </c>
      <c r="J464" t="s">
        <v>27</v>
      </c>
      <c r="K464" s="2">
        <v>31.72</v>
      </c>
      <c r="L464" s="3">
        <v>210.46</v>
      </c>
      <c r="M464" s="3">
        <f>orders_1[[#This Row],[products.Base_Price]]*orders_1[[#This Row],[Quantity]]</f>
        <v>14942.66</v>
      </c>
      <c r="N464" t="s">
        <v>20</v>
      </c>
      <c r="O464" t="s">
        <v>18</v>
      </c>
      <c r="P464" t="s">
        <v>11</v>
      </c>
    </row>
    <row r="465" spans="1:16" x14ac:dyDescent="0.3">
      <c r="A465" s="2">
        <v>10464</v>
      </c>
      <c r="B465" s="2">
        <v>514</v>
      </c>
      <c r="C465" s="2">
        <v>2035</v>
      </c>
      <c r="D465" s="2">
        <v>305</v>
      </c>
      <c r="E465" s="4">
        <v>45453</v>
      </c>
      <c r="F465" s="4">
        <v>45459</v>
      </c>
      <c r="G465" s="2">
        <f t="shared" si="7"/>
        <v>6</v>
      </c>
      <c r="H465" s="2">
        <v>89</v>
      </c>
      <c r="I465" t="s">
        <v>39</v>
      </c>
      <c r="J465" t="s">
        <v>27</v>
      </c>
      <c r="K465" s="2">
        <v>18.55</v>
      </c>
      <c r="L465" s="3">
        <v>636.37</v>
      </c>
      <c r="M465" s="3">
        <f>orders_1[[#This Row],[products.Base_Price]]*orders_1[[#This Row],[Quantity]]</f>
        <v>56636.93</v>
      </c>
      <c r="N465" t="s">
        <v>20</v>
      </c>
      <c r="O465" t="s">
        <v>10</v>
      </c>
      <c r="P465" t="s">
        <v>19</v>
      </c>
    </row>
    <row r="466" spans="1:16" x14ac:dyDescent="0.3">
      <c r="A466" s="2">
        <v>10465</v>
      </c>
      <c r="B466" s="2">
        <v>776</v>
      </c>
      <c r="C466" s="2">
        <v>2054</v>
      </c>
      <c r="D466" s="2">
        <v>310</v>
      </c>
      <c r="E466" s="4">
        <v>45481</v>
      </c>
      <c r="F466" s="4">
        <v>45487</v>
      </c>
      <c r="G466" s="2">
        <f t="shared" si="7"/>
        <v>6</v>
      </c>
      <c r="H466" s="2">
        <v>56</v>
      </c>
      <c r="I466" t="s">
        <v>78</v>
      </c>
      <c r="J466" t="s">
        <v>9</v>
      </c>
      <c r="K466" s="2">
        <v>5.63</v>
      </c>
      <c r="L466" s="3">
        <v>304.22000000000003</v>
      </c>
      <c r="M466" s="3">
        <f>orders_1[[#This Row],[products.Base_Price]]*orders_1[[#This Row],[Quantity]]</f>
        <v>17036.32</v>
      </c>
      <c r="N466" t="s">
        <v>26</v>
      </c>
      <c r="O466" t="s">
        <v>25</v>
      </c>
      <c r="P466" t="s">
        <v>11</v>
      </c>
    </row>
    <row r="467" spans="1:16" x14ac:dyDescent="0.3">
      <c r="A467" s="2">
        <v>10466</v>
      </c>
      <c r="B467" s="2">
        <v>821</v>
      </c>
      <c r="C467" s="2">
        <v>2091</v>
      </c>
      <c r="D467" s="2">
        <v>303</v>
      </c>
      <c r="E467" s="4">
        <v>45441</v>
      </c>
      <c r="F467" s="4">
        <v>45445</v>
      </c>
      <c r="G467" s="2">
        <f t="shared" si="7"/>
        <v>4</v>
      </c>
      <c r="H467" s="2">
        <v>56</v>
      </c>
      <c r="I467" t="s">
        <v>39</v>
      </c>
      <c r="J467" t="s">
        <v>21</v>
      </c>
      <c r="K467" s="2">
        <v>10.41</v>
      </c>
      <c r="L467" s="3">
        <v>271.61</v>
      </c>
      <c r="M467" s="3">
        <f>orders_1[[#This Row],[products.Base_Price]]*orders_1[[#This Row],[Quantity]]</f>
        <v>15210.16</v>
      </c>
      <c r="N467" t="s">
        <v>15</v>
      </c>
      <c r="O467" t="s">
        <v>10</v>
      </c>
      <c r="P467" t="s">
        <v>16</v>
      </c>
    </row>
    <row r="468" spans="1:16" x14ac:dyDescent="0.3">
      <c r="A468" s="2">
        <v>10467</v>
      </c>
      <c r="B468" s="2">
        <v>532</v>
      </c>
      <c r="C468" s="2">
        <v>2031</v>
      </c>
      <c r="D468" s="2">
        <v>308</v>
      </c>
      <c r="E468" s="4">
        <v>45300</v>
      </c>
      <c r="F468" s="4">
        <v>45308</v>
      </c>
      <c r="G468" s="2">
        <f t="shared" si="7"/>
        <v>8</v>
      </c>
      <c r="H468" s="2">
        <v>20</v>
      </c>
      <c r="I468" t="s">
        <v>36</v>
      </c>
      <c r="J468" t="s">
        <v>27</v>
      </c>
      <c r="K468" s="2">
        <v>24.61</v>
      </c>
      <c r="L468" s="3">
        <v>342.86</v>
      </c>
      <c r="M468" s="3">
        <f>orders_1[[#This Row],[products.Base_Price]]*orders_1[[#This Row],[Quantity]]</f>
        <v>6857.2000000000007</v>
      </c>
      <c r="N468" t="s">
        <v>23</v>
      </c>
      <c r="O468" t="s">
        <v>14</v>
      </c>
      <c r="P468" t="s">
        <v>19</v>
      </c>
    </row>
    <row r="469" spans="1:16" x14ac:dyDescent="0.3">
      <c r="A469" s="2">
        <v>10468</v>
      </c>
      <c r="B469" s="2">
        <v>844</v>
      </c>
      <c r="C469" s="2">
        <v>2011</v>
      </c>
      <c r="D469" s="2">
        <v>318</v>
      </c>
      <c r="E469" s="4">
        <v>45415</v>
      </c>
      <c r="F469" s="4">
        <v>45425</v>
      </c>
      <c r="G469" s="2">
        <f t="shared" si="7"/>
        <v>10</v>
      </c>
      <c r="H469" s="2">
        <v>1</v>
      </c>
      <c r="I469" t="s">
        <v>78</v>
      </c>
      <c r="J469" t="s">
        <v>21</v>
      </c>
      <c r="K469" s="2">
        <v>12.75</v>
      </c>
      <c r="L469" s="3">
        <v>987.99</v>
      </c>
      <c r="M469" s="3">
        <f>orders_1[[#This Row],[products.Base_Price]]*orders_1[[#This Row],[Quantity]]</f>
        <v>987.99</v>
      </c>
      <c r="N469" t="s">
        <v>17</v>
      </c>
      <c r="O469" t="s">
        <v>10</v>
      </c>
      <c r="P469" t="s">
        <v>19</v>
      </c>
    </row>
    <row r="470" spans="1:16" x14ac:dyDescent="0.3">
      <c r="A470" s="2">
        <v>10469</v>
      </c>
      <c r="B470" s="2">
        <v>674</v>
      </c>
      <c r="C470" s="2">
        <v>2090</v>
      </c>
      <c r="D470" s="2">
        <v>315</v>
      </c>
      <c r="E470" s="4">
        <v>45488</v>
      </c>
      <c r="F470" s="4">
        <v>45492</v>
      </c>
      <c r="G470" s="2">
        <f t="shared" si="7"/>
        <v>4</v>
      </c>
      <c r="H470" s="2">
        <v>83</v>
      </c>
      <c r="I470" t="s">
        <v>36</v>
      </c>
      <c r="J470" t="s">
        <v>22</v>
      </c>
      <c r="K470" s="2">
        <v>38.729999999999997</v>
      </c>
      <c r="L470" s="3">
        <v>913.68</v>
      </c>
      <c r="M470" s="3">
        <f>orders_1[[#This Row],[products.Base_Price]]*orders_1[[#This Row],[Quantity]]</f>
        <v>75835.44</v>
      </c>
      <c r="N470" t="s">
        <v>15</v>
      </c>
      <c r="O470" t="s">
        <v>25</v>
      </c>
      <c r="P470" t="s">
        <v>19</v>
      </c>
    </row>
    <row r="471" spans="1:16" x14ac:dyDescent="0.3">
      <c r="A471" s="2">
        <v>10470</v>
      </c>
      <c r="B471" s="2">
        <v>586</v>
      </c>
      <c r="C471" s="2">
        <v>2063</v>
      </c>
      <c r="D471" s="2">
        <v>308</v>
      </c>
      <c r="E471" s="4">
        <v>45491</v>
      </c>
      <c r="F471" s="4">
        <v>45500</v>
      </c>
      <c r="G471" s="2">
        <f t="shared" si="7"/>
        <v>9</v>
      </c>
      <c r="H471" s="2">
        <v>6</v>
      </c>
      <c r="I471" t="s">
        <v>42</v>
      </c>
      <c r="J471" t="s">
        <v>9</v>
      </c>
      <c r="K471" s="2">
        <v>13.23</v>
      </c>
      <c r="L471" s="3">
        <v>151.69999999999999</v>
      </c>
      <c r="M471" s="3">
        <f>orders_1[[#This Row],[products.Base_Price]]*orders_1[[#This Row],[Quantity]]</f>
        <v>910.19999999999993</v>
      </c>
      <c r="N471" t="s">
        <v>23</v>
      </c>
      <c r="O471" t="s">
        <v>14</v>
      </c>
      <c r="P471" t="s">
        <v>19</v>
      </c>
    </row>
    <row r="472" spans="1:16" x14ac:dyDescent="0.3">
      <c r="A472" s="2">
        <v>10471</v>
      </c>
      <c r="B472" s="2">
        <v>619</v>
      </c>
      <c r="C472" s="2">
        <v>2063</v>
      </c>
      <c r="D472" s="2">
        <v>319</v>
      </c>
      <c r="E472" s="4">
        <v>45370</v>
      </c>
      <c r="F472" s="4">
        <v>45373</v>
      </c>
      <c r="G472" s="2">
        <f t="shared" si="7"/>
        <v>3</v>
      </c>
      <c r="H472" s="2">
        <v>83</v>
      </c>
      <c r="I472" t="s">
        <v>39</v>
      </c>
      <c r="J472" t="s">
        <v>9</v>
      </c>
      <c r="K472" s="2">
        <v>13.23</v>
      </c>
      <c r="L472" s="3">
        <v>151.69999999999999</v>
      </c>
      <c r="M472" s="3">
        <f>orders_1[[#This Row],[products.Base_Price]]*orders_1[[#This Row],[Quantity]]</f>
        <v>12591.099999999999</v>
      </c>
      <c r="N472" t="s">
        <v>20</v>
      </c>
      <c r="O472" t="s">
        <v>18</v>
      </c>
      <c r="P472" t="s">
        <v>11</v>
      </c>
    </row>
    <row r="473" spans="1:16" x14ac:dyDescent="0.3">
      <c r="A473" s="2">
        <v>10472</v>
      </c>
      <c r="B473" s="2">
        <v>666</v>
      </c>
      <c r="C473" s="2">
        <v>2078</v>
      </c>
      <c r="D473" s="2">
        <v>307</v>
      </c>
      <c r="E473" s="4">
        <v>45318</v>
      </c>
      <c r="F473" s="4">
        <v>45319</v>
      </c>
      <c r="G473" s="2">
        <f t="shared" si="7"/>
        <v>1</v>
      </c>
      <c r="H473" s="2">
        <v>39</v>
      </c>
      <c r="I473" t="s">
        <v>36</v>
      </c>
      <c r="J473" t="s">
        <v>21</v>
      </c>
      <c r="K473" s="2">
        <v>14.85</v>
      </c>
      <c r="L473" s="3">
        <v>517.03</v>
      </c>
      <c r="M473" s="3">
        <f>orders_1[[#This Row],[products.Base_Price]]*orders_1[[#This Row],[Quantity]]</f>
        <v>20164.169999999998</v>
      </c>
      <c r="N473" t="s">
        <v>17</v>
      </c>
      <c r="O473" t="s">
        <v>10</v>
      </c>
      <c r="P473" t="s">
        <v>11</v>
      </c>
    </row>
    <row r="474" spans="1:16" x14ac:dyDescent="0.3">
      <c r="A474" s="2">
        <v>10473</v>
      </c>
      <c r="B474" s="2">
        <v>745</v>
      </c>
      <c r="C474" s="2">
        <v>2080</v>
      </c>
      <c r="D474" s="2">
        <v>316</v>
      </c>
      <c r="E474" s="4">
        <v>45338</v>
      </c>
      <c r="F474" s="4">
        <v>45339</v>
      </c>
      <c r="G474" s="2">
        <f t="shared" si="7"/>
        <v>1</v>
      </c>
      <c r="H474" s="2">
        <v>67</v>
      </c>
      <c r="I474" t="s">
        <v>42</v>
      </c>
      <c r="J474" t="s">
        <v>9</v>
      </c>
      <c r="K474" s="2">
        <v>29.56</v>
      </c>
      <c r="L474" s="3">
        <v>143.84</v>
      </c>
      <c r="M474" s="3">
        <f>orders_1[[#This Row],[products.Base_Price]]*orders_1[[#This Row],[Quantity]]</f>
        <v>9637.2800000000007</v>
      </c>
      <c r="N474" t="s">
        <v>24</v>
      </c>
      <c r="O474" t="s">
        <v>25</v>
      </c>
      <c r="P474" t="s">
        <v>19</v>
      </c>
    </row>
    <row r="475" spans="1:16" x14ac:dyDescent="0.3">
      <c r="A475" s="2">
        <v>10474</v>
      </c>
      <c r="B475" s="2">
        <v>807</v>
      </c>
      <c r="C475" s="2">
        <v>2025</v>
      </c>
      <c r="D475" s="2">
        <v>318</v>
      </c>
      <c r="E475" s="4">
        <v>45459</v>
      </c>
      <c r="F475" s="4">
        <v>45466</v>
      </c>
      <c r="G475" s="2">
        <f t="shared" si="7"/>
        <v>7</v>
      </c>
      <c r="H475" s="2">
        <v>23</v>
      </c>
      <c r="I475" t="s">
        <v>36</v>
      </c>
      <c r="J475" t="s">
        <v>13</v>
      </c>
      <c r="K475" s="2">
        <v>3.39</v>
      </c>
      <c r="L475" s="3">
        <v>303.87</v>
      </c>
      <c r="M475" s="3">
        <f>orders_1[[#This Row],[products.Base_Price]]*orders_1[[#This Row],[Quantity]]</f>
        <v>6989.01</v>
      </c>
      <c r="N475" t="s">
        <v>17</v>
      </c>
      <c r="O475" t="s">
        <v>10</v>
      </c>
      <c r="P475" t="s">
        <v>19</v>
      </c>
    </row>
    <row r="476" spans="1:16" x14ac:dyDescent="0.3">
      <c r="A476" s="2">
        <v>10475</v>
      </c>
      <c r="B476" s="2">
        <v>868</v>
      </c>
      <c r="C476" s="2">
        <v>2028</v>
      </c>
      <c r="D476" s="2">
        <v>319</v>
      </c>
      <c r="E476" s="4">
        <v>45299</v>
      </c>
      <c r="F476" s="4">
        <v>45302</v>
      </c>
      <c r="G476" s="2">
        <f t="shared" si="7"/>
        <v>3</v>
      </c>
      <c r="H476" s="2">
        <v>94</v>
      </c>
      <c r="I476" t="s">
        <v>78</v>
      </c>
      <c r="J476" t="s">
        <v>13</v>
      </c>
      <c r="K476" s="2">
        <v>30.34</v>
      </c>
      <c r="L476" s="3">
        <v>630.65</v>
      </c>
      <c r="M476" s="3">
        <f>orders_1[[#This Row],[products.Base_Price]]*orders_1[[#This Row],[Quantity]]</f>
        <v>59281.1</v>
      </c>
      <c r="N476" t="s">
        <v>20</v>
      </c>
      <c r="O476" t="s">
        <v>18</v>
      </c>
      <c r="P476" t="s">
        <v>11</v>
      </c>
    </row>
    <row r="477" spans="1:16" x14ac:dyDescent="0.3">
      <c r="A477" s="2">
        <v>10476</v>
      </c>
      <c r="B477" s="2">
        <v>715</v>
      </c>
      <c r="C477" s="2">
        <v>2070</v>
      </c>
      <c r="D477" s="2">
        <v>319</v>
      </c>
      <c r="E477" s="4">
        <v>45637</v>
      </c>
      <c r="F477" s="4">
        <v>45644</v>
      </c>
      <c r="G477" s="2">
        <f t="shared" si="7"/>
        <v>7</v>
      </c>
      <c r="H477" s="2">
        <v>73</v>
      </c>
      <c r="I477" t="s">
        <v>36</v>
      </c>
      <c r="J477" t="s">
        <v>22</v>
      </c>
      <c r="K477" s="2">
        <v>22.6</v>
      </c>
      <c r="L477" s="3">
        <v>196.67</v>
      </c>
      <c r="M477" s="3">
        <f>orders_1[[#This Row],[products.Base_Price]]*orders_1[[#This Row],[Quantity]]</f>
        <v>14356.91</v>
      </c>
      <c r="N477" t="s">
        <v>20</v>
      </c>
      <c r="O477" t="s">
        <v>18</v>
      </c>
      <c r="P477" t="s">
        <v>11</v>
      </c>
    </row>
    <row r="478" spans="1:16" x14ac:dyDescent="0.3">
      <c r="A478" s="2">
        <v>10477</v>
      </c>
      <c r="B478" s="2">
        <v>890</v>
      </c>
      <c r="C478" s="2">
        <v>2085</v>
      </c>
      <c r="D478" s="2">
        <v>311</v>
      </c>
      <c r="E478" s="4">
        <v>45414</v>
      </c>
      <c r="F478" s="4">
        <v>45420</v>
      </c>
      <c r="G478" s="2">
        <f t="shared" si="7"/>
        <v>6</v>
      </c>
      <c r="H478" s="2">
        <v>61</v>
      </c>
      <c r="I478" t="s">
        <v>42</v>
      </c>
      <c r="J478" t="s">
        <v>22</v>
      </c>
      <c r="K478" s="2">
        <v>47.56</v>
      </c>
      <c r="L478" s="3">
        <v>131.63</v>
      </c>
      <c r="M478" s="3">
        <f>orders_1[[#This Row],[products.Base_Price]]*orders_1[[#This Row],[Quantity]]</f>
        <v>8029.4299999999994</v>
      </c>
      <c r="N478" t="s">
        <v>26</v>
      </c>
      <c r="O478" t="s">
        <v>10</v>
      </c>
      <c r="P478" t="s">
        <v>11</v>
      </c>
    </row>
    <row r="479" spans="1:16" x14ac:dyDescent="0.3">
      <c r="A479" s="2">
        <v>10478</v>
      </c>
      <c r="B479" s="2">
        <v>866</v>
      </c>
      <c r="C479" s="2">
        <v>2009</v>
      </c>
      <c r="D479" s="2">
        <v>302</v>
      </c>
      <c r="E479" s="4">
        <v>45472</v>
      </c>
      <c r="F479" s="4">
        <v>45478</v>
      </c>
      <c r="G479" s="2">
        <f t="shared" si="7"/>
        <v>6</v>
      </c>
      <c r="H479" s="2">
        <v>13</v>
      </c>
      <c r="I479" t="s">
        <v>42</v>
      </c>
      <c r="J479" t="s">
        <v>21</v>
      </c>
      <c r="K479" s="2">
        <v>16.82</v>
      </c>
      <c r="L479" s="3">
        <v>376.01</v>
      </c>
      <c r="M479" s="3">
        <f>orders_1[[#This Row],[products.Base_Price]]*orders_1[[#This Row],[Quantity]]</f>
        <v>4888.13</v>
      </c>
      <c r="N479" t="s">
        <v>12</v>
      </c>
      <c r="O479" t="s">
        <v>14</v>
      </c>
      <c r="P479" t="s">
        <v>11</v>
      </c>
    </row>
    <row r="480" spans="1:16" x14ac:dyDescent="0.3">
      <c r="A480" s="2">
        <v>10479</v>
      </c>
      <c r="B480" s="2">
        <v>510</v>
      </c>
      <c r="C480" s="2">
        <v>2049</v>
      </c>
      <c r="D480" s="2">
        <v>315</v>
      </c>
      <c r="E480" s="4">
        <v>45604</v>
      </c>
      <c r="F480" s="4">
        <v>45612</v>
      </c>
      <c r="G480" s="2">
        <f t="shared" si="7"/>
        <v>8</v>
      </c>
      <c r="H480" s="2">
        <v>24</v>
      </c>
      <c r="I480" t="s">
        <v>36</v>
      </c>
      <c r="J480" t="s">
        <v>27</v>
      </c>
      <c r="K480" s="2">
        <v>17.52</v>
      </c>
      <c r="L480" s="3">
        <v>832.77</v>
      </c>
      <c r="M480" s="3">
        <f>orders_1[[#This Row],[products.Base_Price]]*orders_1[[#This Row],[Quantity]]</f>
        <v>19986.48</v>
      </c>
      <c r="N480" t="s">
        <v>15</v>
      </c>
      <c r="O480" t="s">
        <v>25</v>
      </c>
      <c r="P480" t="s">
        <v>19</v>
      </c>
    </row>
    <row r="481" spans="1:16" x14ac:dyDescent="0.3">
      <c r="A481" s="2">
        <v>10480</v>
      </c>
      <c r="B481" s="2">
        <v>677</v>
      </c>
      <c r="C481" s="2">
        <v>2071</v>
      </c>
      <c r="D481" s="2">
        <v>318</v>
      </c>
      <c r="E481" s="4">
        <v>45458</v>
      </c>
      <c r="F481" s="4">
        <v>45460</v>
      </c>
      <c r="G481" s="2">
        <f t="shared" si="7"/>
        <v>2</v>
      </c>
      <c r="H481" s="2">
        <v>22</v>
      </c>
      <c r="I481" t="s">
        <v>42</v>
      </c>
      <c r="J481" t="s">
        <v>27</v>
      </c>
      <c r="K481" s="2">
        <v>47.19</v>
      </c>
      <c r="L481" s="3">
        <v>711.14</v>
      </c>
      <c r="M481" s="3">
        <f>orders_1[[#This Row],[products.Base_Price]]*orders_1[[#This Row],[Quantity]]</f>
        <v>15645.08</v>
      </c>
      <c r="N481" t="s">
        <v>17</v>
      </c>
      <c r="O481" t="s">
        <v>10</v>
      </c>
      <c r="P481" t="s">
        <v>19</v>
      </c>
    </row>
    <row r="482" spans="1:16" x14ac:dyDescent="0.3">
      <c r="A482" s="2">
        <v>10481</v>
      </c>
      <c r="B482" s="2">
        <v>638</v>
      </c>
      <c r="C482" s="2">
        <v>2032</v>
      </c>
      <c r="D482" s="2">
        <v>314</v>
      </c>
      <c r="E482" s="4">
        <v>45623</v>
      </c>
      <c r="F482" s="4">
        <v>45628</v>
      </c>
      <c r="G482" s="2">
        <f t="shared" si="7"/>
        <v>5</v>
      </c>
      <c r="H482" s="2">
        <v>72</v>
      </c>
      <c r="I482" t="s">
        <v>36</v>
      </c>
      <c r="J482" t="s">
        <v>9</v>
      </c>
      <c r="K482" s="2">
        <v>3.81</v>
      </c>
      <c r="L482" s="3">
        <v>682.41</v>
      </c>
      <c r="M482" s="3">
        <f>orders_1[[#This Row],[products.Base_Price]]*orders_1[[#This Row],[Quantity]]</f>
        <v>49133.52</v>
      </c>
      <c r="N482" t="s">
        <v>17</v>
      </c>
      <c r="O482" t="s">
        <v>14</v>
      </c>
      <c r="P482" t="s">
        <v>19</v>
      </c>
    </row>
    <row r="483" spans="1:16" x14ac:dyDescent="0.3">
      <c r="A483" s="2">
        <v>10482</v>
      </c>
      <c r="B483" s="2">
        <v>741</v>
      </c>
      <c r="C483" s="2">
        <v>2098</v>
      </c>
      <c r="D483" s="2">
        <v>307</v>
      </c>
      <c r="E483" s="4">
        <v>45429</v>
      </c>
      <c r="F483" s="4">
        <v>45430</v>
      </c>
      <c r="G483" s="2">
        <f t="shared" si="7"/>
        <v>1</v>
      </c>
      <c r="H483" s="2">
        <v>9</v>
      </c>
      <c r="I483" t="s">
        <v>42</v>
      </c>
      <c r="J483" t="s">
        <v>13</v>
      </c>
      <c r="K483" s="2">
        <v>25.35</v>
      </c>
      <c r="L483" s="3">
        <v>571.58000000000004</v>
      </c>
      <c r="M483" s="3">
        <f>orders_1[[#This Row],[products.Base_Price]]*orders_1[[#This Row],[Quantity]]</f>
        <v>5144.22</v>
      </c>
      <c r="N483" t="s">
        <v>17</v>
      </c>
      <c r="O483" t="s">
        <v>10</v>
      </c>
      <c r="P483" t="s">
        <v>11</v>
      </c>
    </row>
    <row r="484" spans="1:16" x14ac:dyDescent="0.3">
      <c r="A484" s="2">
        <v>10483</v>
      </c>
      <c r="B484" s="2">
        <v>885</v>
      </c>
      <c r="C484" s="2">
        <v>2096</v>
      </c>
      <c r="D484" s="2">
        <v>315</v>
      </c>
      <c r="E484" s="4">
        <v>45572</v>
      </c>
      <c r="F484" s="4">
        <v>45575</v>
      </c>
      <c r="G484" s="2">
        <f t="shared" si="7"/>
        <v>3</v>
      </c>
      <c r="H484" s="2">
        <v>43</v>
      </c>
      <c r="I484" t="s">
        <v>36</v>
      </c>
      <c r="J484" t="s">
        <v>22</v>
      </c>
      <c r="K484" s="2">
        <v>20.04</v>
      </c>
      <c r="L484" s="3">
        <v>70.19</v>
      </c>
      <c r="M484" s="3">
        <f>orders_1[[#This Row],[products.Base_Price]]*orders_1[[#This Row],[Quantity]]</f>
        <v>3018.17</v>
      </c>
      <c r="N484" t="s">
        <v>15</v>
      </c>
      <c r="O484" t="s">
        <v>25</v>
      </c>
      <c r="P484" t="s">
        <v>19</v>
      </c>
    </row>
    <row r="485" spans="1:16" x14ac:dyDescent="0.3">
      <c r="A485" s="2">
        <v>10484</v>
      </c>
      <c r="B485" s="2">
        <v>702</v>
      </c>
      <c r="C485" s="2">
        <v>2024</v>
      </c>
      <c r="D485" s="2">
        <v>308</v>
      </c>
      <c r="E485" s="4">
        <v>45578</v>
      </c>
      <c r="F485" s="4">
        <v>45588</v>
      </c>
      <c r="G485" s="2">
        <f t="shared" si="7"/>
        <v>10</v>
      </c>
      <c r="H485" s="2">
        <v>91</v>
      </c>
      <c r="I485" t="s">
        <v>42</v>
      </c>
      <c r="J485" t="s">
        <v>13</v>
      </c>
      <c r="K485" s="2">
        <v>21.16</v>
      </c>
      <c r="L485" s="3">
        <v>291.08</v>
      </c>
      <c r="M485" s="3">
        <f>orders_1[[#This Row],[products.Base_Price]]*orders_1[[#This Row],[Quantity]]</f>
        <v>26488.28</v>
      </c>
      <c r="N485" t="s">
        <v>23</v>
      </c>
      <c r="O485" t="s">
        <v>14</v>
      </c>
      <c r="P485" t="s">
        <v>19</v>
      </c>
    </row>
    <row r="486" spans="1:16" x14ac:dyDescent="0.3">
      <c r="A486" s="2">
        <v>10485</v>
      </c>
      <c r="B486" s="2">
        <v>764</v>
      </c>
      <c r="C486" s="2">
        <v>2047</v>
      </c>
      <c r="D486" s="2">
        <v>315</v>
      </c>
      <c r="E486" s="4">
        <v>45474</v>
      </c>
      <c r="F486" s="4">
        <v>45475</v>
      </c>
      <c r="G486" s="2">
        <f t="shared" si="7"/>
        <v>1</v>
      </c>
      <c r="H486" s="2">
        <v>31</v>
      </c>
      <c r="I486" t="s">
        <v>39</v>
      </c>
      <c r="J486" t="s">
        <v>27</v>
      </c>
      <c r="K486" s="2">
        <v>31.72</v>
      </c>
      <c r="L486" s="3">
        <v>210.46</v>
      </c>
      <c r="M486" s="3">
        <f>orders_1[[#This Row],[products.Base_Price]]*orders_1[[#This Row],[Quantity]]</f>
        <v>6524.26</v>
      </c>
      <c r="N486" t="s">
        <v>15</v>
      </c>
      <c r="O486" t="s">
        <v>25</v>
      </c>
      <c r="P486" t="s">
        <v>19</v>
      </c>
    </row>
    <row r="487" spans="1:16" x14ac:dyDescent="0.3">
      <c r="A487" s="2">
        <v>10486</v>
      </c>
      <c r="B487" s="2">
        <v>557</v>
      </c>
      <c r="C487" s="2">
        <v>2092</v>
      </c>
      <c r="D487" s="2">
        <v>307</v>
      </c>
      <c r="E487" s="4">
        <v>45327</v>
      </c>
      <c r="F487" s="4">
        <v>45329</v>
      </c>
      <c r="G487" s="2">
        <f t="shared" si="7"/>
        <v>2</v>
      </c>
      <c r="H487" s="2">
        <v>40</v>
      </c>
      <c r="I487" t="s">
        <v>36</v>
      </c>
      <c r="J487" t="s">
        <v>22</v>
      </c>
      <c r="K487" s="2">
        <v>30.97</v>
      </c>
      <c r="L487" s="3">
        <v>521.23</v>
      </c>
      <c r="M487" s="3">
        <f>orders_1[[#This Row],[products.Base_Price]]*orders_1[[#This Row],[Quantity]]</f>
        <v>20849.2</v>
      </c>
      <c r="N487" t="s">
        <v>17</v>
      </c>
      <c r="O487" t="s">
        <v>10</v>
      </c>
      <c r="P487" t="s">
        <v>11</v>
      </c>
    </row>
    <row r="488" spans="1:16" x14ac:dyDescent="0.3">
      <c r="A488" s="2">
        <v>10487</v>
      </c>
      <c r="B488" s="2">
        <v>630</v>
      </c>
      <c r="C488" s="2">
        <v>2051</v>
      </c>
      <c r="D488" s="2">
        <v>304</v>
      </c>
      <c r="E488" s="4">
        <v>45322</v>
      </c>
      <c r="F488" s="4">
        <v>45330</v>
      </c>
      <c r="G488" s="2">
        <f t="shared" si="7"/>
        <v>8</v>
      </c>
      <c r="H488" s="2">
        <v>45</v>
      </c>
      <c r="I488" t="s">
        <v>42</v>
      </c>
      <c r="J488" t="s">
        <v>9</v>
      </c>
      <c r="K488" s="2">
        <v>47.82</v>
      </c>
      <c r="L488" s="3">
        <v>376.19</v>
      </c>
      <c r="M488" s="3">
        <f>orders_1[[#This Row],[products.Base_Price]]*orders_1[[#This Row],[Quantity]]</f>
        <v>16928.55</v>
      </c>
      <c r="N488" t="s">
        <v>17</v>
      </c>
      <c r="O488" t="s">
        <v>18</v>
      </c>
      <c r="P488" t="s">
        <v>19</v>
      </c>
    </row>
    <row r="489" spans="1:16" x14ac:dyDescent="0.3">
      <c r="A489" s="2">
        <v>10488</v>
      </c>
      <c r="B489" s="2">
        <v>599</v>
      </c>
      <c r="C489" s="2">
        <v>2002</v>
      </c>
      <c r="D489" s="2">
        <v>306</v>
      </c>
      <c r="E489" s="4">
        <v>45531</v>
      </c>
      <c r="F489" s="4">
        <v>45533</v>
      </c>
      <c r="G489" s="2">
        <f t="shared" si="7"/>
        <v>2</v>
      </c>
      <c r="H489" s="2">
        <v>57</v>
      </c>
      <c r="I489" t="s">
        <v>42</v>
      </c>
      <c r="J489" t="s">
        <v>13</v>
      </c>
      <c r="K489" s="2">
        <v>30.78</v>
      </c>
      <c r="L489" s="3">
        <v>646.99</v>
      </c>
      <c r="M489" s="3">
        <f>orders_1[[#This Row],[products.Base_Price]]*orders_1[[#This Row],[Quantity]]</f>
        <v>36878.43</v>
      </c>
      <c r="N489" t="s">
        <v>8</v>
      </c>
      <c r="O489" t="s">
        <v>10</v>
      </c>
      <c r="P489" t="s">
        <v>16</v>
      </c>
    </row>
    <row r="490" spans="1:16" x14ac:dyDescent="0.3">
      <c r="A490" s="2">
        <v>10489</v>
      </c>
      <c r="B490" s="2">
        <v>574</v>
      </c>
      <c r="C490" s="2">
        <v>2037</v>
      </c>
      <c r="D490" s="2">
        <v>303</v>
      </c>
      <c r="E490" s="4">
        <v>45636</v>
      </c>
      <c r="F490" s="4">
        <v>45642</v>
      </c>
      <c r="G490" s="2">
        <f t="shared" si="7"/>
        <v>6</v>
      </c>
      <c r="H490" s="2">
        <v>20</v>
      </c>
      <c r="I490" t="s">
        <v>36</v>
      </c>
      <c r="J490" t="s">
        <v>21</v>
      </c>
      <c r="K490" s="2">
        <v>29.23</v>
      </c>
      <c r="L490" s="3">
        <v>491.44</v>
      </c>
      <c r="M490" s="3">
        <f>orders_1[[#This Row],[products.Base_Price]]*orders_1[[#This Row],[Quantity]]</f>
        <v>9828.7999999999993</v>
      </c>
      <c r="N490" t="s">
        <v>15</v>
      </c>
      <c r="O490" t="s">
        <v>10</v>
      </c>
      <c r="P490" t="s">
        <v>16</v>
      </c>
    </row>
    <row r="491" spans="1:16" x14ac:dyDescent="0.3">
      <c r="A491" s="2">
        <v>10490</v>
      </c>
      <c r="B491" s="2">
        <v>714</v>
      </c>
      <c r="C491" s="2">
        <v>2005</v>
      </c>
      <c r="D491" s="2">
        <v>312</v>
      </c>
      <c r="E491" s="4">
        <v>45357</v>
      </c>
      <c r="F491" s="4">
        <v>45367</v>
      </c>
      <c r="G491" s="2">
        <f t="shared" si="7"/>
        <v>10</v>
      </c>
      <c r="H491" s="2">
        <v>58</v>
      </c>
      <c r="I491" t="s">
        <v>36</v>
      </c>
      <c r="J491" t="s">
        <v>9</v>
      </c>
      <c r="K491" s="2">
        <v>13.6</v>
      </c>
      <c r="L491" s="3">
        <v>606.04999999999995</v>
      </c>
      <c r="M491" s="3">
        <f>orders_1[[#This Row],[products.Base_Price]]*orders_1[[#This Row],[Quantity]]</f>
        <v>35150.899999999994</v>
      </c>
      <c r="N491" t="s">
        <v>15</v>
      </c>
      <c r="O491" t="s">
        <v>10</v>
      </c>
      <c r="P491" t="s">
        <v>11</v>
      </c>
    </row>
    <row r="492" spans="1:16" x14ac:dyDescent="0.3">
      <c r="A492" s="2">
        <v>10491</v>
      </c>
      <c r="B492" s="2">
        <v>899</v>
      </c>
      <c r="C492" s="2">
        <v>2078</v>
      </c>
      <c r="D492" s="2">
        <v>313</v>
      </c>
      <c r="E492" s="4">
        <v>45369</v>
      </c>
      <c r="F492" s="4">
        <v>45370</v>
      </c>
      <c r="G492" s="2">
        <f t="shared" si="7"/>
        <v>1</v>
      </c>
      <c r="H492" s="2">
        <v>37</v>
      </c>
      <c r="I492" t="s">
        <v>78</v>
      </c>
      <c r="J492" t="s">
        <v>21</v>
      </c>
      <c r="K492" s="2">
        <v>14.85</v>
      </c>
      <c r="L492" s="3">
        <v>517.03</v>
      </c>
      <c r="M492" s="3">
        <f>orders_1[[#This Row],[products.Base_Price]]*orders_1[[#This Row],[Quantity]]</f>
        <v>19130.11</v>
      </c>
      <c r="N492" t="s">
        <v>15</v>
      </c>
      <c r="O492" t="s">
        <v>25</v>
      </c>
      <c r="P492" t="s">
        <v>16</v>
      </c>
    </row>
    <row r="493" spans="1:16" x14ac:dyDescent="0.3">
      <c r="A493" s="2">
        <v>10492</v>
      </c>
      <c r="B493" s="2">
        <v>503</v>
      </c>
      <c r="C493" s="2">
        <v>2007</v>
      </c>
      <c r="D493" s="2">
        <v>308</v>
      </c>
      <c r="E493" s="4">
        <v>45357</v>
      </c>
      <c r="F493" s="4">
        <v>45359</v>
      </c>
      <c r="G493" s="2">
        <f t="shared" si="7"/>
        <v>2</v>
      </c>
      <c r="H493" s="2">
        <v>20</v>
      </c>
      <c r="I493" t="s">
        <v>39</v>
      </c>
      <c r="J493" t="s">
        <v>21</v>
      </c>
      <c r="K493" s="2">
        <v>48.07</v>
      </c>
      <c r="L493" s="3">
        <v>759.78</v>
      </c>
      <c r="M493" s="3">
        <f>orders_1[[#This Row],[products.Base_Price]]*orders_1[[#This Row],[Quantity]]</f>
        <v>15195.599999999999</v>
      </c>
      <c r="N493" t="s">
        <v>23</v>
      </c>
      <c r="O493" t="s">
        <v>14</v>
      </c>
      <c r="P493" t="s">
        <v>19</v>
      </c>
    </row>
    <row r="494" spans="1:16" x14ac:dyDescent="0.3">
      <c r="A494" s="2">
        <v>10493</v>
      </c>
      <c r="B494" s="2">
        <v>835</v>
      </c>
      <c r="C494" s="2">
        <v>2012</v>
      </c>
      <c r="D494" s="2">
        <v>311</v>
      </c>
      <c r="E494" s="4">
        <v>45574</v>
      </c>
      <c r="F494" s="4">
        <v>45577</v>
      </c>
      <c r="G494" s="2">
        <f t="shared" si="7"/>
        <v>3</v>
      </c>
      <c r="H494" s="2">
        <v>18</v>
      </c>
      <c r="I494" t="s">
        <v>36</v>
      </c>
      <c r="J494" t="s">
        <v>21</v>
      </c>
      <c r="K494" s="2">
        <v>34.93</v>
      </c>
      <c r="L494" s="3">
        <v>327.92</v>
      </c>
      <c r="M494" s="3">
        <f>orders_1[[#This Row],[products.Base_Price]]*orders_1[[#This Row],[Quantity]]</f>
        <v>5902.56</v>
      </c>
      <c r="N494" t="s">
        <v>26</v>
      </c>
      <c r="O494" t="s">
        <v>10</v>
      </c>
      <c r="P494" t="s">
        <v>11</v>
      </c>
    </row>
    <row r="495" spans="1:16" x14ac:dyDescent="0.3">
      <c r="A495" s="2">
        <v>10494</v>
      </c>
      <c r="B495" s="2">
        <v>867</v>
      </c>
      <c r="C495" s="2">
        <v>2032</v>
      </c>
      <c r="D495" s="2">
        <v>311</v>
      </c>
      <c r="E495" s="4">
        <v>45486</v>
      </c>
      <c r="F495" s="4">
        <v>45495</v>
      </c>
      <c r="G495" s="2">
        <f t="shared" si="7"/>
        <v>9</v>
      </c>
      <c r="H495" s="2">
        <v>35</v>
      </c>
      <c r="I495" t="s">
        <v>39</v>
      </c>
      <c r="J495" t="s">
        <v>9</v>
      </c>
      <c r="K495" s="2">
        <v>3.81</v>
      </c>
      <c r="L495" s="3">
        <v>682.41</v>
      </c>
      <c r="M495" s="3">
        <f>orders_1[[#This Row],[products.Base_Price]]*orders_1[[#This Row],[Quantity]]</f>
        <v>23884.35</v>
      </c>
      <c r="N495" t="s">
        <v>26</v>
      </c>
      <c r="O495" t="s">
        <v>10</v>
      </c>
      <c r="P495" t="s">
        <v>11</v>
      </c>
    </row>
    <row r="496" spans="1:16" x14ac:dyDescent="0.3">
      <c r="A496" s="2">
        <v>10495</v>
      </c>
      <c r="B496" s="2">
        <v>562</v>
      </c>
      <c r="C496" s="2">
        <v>2041</v>
      </c>
      <c r="D496" s="2">
        <v>302</v>
      </c>
      <c r="E496" s="4">
        <v>45440</v>
      </c>
      <c r="F496" s="4">
        <v>45446</v>
      </c>
      <c r="G496" s="2">
        <f t="shared" si="7"/>
        <v>6</v>
      </c>
      <c r="H496" s="2">
        <v>26</v>
      </c>
      <c r="I496" t="s">
        <v>39</v>
      </c>
      <c r="J496" t="s">
        <v>22</v>
      </c>
      <c r="K496" s="2">
        <v>48.2</v>
      </c>
      <c r="L496" s="3">
        <v>792.77</v>
      </c>
      <c r="M496" s="3">
        <f>orders_1[[#This Row],[products.Base_Price]]*orders_1[[#This Row],[Quantity]]</f>
        <v>20612.02</v>
      </c>
      <c r="N496" t="s">
        <v>12</v>
      </c>
      <c r="O496" t="s">
        <v>14</v>
      </c>
      <c r="P496" t="s">
        <v>11</v>
      </c>
    </row>
    <row r="497" spans="1:16" x14ac:dyDescent="0.3">
      <c r="A497" s="2">
        <v>10496</v>
      </c>
      <c r="B497" s="2">
        <v>833</v>
      </c>
      <c r="C497" s="2">
        <v>2054</v>
      </c>
      <c r="D497" s="2">
        <v>314</v>
      </c>
      <c r="E497" s="4">
        <v>45584</v>
      </c>
      <c r="F497" s="4">
        <v>45593</v>
      </c>
      <c r="G497" s="2">
        <f t="shared" si="7"/>
        <v>9</v>
      </c>
      <c r="H497" s="2">
        <v>66</v>
      </c>
      <c r="I497" t="s">
        <v>78</v>
      </c>
      <c r="J497" t="s">
        <v>9</v>
      </c>
      <c r="K497" s="2">
        <v>5.63</v>
      </c>
      <c r="L497" s="3">
        <v>304.22000000000003</v>
      </c>
      <c r="M497" s="3">
        <f>orders_1[[#This Row],[products.Base_Price]]*orders_1[[#This Row],[Quantity]]</f>
        <v>20078.52</v>
      </c>
      <c r="N497" t="s">
        <v>17</v>
      </c>
      <c r="O497" t="s">
        <v>14</v>
      </c>
      <c r="P497" t="s">
        <v>19</v>
      </c>
    </row>
    <row r="498" spans="1:16" x14ac:dyDescent="0.3">
      <c r="A498" s="2">
        <v>10497</v>
      </c>
      <c r="B498" s="2">
        <v>554</v>
      </c>
      <c r="C498" s="2">
        <v>2031</v>
      </c>
      <c r="D498" s="2">
        <v>314</v>
      </c>
      <c r="E498" s="4">
        <v>45650</v>
      </c>
      <c r="F498" s="4">
        <v>45658</v>
      </c>
      <c r="G498" s="2">
        <f t="shared" si="7"/>
        <v>8</v>
      </c>
      <c r="H498" s="2">
        <v>53</v>
      </c>
      <c r="I498" t="s">
        <v>78</v>
      </c>
      <c r="J498" t="s">
        <v>27</v>
      </c>
      <c r="K498" s="2">
        <v>24.61</v>
      </c>
      <c r="L498" s="3">
        <v>342.86</v>
      </c>
      <c r="M498" s="3">
        <f>orders_1[[#This Row],[products.Base_Price]]*orders_1[[#This Row],[Quantity]]</f>
        <v>18171.580000000002</v>
      </c>
      <c r="N498" t="s">
        <v>17</v>
      </c>
      <c r="O498" t="s">
        <v>14</v>
      </c>
      <c r="P498" t="s">
        <v>19</v>
      </c>
    </row>
    <row r="499" spans="1:16" x14ac:dyDescent="0.3">
      <c r="A499" s="2">
        <v>10498</v>
      </c>
      <c r="B499" s="2">
        <v>654</v>
      </c>
      <c r="C499" s="2">
        <v>2056</v>
      </c>
      <c r="D499" s="2">
        <v>312</v>
      </c>
      <c r="E499" s="4">
        <v>45438</v>
      </c>
      <c r="F499" s="4">
        <v>45446</v>
      </c>
      <c r="G499" s="2">
        <f t="shared" si="7"/>
        <v>8</v>
      </c>
      <c r="H499" s="2">
        <v>97</v>
      </c>
      <c r="I499" t="s">
        <v>78</v>
      </c>
      <c r="J499" t="s">
        <v>9</v>
      </c>
      <c r="K499" s="2">
        <v>18.559999999999999</v>
      </c>
      <c r="L499" s="3">
        <v>564.01</v>
      </c>
      <c r="M499" s="3">
        <f>orders_1[[#This Row],[products.Base_Price]]*orders_1[[#This Row],[Quantity]]</f>
        <v>54708.97</v>
      </c>
      <c r="N499" t="s">
        <v>15</v>
      </c>
      <c r="O499" t="s">
        <v>10</v>
      </c>
      <c r="P499" t="s">
        <v>11</v>
      </c>
    </row>
    <row r="500" spans="1:16" x14ac:dyDescent="0.3">
      <c r="A500" s="2">
        <v>10499</v>
      </c>
      <c r="B500" s="2">
        <v>863</v>
      </c>
      <c r="C500" s="2">
        <v>2094</v>
      </c>
      <c r="D500" s="2">
        <v>304</v>
      </c>
      <c r="E500" s="4">
        <v>45554</v>
      </c>
      <c r="F500" s="4">
        <v>45564</v>
      </c>
      <c r="G500" s="2">
        <f t="shared" si="7"/>
        <v>10</v>
      </c>
      <c r="H500" s="2">
        <v>67</v>
      </c>
      <c r="I500" t="s">
        <v>78</v>
      </c>
      <c r="J500" t="s">
        <v>27</v>
      </c>
      <c r="K500" s="2">
        <v>22.56</v>
      </c>
      <c r="L500" s="3">
        <v>393.53</v>
      </c>
      <c r="M500" s="3">
        <f>orders_1[[#This Row],[products.Base_Price]]*orders_1[[#This Row],[Quantity]]</f>
        <v>26366.51</v>
      </c>
      <c r="N500" t="s">
        <v>17</v>
      </c>
      <c r="O500" t="s">
        <v>18</v>
      </c>
      <c r="P500" t="s">
        <v>19</v>
      </c>
    </row>
    <row r="501" spans="1:16" x14ac:dyDescent="0.3">
      <c r="A501" s="2">
        <v>10500</v>
      </c>
      <c r="B501" s="2">
        <v>658</v>
      </c>
      <c r="C501" s="2">
        <v>2048</v>
      </c>
      <c r="D501" s="2">
        <v>303</v>
      </c>
      <c r="E501" s="4">
        <v>45429</v>
      </c>
      <c r="F501" s="4">
        <v>45438</v>
      </c>
      <c r="G501" s="2">
        <f t="shared" si="7"/>
        <v>9</v>
      </c>
      <c r="H501" s="2">
        <v>38</v>
      </c>
      <c r="I501" t="s">
        <v>42</v>
      </c>
      <c r="J501" t="s">
        <v>22</v>
      </c>
      <c r="K501" s="2">
        <v>6.74</v>
      </c>
      <c r="L501" s="3">
        <v>864.57</v>
      </c>
      <c r="M501" s="3">
        <f>orders_1[[#This Row],[products.Base_Price]]*orders_1[[#This Row],[Quantity]]</f>
        <v>32853.660000000003</v>
      </c>
      <c r="N501" t="s">
        <v>15</v>
      </c>
      <c r="O501" t="s">
        <v>10</v>
      </c>
      <c r="P501" t="s">
        <v>16</v>
      </c>
    </row>
    <row r="502" spans="1:16" x14ac:dyDescent="0.3">
      <c r="A502" s="2">
        <v>10501</v>
      </c>
      <c r="B502" s="2">
        <v>766</v>
      </c>
      <c r="C502" s="2">
        <v>2045</v>
      </c>
      <c r="D502" s="2">
        <v>314</v>
      </c>
      <c r="E502" s="4">
        <v>45480</v>
      </c>
      <c r="F502" s="4">
        <v>45481</v>
      </c>
      <c r="G502" s="2">
        <f t="shared" si="7"/>
        <v>1</v>
      </c>
      <c r="H502" s="2">
        <v>60</v>
      </c>
      <c r="I502" t="s">
        <v>78</v>
      </c>
      <c r="J502" t="s">
        <v>9</v>
      </c>
      <c r="K502" s="2">
        <v>41.3</v>
      </c>
      <c r="L502" s="3">
        <v>652.61</v>
      </c>
      <c r="M502" s="3">
        <f>orders_1[[#This Row],[products.Base_Price]]*orders_1[[#This Row],[Quantity]]</f>
        <v>39156.6</v>
      </c>
      <c r="N502" t="s">
        <v>17</v>
      </c>
      <c r="O502" t="s">
        <v>14</v>
      </c>
      <c r="P502" t="s">
        <v>19</v>
      </c>
    </row>
    <row r="503" spans="1:16" x14ac:dyDescent="0.3">
      <c r="A503" s="2">
        <v>10502</v>
      </c>
      <c r="B503" s="2">
        <v>758</v>
      </c>
      <c r="C503" s="2">
        <v>2027</v>
      </c>
      <c r="D503" s="2">
        <v>320</v>
      </c>
      <c r="E503" s="4">
        <v>45457</v>
      </c>
      <c r="F503" s="4">
        <v>45460</v>
      </c>
      <c r="G503" s="2">
        <f t="shared" si="7"/>
        <v>3</v>
      </c>
      <c r="H503" s="2">
        <v>36</v>
      </c>
      <c r="I503" t="s">
        <v>36</v>
      </c>
      <c r="J503" t="s">
        <v>13</v>
      </c>
      <c r="K503" s="2">
        <v>45.95</v>
      </c>
      <c r="L503" s="3">
        <v>454.58</v>
      </c>
      <c r="M503" s="3">
        <f>orders_1[[#This Row],[products.Base_Price]]*orders_1[[#This Row],[Quantity]]</f>
        <v>16364.88</v>
      </c>
      <c r="N503" t="s">
        <v>15</v>
      </c>
      <c r="O503" t="s">
        <v>25</v>
      </c>
      <c r="P503" t="s">
        <v>11</v>
      </c>
    </row>
    <row r="504" spans="1:16" x14ac:dyDescent="0.3">
      <c r="A504" s="2">
        <v>10503</v>
      </c>
      <c r="B504" s="2">
        <v>643</v>
      </c>
      <c r="C504" s="2">
        <v>2091</v>
      </c>
      <c r="D504" s="2">
        <v>304</v>
      </c>
      <c r="E504" s="4">
        <v>45448</v>
      </c>
      <c r="F504" s="4">
        <v>45458</v>
      </c>
      <c r="G504" s="2">
        <f t="shared" si="7"/>
        <v>10</v>
      </c>
      <c r="H504" s="2">
        <v>39</v>
      </c>
      <c r="I504" t="s">
        <v>42</v>
      </c>
      <c r="J504" t="s">
        <v>21</v>
      </c>
      <c r="K504" s="2">
        <v>10.41</v>
      </c>
      <c r="L504" s="3">
        <v>271.61</v>
      </c>
      <c r="M504" s="3">
        <f>orders_1[[#This Row],[products.Base_Price]]*orders_1[[#This Row],[Quantity]]</f>
        <v>10592.79</v>
      </c>
      <c r="N504" t="s">
        <v>17</v>
      </c>
      <c r="O504" t="s">
        <v>18</v>
      </c>
      <c r="P504" t="s">
        <v>19</v>
      </c>
    </row>
    <row r="505" spans="1:16" x14ac:dyDescent="0.3">
      <c r="A505" s="2">
        <v>10504</v>
      </c>
      <c r="B505" s="2">
        <v>695</v>
      </c>
      <c r="C505" s="2">
        <v>2052</v>
      </c>
      <c r="D505" s="2">
        <v>317</v>
      </c>
      <c r="E505" s="4">
        <v>45376</v>
      </c>
      <c r="F505" s="4">
        <v>45381</v>
      </c>
      <c r="G505" s="2">
        <f t="shared" si="7"/>
        <v>5</v>
      </c>
      <c r="H505" s="2">
        <v>31</v>
      </c>
      <c r="I505" t="s">
        <v>39</v>
      </c>
      <c r="J505" t="s">
        <v>27</v>
      </c>
      <c r="K505" s="2">
        <v>47.35</v>
      </c>
      <c r="L505" s="3">
        <v>665.2</v>
      </c>
      <c r="M505" s="3">
        <f>orders_1[[#This Row],[products.Base_Price]]*orders_1[[#This Row],[Quantity]]</f>
        <v>20621.2</v>
      </c>
      <c r="N505" t="s">
        <v>20</v>
      </c>
      <c r="O505" t="s">
        <v>25</v>
      </c>
      <c r="P505" t="s">
        <v>19</v>
      </c>
    </row>
    <row r="506" spans="1:16" x14ac:dyDescent="0.3">
      <c r="A506" s="2">
        <v>10505</v>
      </c>
      <c r="B506" s="2">
        <v>721</v>
      </c>
      <c r="C506" s="2">
        <v>2035</v>
      </c>
      <c r="D506" s="2">
        <v>312</v>
      </c>
      <c r="E506" s="4">
        <v>45488</v>
      </c>
      <c r="F506" s="4">
        <v>45495</v>
      </c>
      <c r="G506" s="2">
        <f t="shared" si="7"/>
        <v>7</v>
      </c>
      <c r="H506" s="2">
        <v>15</v>
      </c>
      <c r="I506" t="s">
        <v>36</v>
      </c>
      <c r="J506" t="s">
        <v>27</v>
      </c>
      <c r="K506" s="2">
        <v>18.55</v>
      </c>
      <c r="L506" s="3">
        <v>636.37</v>
      </c>
      <c r="M506" s="3">
        <f>orders_1[[#This Row],[products.Base_Price]]*orders_1[[#This Row],[Quantity]]</f>
        <v>9545.5499999999993</v>
      </c>
      <c r="N506" t="s">
        <v>15</v>
      </c>
      <c r="O506" t="s">
        <v>10</v>
      </c>
      <c r="P506" t="s">
        <v>11</v>
      </c>
    </row>
    <row r="507" spans="1:16" x14ac:dyDescent="0.3">
      <c r="A507" s="2">
        <v>10506</v>
      </c>
      <c r="B507" s="2">
        <v>844</v>
      </c>
      <c r="C507" s="2">
        <v>2084</v>
      </c>
      <c r="D507" s="2">
        <v>307</v>
      </c>
      <c r="E507" s="4">
        <v>45403</v>
      </c>
      <c r="F507" s="4">
        <v>45409</v>
      </c>
      <c r="G507" s="2">
        <f t="shared" si="7"/>
        <v>6</v>
      </c>
      <c r="H507" s="2">
        <v>41</v>
      </c>
      <c r="I507" t="s">
        <v>36</v>
      </c>
      <c r="J507" t="s">
        <v>21</v>
      </c>
      <c r="K507" s="2">
        <v>14.27</v>
      </c>
      <c r="L507" s="3">
        <v>223.58</v>
      </c>
      <c r="M507" s="3">
        <f>orders_1[[#This Row],[products.Base_Price]]*orders_1[[#This Row],[Quantity]]</f>
        <v>9166.7800000000007</v>
      </c>
      <c r="N507" t="s">
        <v>17</v>
      </c>
      <c r="O507" t="s">
        <v>10</v>
      </c>
      <c r="P507" t="s">
        <v>11</v>
      </c>
    </row>
    <row r="508" spans="1:16" x14ac:dyDescent="0.3">
      <c r="A508" s="2">
        <v>10507</v>
      </c>
      <c r="B508" s="2">
        <v>506</v>
      </c>
      <c r="C508" s="2">
        <v>2043</v>
      </c>
      <c r="D508" s="2">
        <v>303</v>
      </c>
      <c r="E508" s="4">
        <v>45473</v>
      </c>
      <c r="F508" s="4">
        <v>45482</v>
      </c>
      <c r="G508" s="2">
        <f t="shared" si="7"/>
        <v>9</v>
      </c>
      <c r="H508" s="2">
        <v>42</v>
      </c>
      <c r="I508" t="s">
        <v>39</v>
      </c>
      <c r="J508" t="s">
        <v>27</v>
      </c>
      <c r="K508" s="2">
        <v>14.98</v>
      </c>
      <c r="L508" s="3">
        <v>375.85</v>
      </c>
      <c r="M508" s="3">
        <f>orders_1[[#This Row],[products.Base_Price]]*orders_1[[#This Row],[Quantity]]</f>
        <v>15785.7</v>
      </c>
      <c r="N508" t="s">
        <v>15</v>
      </c>
      <c r="O508" t="s">
        <v>10</v>
      </c>
      <c r="P508" t="s">
        <v>16</v>
      </c>
    </row>
    <row r="509" spans="1:16" x14ac:dyDescent="0.3">
      <c r="A509" s="2">
        <v>10508</v>
      </c>
      <c r="B509" s="2">
        <v>837</v>
      </c>
      <c r="C509" s="2">
        <v>2070</v>
      </c>
      <c r="D509" s="2">
        <v>316</v>
      </c>
      <c r="E509" s="4">
        <v>45480</v>
      </c>
      <c r="F509" s="4">
        <v>45490</v>
      </c>
      <c r="G509" s="2">
        <f t="shared" si="7"/>
        <v>10</v>
      </c>
      <c r="H509" s="2">
        <v>58</v>
      </c>
      <c r="I509" t="s">
        <v>39</v>
      </c>
      <c r="J509" t="s">
        <v>22</v>
      </c>
      <c r="K509" s="2">
        <v>22.6</v>
      </c>
      <c r="L509" s="3">
        <v>196.67</v>
      </c>
      <c r="M509" s="3">
        <f>orders_1[[#This Row],[products.Base_Price]]*orders_1[[#This Row],[Quantity]]</f>
        <v>11406.859999999999</v>
      </c>
      <c r="N509" t="s">
        <v>24</v>
      </c>
      <c r="O509" t="s">
        <v>25</v>
      </c>
      <c r="P509" t="s">
        <v>19</v>
      </c>
    </row>
    <row r="510" spans="1:16" x14ac:dyDescent="0.3">
      <c r="A510" s="2">
        <v>10509</v>
      </c>
      <c r="B510" s="2">
        <v>738</v>
      </c>
      <c r="C510" s="2">
        <v>2095</v>
      </c>
      <c r="D510" s="2">
        <v>319</v>
      </c>
      <c r="E510" s="4">
        <v>45518</v>
      </c>
      <c r="F510" s="4">
        <v>45527</v>
      </c>
      <c r="G510" s="2">
        <f t="shared" si="7"/>
        <v>9</v>
      </c>
      <c r="H510" s="2">
        <v>3</v>
      </c>
      <c r="I510" t="s">
        <v>42</v>
      </c>
      <c r="J510" t="s">
        <v>13</v>
      </c>
      <c r="K510" s="2">
        <v>38.81</v>
      </c>
      <c r="L510" s="3">
        <v>761.63</v>
      </c>
      <c r="M510" s="3">
        <f>orders_1[[#This Row],[products.Base_Price]]*orders_1[[#This Row],[Quantity]]</f>
        <v>2284.89</v>
      </c>
      <c r="N510" t="s">
        <v>20</v>
      </c>
      <c r="O510" t="s">
        <v>18</v>
      </c>
      <c r="P510" t="s">
        <v>11</v>
      </c>
    </row>
    <row r="511" spans="1:16" x14ac:dyDescent="0.3">
      <c r="A511" s="2">
        <v>10510</v>
      </c>
      <c r="B511" s="2">
        <v>660</v>
      </c>
      <c r="C511" s="2">
        <v>2039</v>
      </c>
      <c r="D511" s="2">
        <v>308</v>
      </c>
      <c r="E511" s="4">
        <v>45565</v>
      </c>
      <c r="F511" s="4">
        <v>45568</v>
      </c>
      <c r="G511" s="2">
        <f t="shared" si="7"/>
        <v>3</v>
      </c>
      <c r="H511" s="2">
        <v>51</v>
      </c>
      <c r="I511" t="s">
        <v>39</v>
      </c>
      <c r="J511" t="s">
        <v>27</v>
      </c>
      <c r="K511" s="2">
        <v>2.69</v>
      </c>
      <c r="L511" s="3">
        <v>350.51</v>
      </c>
      <c r="M511" s="3">
        <f>orders_1[[#This Row],[products.Base_Price]]*orders_1[[#This Row],[Quantity]]</f>
        <v>17876.009999999998</v>
      </c>
      <c r="N511" t="s">
        <v>23</v>
      </c>
      <c r="O511" t="s">
        <v>14</v>
      </c>
      <c r="P511" t="s">
        <v>19</v>
      </c>
    </row>
    <row r="512" spans="1:16" x14ac:dyDescent="0.3">
      <c r="A512" s="2">
        <v>10511</v>
      </c>
      <c r="B512" s="2">
        <v>679</v>
      </c>
      <c r="C512" s="2">
        <v>2091</v>
      </c>
      <c r="D512" s="2">
        <v>314</v>
      </c>
      <c r="E512" s="4">
        <v>45473</v>
      </c>
      <c r="F512" s="4">
        <v>45474</v>
      </c>
      <c r="G512" s="2">
        <f t="shared" si="7"/>
        <v>1</v>
      </c>
      <c r="H512" s="2">
        <v>87</v>
      </c>
      <c r="I512" t="s">
        <v>78</v>
      </c>
      <c r="J512" t="s">
        <v>21</v>
      </c>
      <c r="K512" s="2">
        <v>10.41</v>
      </c>
      <c r="L512" s="3">
        <v>271.61</v>
      </c>
      <c r="M512" s="3">
        <f>orders_1[[#This Row],[products.Base_Price]]*orders_1[[#This Row],[Quantity]]</f>
        <v>23630.07</v>
      </c>
      <c r="N512" t="s">
        <v>17</v>
      </c>
      <c r="O512" t="s">
        <v>14</v>
      </c>
      <c r="P512" t="s">
        <v>19</v>
      </c>
    </row>
    <row r="513" spans="1:16" x14ac:dyDescent="0.3">
      <c r="A513" s="2">
        <v>10512</v>
      </c>
      <c r="B513" s="2">
        <v>563</v>
      </c>
      <c r="C513" s="2">
        <v>2023</v>
      </c>
      <c r="D513" s="2">
        <v>307</v>
      </c>
      <c r="E513" s="4">
        <v>45548</v>
      </c>
      <c r="F513" s="4">
        <v>45553</v>
      </c>
      <c r="G513" s="2">
        <f t="shared" si="7"/>
        <v>5</v>
      </c>
      <c r="H513" s="2">
        <v>70</v>
      </c>
      <c r="I513" t="s">
        <v>42</v>
      </c>
      <c r="J513" t="s">
        <v>13</v>
      </c>
      <c r="K513" s="2">
        <v>39.520000000000003</v>
      </c>
      <c r="L513" s="3">
        <v>618.29999999999995</v>
      </c>
      <c r="M513" s="3">
        <f>orders_1[[#This Row],[products.Base_Price]]*orders_1[[#This Row],[Quantity]]</f>
        <v>43281</v>
      </c>
      <c r="N513" t="s">
        <v>17</v>
      </c>
      <c r="O513" t="s">
        <v>10</v>
      </c>
      <c r="P513" t="s">
        <v>11</v>
      </c>
    </row>
    <row r="514" spans="1:16" x14ac:dyDescent="0.3">
      <c r="A514" s="2">
        <v>10513</v>
      </c>
      <c r="B514" s="2">
        <v>786</v>
      </c>
      <c r="C514" s="2">
        <v>2044</v>
      </c>
      <c r="D514" s="2">
        <v>312</v>
      </c>
      <c r="E514" s="4">
        <v>45596</v>
      </c>
      <c r="F514" s="4">
        <v>45604</v>
      </c>
      <c r="G514" s="2">
        <f t="shared" ref="G514:G577" si="8">F514-E514</f>
        <v>8</v>
      </c>
      <c r="H514" s="2">
        <v>50</v>
      </c>
      <c r="I514" t="s">
        <v>36</v>
      </c>
      <c r="J514" t="s">
        <v>21</v>
      </c>
      <c r="K514" s="2">
        <v>11.44</v>
      </c>
      <c r="L514" s="3">
        <v>939.99</v>
      </c>
      <c r="M514" s="3">
        <f>orders_1[[#This Row],[products.Base_Price]]*orders_1[[#This Row],[Quantity]]</f>
        <v>46999.5</v>
      </c>
      <c r="N514" t="s">
        <v>15</v>
      </c>
      <c r="O514" t="s">
        <v>10</v>
      </c>
      <c r="P514" t="s">
        <v>11</v>
      </c>
    </row>
    <row r="515" spans="1:16" x14ac:dyDescent="0.3">
      <c r="A515" s="2">
        <v>10514</v>
      </c>
      <c r="B515" s="2">
        <v>831</v>
      </c>
      <c r="C515" s="2">
        <v>2002</v>
      </c>
      <c r="D515" s="2">
        <v>317</v>
      </c>
      <c r="E515" s="4">
        <v>45590</v>
      </c>
      <c r="F515" s="4">
        <v>45593</v>
      </c>
      <c r="G515" s="2">
        <f t="shared" si="8"/>
        <v>3</v>
      </c>
      <c r="H515" s="2">
        <v>8</v>
      </c>
      <c r="I515" t="s">
        <v>42</v>
      </c>
      <c r="J515" t="s">
        <v>13</v>
      </c>
      <c r="K515" s="2">
        <v>30.78</v>
      </c>
      <c r="L515" s="3">
        <v>646.99</v>
      </c>
      <c r="M515" s="3">
        <f>orders_1[[#This Row],[products.Base_Price]]*orders_1[[#This Row],[Quantity]]</f>
        <v>5175.92</v>
      </c>
      <c r="N515" t="s">
        <v>20</v>
      </c>
      <c r="O515" t="s">
        <v>25</v>
      </c>
      <c r="P515" t="s">
        <v>19</v>
      </c>
    </row>
    <row r="516" spans="1:16" x14ac:dyDescent="0.3">
      <c r="A516" s="2">
        <v>10515</v>
      </c>
      <c r="B516" s="2">
        <v>642</v>
      </c>
      <c r="C516" s="2">
        <v>2012</v>
      </c>
      <c r="D516" s="2">
        <v>316</v>
      </c>
      <c r="E516" s="4">
        <v>45626</v>
      </c>
      <c r="F516" s="4">
        <v>45629</v>
      </c>
      <c r="G516" s="2">
        <f t="shared" si="8"/>
        <v>3</v>
      </c>
      <c r="H516" s="2">
        <v>49</v>
      </c>
      <c r="I516" t="s">
        <v>36</v>
      </c>
      <c r="J516" t="s">
        <v>21</v>
      </c>
      <c r="K516" s="2">
        <v>34.93</v>
      </c>
      <c r="L516" s="3">
        <v>327.92</v>
      </c>
      <c r="M516" s="3">
        <f>orders_1[[#This Row],[products.Base_Price]]*orders_1[[#This Row],[Quantity]]</f>
        <v>16068.08</v>
      </c>
      <c r="N516" t="s">
        <v>24</v>
      </c>
      <c r="O516" t="s">
        <v>25</v>
      </c>
      <c r="P516" t="s">
        <v>19</v>
      </c>
    </row>
    <row r="517" spans="1:16" x14ac:dyDescent="0.3">
      <c r="A517" s="2">
        <v>10516</v>
      </c>
      <c r="B517" s="2">
        <v>677</v>
      </c>
      <c r="C517" s="2">
        <v>2037</v>
      </c>
      <c r="D517" s="2">
        <v>304</v>
      </c>
      <c r="E517" s="4">
        <v>45306</v>
      </c>
      <c r="F517" s="4">
        <v>45309</v>
      </c>
      <c r="G517" s="2">
        <f t="shared" si="8"/>
        <v>3</v>
      </c>
      <c r="H517" s="2">
        <v>27</v>
      </c>
      <c r="I517" t="s">
        <v>36</v>
      </c>
      <c r="J517" t="s">
        <v>21</v>
      </c>
      <c r="K517" s="2">
        <v>29.23</v>
      </c>
      <c r="L517" s="3">
        <v>491.44</v>
      </c>
      <c r="M517" s="3">
        <f>orders_1[[#This Row],[products.Base_Price]]*orders_1[[#This Row],[Quantity]]</f>
        <v>13268.88</v>
      </c>
      <c r="N517" t="s">
        <v>17</v>
      </c>
      <c r="O517" t="s">
        <v>18</v>
      </c>
      <c r="P517" t="s">
        <v>19</v>
      </c>
    </row>
    <row r="518" spans="1:16" x14ac:dyDescent="0.3">
      <c r="A518" s="2">
        <v>10517</v>
      </c>
      <c r="B518" s="2">
        <v>627</v>
      </c>
      <c r="C518" s="2">
        <v>2041</v>
      </c>
      <c r="D518" s="2">
        <v>302</v>
      </c>
      <c r="E518" s="4">
        <v>45296</v>
      </c>
      <c r="F518" s="4">
        <v>45303</v>
      </c>
      <c r="G518" s="2">
        <f t="shared" si="8"/>
        <v>7</v>
      </c>
      <c r="H518" s="2">
        <v>74</v>
      </c>
      <c r="I518" t="s">
        <v>78</v>
      </c>
      <c r="J518" t="s">
        <v>22</v>
      </c>
      <c r="K518" s="2">
        <v>48.2</v>
      </c>
      <c r="L518" s="3">
        <v>792.77</v>
      </c>
      <c r="M518" s="3">
        <f>orders_1[[#This Row],[products.Base_Price]]*orders_1[[#This Row],[Quantity]]</f>
        <v>58664.979999999996</v>
      </c>
      <c r="N518" t="s">
        <v>12</v>
      </c>
      <c r="O518" t="s">
        <v>14</v>
      </c>
      <c r="P518" t="s">
        <v>11</v>
      </c>
    </row>
    <row r="519" spans="1:16" x14ac:dyDescent="0.3">
      <c r="A519" s="2">
        <v>10518</v>
      </c>
      <c r="B519" s="2">
        <v>665</v>
      </c>
      <c r="C519" s="2">
        <v>2043</v>
      </c>
      <c r="D519" s="2">
        <v>317</v>
      </c>
      <c r="E519" s="4">
        <v>45350</v>
      </c>
      <c r="F519" s="4">
        <v>45358</v>
      </c>
      <c r="G519" s="2">
        <f t="shared" si="8"/>
        <v>8</v>
      </c>
      <c r="H519" s="2">
        <v>21</v>
      </c>
      <c r="I519" t="s">
        <v>39</v>
      </c>
      <c r="J519" t="s">
        <v>27</v>
      </c>
      <c r="K519" s="2">
        <v>14.98</v>
      </c>
      <c r="L519" s="3">
        <v>375.85</v>
      </c>
      <c r="M519" s="3">
        <f>orders_1[[#This Row],[products.Base_Price]]*orders_1[[#This Row],[Quantity]]</f>
        <v>7892.85</v>
      </c>
      <c r="N519" t="s">
        <v>20</v>
      </c>
      <c r="O519" t="s">
        <v>25</v>
      </c>
      <c r="P519" t="s">
        <v>19</v>
      </c>
    </row>
    <row r="520" spans="1:16" x14ac:dyDescent="0.3">
      <c r="A520" s="2">
        <v>10519</v>
      </c>
      <c r="B520" s="2">
        <v>757</v>
      </c>
      <c r="C520" s="2">
        <v>2004</v>
      </c>
      <c r="D520" s="2">
        <v>312</v>
      </c>
      <c r="E520" s="4">
        <v>45452</v>
      </c>
      <c r="F520" s="4">
        <v>45462</v>
      </c>
      <c r="G520" s="2">
        <f t="shared" si="8"/>
        <v>10</v>
      </c>
      <c r="H520" s="2">
        <v>45</v>
      </c>
      <c r="I520" t="s">
        <v>42</v>
      </c>
      <c r="J520" t="s">
        <v>9</v>
      </c>
      <c r="K520" s="2">
        <v>4.34</v>
      </c>
      <c r="L520" s="3">
        <v>52.14</v>
      </c>
      <c r="M520" s="3">
        <f>orders_1[[#This Row],[products.Base_Price]]*orders_1[[#This Row],[Quantity]]</f>
        <v>2346.3000000000002</v>
      </c>
      <c r="N520" t="s">
        <v>15</v>
      </c>
      <c r="O520" t="s">
        <v>10</v>
      </c>
      <c r="P520" t="s">
        <v>11</v>
      </c>
    </row>
    <row r="521" spans="1:16" x14ac:dyDescent="0.3">
      <c r="A521" s="2">
        <v>10520</v>
      </c>
      <c r="B521" s="2">
        <v>792</v>
      </c>
      <c r="C521" s="2">
        <v>2011</v>
      </c>
      <c r="D521" s="2">
        <v>306</v>
      </c>
      <c r="E521" s="4">
        <v>45380</v>
      </c>
      <c r="F521" s="4">
        <v>45384</v>
      </c>
      <c r="G521" s="2">
        <f t="shared" si="8"/>
        <v>4</v>
      </c>
      <c r="H521" s="2">
        <v>51</v>
      </c>
      <c r="I521" t="s">
        <v>36</v>
      </c>
      <c r="J521" t="s">
        <v>21</v>
      </c>
      <c r="K521" s="2">
        <v>12.75</v>
      </c>
      <c r="L521" s="3">
        <v>987.99</v>
      </c>
      <c r="M521" s="3">
        <f>orders_1[[#This Row],[products.Base_Price]]*orders_1[[#This Row],[Quantity]]</f>
        <v>50387.49</v>
      </c>
      <c r="N521" t="s">
        <v>8</v>
      </c>
      <c r="O521" t="s">
        <v>10</v>
      </c>
      <c r="P521" t="s">
        <v>16</v>
      </c>
    </row>
    <row r="522" spans="1:16" x14ac:dyDescent="0.3">
      <c r="A522" s="2">
        <v>10521</v>
      </c>
      <c r="B522" s="2">
        <v>744</v>
      </c>
      <c r="C522" s="2">
        <v>2078</v>
      </c>
      <c r="D522" s="2">
        <v>319</v>
      </c>
      <c r="E522" s="4">
        <v>45522</v>
      </c>
      <c r="F522" s="4">
        <v>45531</v>
      </c>
      <c r="G522" s="2">
        <f t="shared" si="8"/>
        <v>9</v>
      </c>
      <c r="H522" s="2">
        <v>49</v>
      </c>
      <c r="I522" t="s">
        <v>42</v>
      </c>
      <c r="J522" t="s">
        <v>21</v>
      </c>
      <c r="K522" s="2">
        <v>14.85</v>
      </c>
      <c r="L522" s="3">
        <v>517.03</v>
      </c>
      <c r="M522" s="3">
        <f>orders_1[[#This Row],[products.Base_Price]]*orders_1[[#This Row],[Quantity]]</f>
        <v>25334.469999999998</v>
      </c>
      <c r="N522" t="s">
        <v>20</v>
      </c>
      <c r="O522" t="s">
        <v>18</v>
      </c>
      <c r="P522" t="s">
        <v>11</v>
      </c>
    </row>
    <row r="523" spans="1:16" x14ac:dyDescent="0.3">
      <c r="A523" s="2">
        <v>10522</v>
      </c>
      <c r="B523" s="2">
        <v>639</v>
      </c>
      <c r="C523" s="2">
        <v>2084</v>
      </c>
      <c r="D523" s="2">
        <v>316</v>
      </c>
      <c r="E523" s="4">
        <v>45351</v>
      </c>
      <c r="F523" s="4">
        <v>45359</v>
      </c>
      <c r="G523" s="2">
        <f t="shared" si="8"/>
        <v>8</v>
      </c>
      <c r="H523" s="2">
        <v>19</v>
      </c>
      <c r="I523" t="s">
        <v>36</v>
      </c>
      <c r="J523" t="s">
        <v>21</v>
      </c>
      <c r="K523" s="2">
        <v>14.27</v>
      </c>
      <c r="L523" s="3">
        <v>223.58</v>
      </c>
      <c r="M523" s="3">
        <f>orders_1[[#This Row],[products.Base_Price]]*orders_1[[#This Row],[Quantity]]</f>
        <v>4248.0200000000004</v>
      </c>
      <c r="N523" t="s">
        <v>24</v>
      </c>
      <c r="O523" t="s">
        <v>25</v>
      </c>
      <c r="P523" t="s">
        <v>19</v>
      </c>
    </row>
    <row r="524" spans="1:16" x14ac:dyDescent="0.3">
      <c r="A524" s="2">
        <v>10523</v>
      </c>
      <c r="B524" s="2">
        <v>654</v>
      </c>
      <c r="C524" s="2">
        <v>2036</v>
      </c>
      <c r="D524" s="2">
        <v>313</v>
      </c>
      <c r="E524" s="4">
        <v>45358</v>
      </c>
      <c r="F524" s="4">
        <v>45365</v>
      </c>
      <c r="G524" s="2">
        <f t="shared" si="8"/>
        <v>7</v>
      </c>
      <c r="H524" s="2">
        <v>55</v>
      </c>
      <c r="I524" t="s">
        <v>39</v>
      </c>
      <c r="J524" t="s">
        <v>22</v>
      </c>
      <c r="K524" s="2">
        <v>39.39</v>
      </c>
      <c r="L524" s="3">
        <v>745.86</v>
      </c>
      <c r="M524" s="3">
        <f>orders_1[[#This Row],[products.Base_Price]]*orders_1[[#This Row],[Quantity]]</f>
        <v>41022.300000000003</v>
      </c>
      <c r="N524" t="s">
        <v>15</v>
      </c>
      <c r="O524" t="s">
        <v>25</v>
      </c>
      <c r="P524" t="s">
        <v>16</v>
      </c>
    </row>
    <row r="525" spans="1:16" x14ac:dyDescent="0.3">
      <c r="A525" s="2">
        <v>10524</v>
      </c>
      <c r="B525" s="2">
        <v>754</v>
      </c>
      <c r="C525" s="2">
        <v>2044</v>
      </c>
      <c r="D525" s="2">
        <v>303</v>
      </c>
      <c r="E525" s="4">
        <v>45624</v>
      </c>
      <c r="F525" s="4">
        <v>45631</v>
      </c>
      <c r="G525" s="2">
        <f t="shared" si="8"/>
        <v>7</v>
      </c>
      <c r="H525" s="2">
        <v>72</v>
      </c>
      <c r="I525" t="s">
        <v>39</v>
      </c>
      <c r="J525" t="s">
        <v>21</v>
      </c>
      <c r="K525" s="2">
        <v>11.44</v>
      </c>
      <c r="L525" s="3">
        <v>939.99</v>
      </c>
      <c r="M525" s="3">
        <f>orders_1[[#This Row],[products.Base_Price]]*orders_1[[#This Row],[Quantity]]</f>
        <v>67679.28</v>
      </c>
      <c r="N525" t="s">
        <v>15</v>
      </c>
      <c r="O525" t="s">
        <v>10</v>
      </c>
      <c r="P525" t="s">
        <v>16</v>
      </c>
    </row>
    <row r="526" spans="1:16" x14ac:dyDescent="0.3">
      <c r="A526" s="2">
        <v>10525</v>
      </c>
      <c r="B526" s="2">
        <v>627</v>
      </c>
      <c r="C526" s="2">
        <v>2012</v>
      </c>
      <c r="D526" s="2">
        <v>317</v>
      </c>
      <c r="E526" s="4">
        <v>45575</v>
      </c>
      <c r="F526" s="4">
        <v>45578</v>
      </c>
      <c r="G526" s="2">
        <f t="shared" si="8"/>
        <v>3</v>
      </c>
      <c r="H526" s="2">
        <v>35</v>
      </c>
      <c r="I526" t="s">
        <v>36</v>
      </c>
      <c r="J526" t="s">
        <v>21</v>
      </c>
      <c r="K526" s="2">
        <v>34.93</v>
      </c>
      <c r="L526" s="3">
        <v>327.92</v>
      </c>
      <c r="M526" s="3">
        <f>orders_1[[#This Row],[products.Base_Price]]*orders_1[[#This Row],[Quantity]]</f>
        <v>11477.2</v>
      </c>
      <c r="N526" t="s">
        <v>20</v>
      </c>
      <c r="O526" t="s">
        <v>25</v>
      </c>
      <c r="P526" t="s">
        <v>19</v>
      </c>
    </row>
    <row r="527" spans="1:16" x14ac:dyDescent="0.3">
      <c r="A527" s="2">
        <v>10526</v>
      </c>
      <c r="B527" s="2">
        <v>742</v>
      </c>
      <c r="C527" s="2">
        <v>2057</v>
      </c>
      <c r="D527" s="2">
        <v>315</v>
      </c>
      <c r="E527" s="4">
        <v>45458</v>
      </c>
      <c r="F527" s="4">
        <v>45461</v>
      </c>
      <c r="G527" s="2">
        <f t="shared" si="8"/>
        <v>3</v>
      </c>
      <c r="H527" s="2">
        <v>59</v>
      </c>
      <c r="I527" t="s">
        <v>42</v>
      </c>
      <c r="J527" t="s">
        <v>22</v>
      </c>
      <c r="K527" s="2">
        <v>34.299999999999997</v>
      </c>
      <c r="L527" s="3">
        <v>40.43</v>
      </c>
      <c r="M527" s="3">
        <f>orders_1[[#This Row],[products.Base_Price]]*orders_1[[#This Row],[Quantity]]</f>
        <v>2385.37</v>
      </c>
      <c r="N527" t="s">
        <v>15</v>
      </c>
      <c r="O527" t="s">
        <v>25</v>
      </c>
      <c r="P527" t="s">
        <v>19</v>
      </c>
    </row>
    <row r="528" spans="1:16" x14ac:dyDescent="0.3">
      <c r="A528" s="2">
        <v>10527</v>
      </c>
      <c r="B528" s="2">
        <v>533</v>
      </c>
      <c r="C528" s="2">
        <v>2040</v>
      </c>
      <c r="D528" s="2">
        <v>318</v>
      </c>
      <c r="E528" s="4">
        <v>45496</v>
      </c>
      <c r="F528" s="4">
        <v>45500</v>
      </c>
      <c r="G528" s="2">
        <f t="shared" si="8"/>
        <v>4</v>
      </c>
      <c r="H528" s="2">
        <v>29</v>
      </c>
      <c r="I528" t="s">
        <v>39</v>
      </c>
      <c r="J528" t="s">
        <v>27</v>
      </c>
      <c r="K528" s="2">
        <v>3.71</v>
      </c>
      <c r="L528" s="3">
        <v>27.53</v>
      </c>
      <c r="M528" s="3">
        <f>orders_1[[#This Row],[products.Base_Price]]*orders_1[[#This Row],[Quantity]]</f>
        <v>798.37</v>
      </c>
      <c r="N528" t="s">
        <v>17</v>
      </c>
      <c r="O528" t="s">
        <v>10</v>
      </c>
      <c r="P528" t="s">
        <v>19</v>
      </c>
    </row>
    <row r="529" spans="1:16" x14ac:dyDescent="0.3">
      <c r="A529" s="2">
        <v>10528</v>
      </c>
      <c r="B529" s="2">
        <v>551</v>
      </c>
      <c r="C529" s="2">
        <v>2078</v>
      </c>
      <c r="D529" s="2">
        <v>306</v>
      </c>
      <c r="E529" s="4">
        <v>45561</v>
      </c>
      <c r="F529" s="4">
        <v>45565</v>
      </c>
      <c r="G529" s="2">
        <f t="shared" si="8"/>
        <v>4</v>
      </c>
      <c r="H529" s="2">
        <v>28</v>
      </c>
      <c r="I529" t="s">
        <v>78</v>
      </c>
      <c r="J529" t="s">
        <v>21</v>
      </c>
      <c r="K529" s="2">
        <v>14.85</v>
      </c>
      <c r="L529" s="3">
        <v>517.03</v>
      </c>
      <c r="M529" s="3">
        <f>orders_1[[#This Row],[products.Base_Price]]*orders_1[[#This Row],[Quantity]]</f>
        <v>14476.84</v>
      </c>
      <c r="N529" t="s">
        <v>8</v>
      </c>
      <c r="O529" t="s">
        <v>10</v>
      </c>
      <c r="P529" t="s">
        <v>16</v>
      </c>
    </row>
    <row r="530" spans="1:16" x14ac:dyDescent="0.3">
      <c r="A530" s="2">
        <v>10529</v>
      </c>
      <c r="B530" s="2">
        <v>623</v>
      </c>
      <c r="C530" s="2">
        <v>2078</v>
      </c>
      <c r="D530" s="2">
        <v>309</v>
      </c>
      <c r="E530" s="4">
        <v>45519</v>
      </c>
      <c r="F530" s="4">
        <v>45523</v>
      </c>
      <c r="G530" s="2">
        <f t="shared" si="8"/>
        <v>4</v>
      </c>
      <c r="H530" s="2">
        <v>48</v>
      </c>
      <c r="I530" t="s">
        <v>78</v>
      </c>
      <c r="J530" t="s">
        <v>21</v>
      </c>
      <c r="K530" s="2">
        <v>14.85</v>
      </c>
      <c r="L530" s="3">
        <v>517.03</v>
      </c>
      <c r="M530" s="3">
        <f>orders_1[[#This Row],[products.Base_Price]]*orders_1[[#This Row],[Quantity]]</f>
        <v>24817.439999999999</v>
      </c>
      <c r="N530" t="s">
        <v>24</v>
      </c>
      <c r="O530" t="s">
        <v>25</v>
      </c>
      <c r="P530" t="s">
        <v>16</v>
      </c>
    </row>
    <row r="531" spans="1:16" x14ac:dyDescent="0.3">
      <c r="A531" s="2">
        <v>10530</v>
      </c>
      <c r="B531" s="2">
        <v>510</v>
      </c>
      <c r="C531" s="2">
        <v>2086</v>
      </c>
      <c r="D531" s="2">
        <v>308</v>
      </c>
      <c r="E531" s="4">
        <v>45367</v>
      </c>
      <c r="F531" s="4">
        <v>45377</v>
      </c>
      <c r="G531" s="2">
        <f t="shared" si="8"/>
        <v>10</v>
      </c>
      <c r="H531" s="2">
        <v>8</v>
      </c>
      <c r="I531" t="s">
        <v>42</v>
      </c>
      <c r="J531" t="s">
        <v>27</v>
      </c>
      <c r="K531" s="2">
        <v>27.73</v>
      </c>
      <c r="L531" s="3">
        <v>417.42</v>
      </c>
      <c r="M531" s="3">
        <f>orders_1[[#This Row],[products.Base_Price]]*orders_1[[#This Row],[Quantity]]</f>
        <v>3339.36</v>
      </c>
      <c r="N531" t="s">
        <v>23</v>
      </c>
      <c r="O531" t="s">
        <v>14</v>
      </c>
      <c r="P531" t="s">
        <v>19</v>
      </c>
    </row>
    <row r="532" spans="1:16" x14ac:dyDescent="0.3">
      <c r="A532" s="2">
        <v>10531</v>
      </c>
      <c r="B532" s="2">
        <v>636</v>
      </c>
      <c r="C532" s="2">
        <v>2035</v>
      </c>
      <c r="D532" s="2">
        <v>316</v>
      </c>
      <c r="E532" s="4">
        <v>45442</v>
      </c>
      <c r="F532" s="4">
        <v>45448</v>
      </c>
      <c r="G532" s="2">
        <f t="shared" si="8"/>
        <v>6</v>
      </c>
      <c r="H532" s="2">
        <v>81</v>
      </c>
      <c r="I532" t="s">
        <v>36</v>
      </c>
      <c r="J532" t="s">
        <v>27</v>
      </c>
      <c r="K532" s="2">
        <v>18.55</v>
      </c>
      <c r="L532" s="3">
        <v>636.37</v>
      </c>
      <c r="M532" s="3">
        <f>orders_1[[#This Row],[products.Base_Price]]*orders_1[[#This Row],[Quantity]]</f>
        <v>51545.97</v>
      </c>
      <c r="N532" t="s">
        <v>24</v>
      </c>
      <c r="O532" t="s">
        <v>25</v>
      </c>
      <c r="P532" t="s">
        <v>19</v>
      </c>
    </row>
    <row r="533" spans="1:16" x14ac:dyDescent="0.3">
      <c r="A533" s="2">
        <v>10532</v>
      </c>
      <c r="B533" s="2">
        <v>774</v>
      </c>
      <c r="C533" s="2">
        <v>2025</v>
      </c>
      <c r="D533" s="2">
        <v>315</v>
      </c>
      <c r="E533" s="4">
        <v>45347</v>
      </c>
      <c r="F533" s="4">
        <v>45357</v>
      </c>
      <c r="G533" s="2">
        <f t="shared" si="8"/>
        <v>10</v>
      </c>
      <c r="H533" s="2">
        <v>23</v>
      </c>
      <c r="I533" t="s">
        <v>42</v>
      </c>
      <c r="J533" t="s">
        <v>13</v>
      </c>
      <c r="K533" s="2">
        <v>3.39</v>
      </c>
      <c r="L533" s="3">
        <v>303.87</v>
      </c>
      <c r="M533" s="3">
        <f>orders_1[[#This Row],[products.Base_Price]]*orders_1[[#This Row],[Quantity]]</f>
        <v>6989.01</v>
      </c>
      <c r="N533" t="s">
        <v>15</v>
      </c>
      <c r="O533" t="s">
        <v>25</v>
      </c>
      <c r="P533" t="s">
        <v>19</v>
      </c>
    </row>
    <row r="534" spans="1:16" x14ac:dyDescent="0.3">
      <c r="A534" s="2">
        <v>10533</v>
      </c>
      <c r="B534" s="2">
        <v>794</v>
      </c>
      <c r="C534" s="2">
        <v>2072</v>
      </c>
      <c r="D534" s="2">
        <v>304</v>
      </c>
      <c r="E534" s="4">
        <v>45384</v>
      </c>
      <c r="F534" s="4">
        <v>45392</v>
      </c>
      <c r="G534" s="2">
        <f t="shared" si="8"/>
        <v>8</v>
      </c>
      <c r="H534" s="2">
        <v>32</v>
      </c>
      <c r="I534" t="s">
        <v>39</v>
      </c>
      <c r="J534" t="s">
        <v>9</v>
      </c>
      <c r="K534" s="2">
        <v>26.22</v>
      </c>
      <c r="L534" s="3">
        <v>576.57000000000005</v>
      </c>
      <c r="M534" s="3">
        <f>orders_1[[#This Row],[products.Base_Price]]*orders_1[[#This Row],[Quantity]]</f>
        <v>18450.240000000002</v>
      </c>
      <c r="N534" t="s">
        <v>17</v>
      </c>
      <c r="O534" t="s">
        <v>18</v>
      </c>
      <c r="P534" t="s">
        <v>19</v>
      </c>
    </row>
    <row r="535" spans="1:16" x14ac:dyDescent="0.3">
      <c r="A535" s="2">
        <v>10534</v>
      </c>
      <c r="B535" s="2">
        <v>866</v>
      </c>
      <c r="C535" s="2">
        <v>2022</v>
      </c>
      <c r="D535" s="2">
        <v>304</v>
      </c>
      <c r="E535" s="4">
        <v>45442</v>
      </c>
      <c r="F535" s="4">
        <v>45451</v>
      </c>
      <c r="G535" s="2">
        <f t="shared" si="8"/>
        <v>9</v>
      </c>
      <c r="H535" s="2">
        <v>34</v>
      </c>
      <c r="I535" t="s">
        <v>39</v>
      </c>
      <c r="J535" t="s">
        <v>13</v>
      </c>
      <c r="K535" s="2">
        <v>47.91</v>
      </c>
      <c r="L535" s="3">
        <v>756.92</v>
      </c>
      <c r="M535" s="3">
        <f>orders_1[[#This Row],[products.Base_Price]]*orders_1[[#This Row],[Quantity]]</f>
        <v>25735.279999999999</v>
      </c>
      <c r="N535" t="s">
        <v>17</v>
      </c>
      <c r="O535" t="s">
        <v>18</v>
      </c>
      <c r="P535" t="s">
        <v>19</v>
      </c>
    </row>
    <row r="536" spans="1:16" x14ac:dyDescent="0.3">
      <c r="A536" s="2">
        <v>10535</v>
      </c>
      <c r="B536" s="2">
        <v>818</v>
      </c>
      <c r="C536" s="2">
        <v>2057</v>
      </c>
      <c r="D536" s="2">
        <v>302</v>
      </c>
      <c r="E536" s="4">
        <v>45510</v>
      </c>
      <c r="F536" s="4">
        <v>45515</v>
      </c>
      <c r="G536" s="2">
        <f t="shared" si="8"/>
        <v>5</v>
      </c>
      <c r="H536" s="2">
        <v>33</v>
      </c>
      <c r="I536" t="s">
        <v>39</v>
      </c>
      <c r="J536" t="s">
        <v>22</v>
      </c>
      <c r="K536" s="2">
        <v>34.299999999999997</v>
      </c>
      <c r="L536" s="3">
        <v>40.43</v>
      </c>
      <c r="M536" s="3">
        <f>orders_1[[#This Row],[products.Base_Price]]*orders_1[[#This Row],[Quantity]]</f>
        <v>1334.19</v>
      </c>
      <c r="N536" t="s">
        <v>12</v>
      </c>
      <c r="O536" t="s">
        <v>14</v>
      </c>
      <c r="P536" t="s">
        <v>11</v>
      </c>
    </row>
    <row r="537" spans="1:16" x14ac:dyDescent="0.3">
      <c r="A537" s="2">
        <v>10536</v>
      </c>
      <c r="B537" s="2">
        <v>894</v>
      </c>
      <c r="C537" s="2">
        <v>2082</v>
      </c>
      <c r="D537" s="2">
        <v>302</v>
      </c>
      <c r="E537" s="4">
        <v>45362</v>
      </c>
      <c r="F537" s="4">
        <v>45365</v>
      </c>
      <c r="G537" s="2">
        <f t="shared" si="8"/>
        <v>3</v>
      </c>
      <c r="H537" s="2">
        <v>3</v>
      </c>
      <c r="I537" t="s">
        <v>36</v>
      </c>
      <c r="J537" t="s">
        <v>22</v>
      </c>
      <c r="K537" s="2">
        <v>41.79</v>
      </c>
      <c r="L537" s="3">
        <v>352.17</v>
      </c>
      <c r="M537" s="3">
        <f>orders_1[[#This Row],[products.Base_Price]]*orders_1[[#This Row],[Quantity]]</f>
        <v>1056.51</v>
      </c>
      <c r="N537" t="s">
        <v>12</v>
      </c>
      <c r="O537" t="s">
        <v>14</v>
      </c>
      <c r="P537" t="s">
        <v>11</v>
      </c>
    </row>
    <row r="538" spans="1:16" x14ac:dyDescent="0.3">
      <c r="A538" s="2">
        <v>10537</v>
      </c>
      <c r="B538" s="2">
        <v>867</v>
      </c>
      <c r="C538" s="2">
        <v>2074</v>
      </c>
      <c r="D538" s="2">
        <v>318</v>
      </c>
      <c r="E538" s="4">
        <v>45600</v>
      </c>
      <c r="F538" s="4">
        <v>45610</v>
      </c>
      <c r="G538" s="2">
        <f t="shared" si="8"/>
        <v>10</v>
      </c>
      <c r="H538" s="2">
        <v>82</v>
      </c>
      <c r="I538" t="s">
        <v>36</v>
      </c>
      <c r="J538" t="s">
        <v>13</v>
      </c>
      <c r="K538" s="2">
        <v>41.45</v>
      </c>
      <c r="L538" s="3">
        <v>650.42999999999995</v>
      </c>
      <c r="M538" s="3">
        <f>orders_1[[#This Row],[products.Base_Price]]*orders_1[[#This Row],[Quantity]]</f>
        <v>53335.259999999995</v>
      </c>
      <c r="N538" t="s">
        <v>17</v>
      </c>
      <c r="O538" t="s">
        <v>10</v>
      </c>
      <c r="P538" t="s">
        <v>19</v>
      </c>
    </row>
    <row r="539" spans="1:16" x14ac:dyDescent="0.3">
      <c r="A539" s="2">
        <v>10538</v>
      </c>
      <c r="B539" s="2">
        <v>879</v>
      </c>
      <c r="C539" s="2">
        <v>2038</v>
      </c>
      <c r="D539" s="2">
        <v>302</v>
      </c>
      <c r="E539" s="4">
        <v>45614</v>
      </c>
      <c r="F539" s="4">
        <v>45617</v>
      </c>
      <c r="G539" s="2">
        <f t="shared" si="8"/>
        <v>3</v>
      </c>
      <c r="H539" s="2">
        <v>72</v>
      </c>
      <c r="I539" t="s">
        <v>78</v>
      </c>
      <c r="J539" t="s">
        <v>27</v>
      </c>
      <c r="K539" s="2">
        <v>26.62</v>
      </c>
      <c r="L539" s="3">
        <v>680</v>
      </c>
      <c r="M539" s="3">
        <f>orders_1[[#This Row],[products.Base_Price]]*orders_1[[#This Row],[Quantity]]</f>
        <v>48960</v>
      </c>
      <c r="N539" t="s">
        <v>12</v>
      </c>
      <c r="O539" t="s">
        <v>14</v>
      </c>
      <c r="P539" t="s">
        <v>11</v>
      </c>
    </row>
    <row r="540" spans="1:16" x14ac:dyDescent="0.3">
      <c r="A540" s="2">
        <v>10539</v>
      </c>
      <c r="B540" s="2">
        <v>785</v>
      </c>
      <c r="C540" s="2">
        <v>2081</v>
      </c>
      <c r="D540" s="2">
        <v>304</v>
      </c>
      <c r="E540" s="4">
        <v>45404</v>
      </c>
      <c r="F540" s="4">
        <v>45410</v>
      </c>
      <c r="G540" s="2">
        <f t="shared" si="8"/>
        <v>6</v>
      </c>
      <c r="H540" s="2">
        <v>36</v>
      </c>
      <c r="I540" t="s">
        <v>36</v>
      </c>
      <c r="J540" t="s">
        <v>21</v>
      </c>
      <c r="K540" s="2">
        <v>20.72</v>
      </c>
      <c r="L540" s="3">
        <v>668.31</v>
      </c>
      <c r="M540" s="3">
        <f>orders_1[[#This Row],[products.Base_Price]]*orders_1[[#This Row],[Quantity]]</f>
        <v>24059.159999999996</v>
      </c>
      <c r="N540" t="s">
        <v>17</v>
      </c>
      <c r="O540" t="s">
        <v>18</v>
      </c>
      <c r="P540" t="s">
        <v>19</v>
      </c>
    </row>
    <row r="541" spans="1:16" x14ac:dyDescent="0.3">
      <c r="A541" s="2">
        <v>10540</v>
      </c>
      <c r="B541" s="2">
        <v>536</v>
      </c>
      <c r="C541" s="2">
        <v>2055</v>
      </c>
      <c r="D541" s="2">
        <v>304</v>
      </c>
      <c r="E541" s="4">
        <v>45303</v>
      </c>
      <c r="F541" s="4">
        <v>45307</v>
      </c>
      <c r="G541" s="2">
        <f t="shared" si="8"/>
        <v>4</v>
      </c>
      <c r="H541" s="2">
        <v>85</v>
      </c>
      <c r="I541" t="s">
        <v>78</v>
      </c>
      <c r="J541" t="s">
        <v>27</v>
      </c>
      <c r="K541" s="2">
        <v>26.24</v>
      </c>
      <c r="L541" s="3">
        <v>312.67</v>
      </c>
      <c r="M541" s="3">
        <f>orders_1[[#This Row],[products.Base_Price]]*orders_1[[#This Row],[Quantity]]</f>
        <v>26576.95</v>
      </c>
      <c r="N541" t="s">
        <v>17</v>
      </c>
      <c r="O541" t="s">
        <v>18</v>
      </c>
      <c r="P541" t="s">
        <v>19</v>
      </c>
    </row>
    <row r="542" spans="1:16" x14ac:dyDescent="0.3">
      <c r="A542" s="2">
        <v>10541</v>
      </c>
      <c r="B542" s="2">
        <v>551</v>
      </c>
      <c r="C542" s="2">
        <v>2065</v>
      </c>
      <c r="D542" s="2">
        <v>307</v>
      </c>
      <c r="E542" s="4">
        <v>45558</v>
      </c>
      <c r="F542" s="4">
        <v>45564</v>
      </c>
      <c r="G542" s="2">
        <f t="shared" si="8"/>
        <v>6</v>
      </c>
      <c r="H542" s="2">
        <v>68</v>
      </c>
      <c r="I542" t="s">
        <v>39</v>
      </c>
      <c r="J542" t="s">
        <v>13</v>
      </c>
      <c r="K542" s="2">
        <v>26.94</v>
      </c>
      <c r="L542" s="3">
        <v>155.15</v>
      </c>
      <c r="M542" s="3">
        <f>orders_1[[#This Row],[products.Base_Price]]*orders_1[[#This Row],[Quantity]]</f>
        <v>10550.2</v>
      </c>
      <c r="N542" t="s">
        <v>17</v>
      </c>
      <c r="O542" t="s">
        <v>10</v>
      </c>
      <c r="P542" t="s">
        <v>11</v>
      </c>
    </row>
    <row r="543" spans="1:16" x14ac:dyDescent="0.3">
      <c r="A543" s="2">
        <v>10542</v>
      </c>
      <c r="B543" s="2">
        <v>765</v>
      </c>
      <c r="C543" s="2">
        <v>2053</v>
      </c>
      <c r="D543" s="2">
        <v>320</v>
      </c>
      <c r="E543" s="4">
        <v>45557</v>
      </c>
      <c r="F543" s="4">
        <v>45567</v>
      </c>
      <c r="G543" s="2">
        <f t="shared" si="8"/>
        <v>10</v>
      </c>
      <c r="H543" s="2">
        <v>20</v>
      </c>
      <c r="I543" t="s">
        <v>78</v>
      </c>
      <c r="J543" t="s">
        <v>22</v>
      </c>
      <c r="K543" s="2">
        <v>34.54</v>
      </c>
      <c r="L543" s="3">
        <v>162.21</v>
      </c>
      <c r="M543" s="3">
        <f>orders_1[[#This Row],[products.Base_Price]]*orders_1[[#This Row],[Quantity]]</f>
        <v>3244.2000000000003</v>
      </c>
      <c r="N543" t="s">
        <v>15</v>
      </c>
      <c r="O543" t="s">
        <v>25</v>
      </c>
      <c r="P543" t="s">
        <v>11</v>
      </c>
    </row>
    <row r="544" spans="1:16" x14ac:dyDescent="0.3">
      <c r="A544" s="2">
        <v>10543</v>
      </c>
      <c r="B544" s="2">
        <v>896</v>
      </c>
      <c r="C544" s="2">
        <v>2073</v>
      </c>
      <c r="D544" s="2">
        <v>303</v>
      </c>
      <c r="E544" s="4">
        <v>45458</v>
      </c>
      <c r="F544" s="4">
        <v>45460</v>
      </c>
      <c r="G544" s="2">
        <f t="shared" si="8"/>
        <v>2</v>
      </c>
      <c r="H544" s="2">
        <v>2</v>
      </c>
      <c r="I544" t="s">
        <v>78</v>
      </c>
      <c r="J544" t="s">
        <v>9</v>
      </c>
      <c r="K544" s="2">
        <v>11.78</v>
      </c>
      <c r="L544" s="3">
        <v>416.74</v>
      </c>
      <c r="M544" s="3">
        <f>orders_1[[#This Row],[products.Base_Price]]*orders_1[[#This Row],[Quantity]]</f>
        <v>833.48</v>
      </c>
      <c r="N544" t="s">
        <v>15</v>
      </c>
      <c r="O544" t="s">
        <v>10</v>
      </c>
      <c r="P544" t="s">
        <v>16</v>
      </c>
    </row>
    <row r="545" spans="1:16" x14ac:dyDescent="0.3">
      <c r="A545" s="2">
        <v>10544</v>
      </c>
      <c r="B545" s="2">
        <v>565</v>
      </c>
      <c r="C545" s="2">
        <v>2084</v>
      </c>
      <c r="D545" s="2">
        <v>311</v>
      </c>
      <c r="E545" s="4">
        <v>45422</v>
      </c>
      <c r="F545" s="4">
        <v>45429</v>
      </c>
      <c r="G545" s="2">
        <f t="shared" si="8"/>
        <v>7</v>
      </c>
      <c r="H545" s="2">
        <v>55</v>
      </c>
      <c r="I545" t="s">
        <v>39</v>
      </c>
      <c r="J545" t="s">
        <v>21</v>
      </c>
      <c r="K545" s="2">
        <v>14.27</v>
      </c>
      <c r="L545" s="3">
        <v>223.58</v>
      </c>
      <c r="M545" s="3">
        <f>orders_1[[#This Row],[products.Base_Price]]*orders_1[[#This Row],[Quantity]]</f>
        <v>12296.900000000001</v>
      </c>
      <c r="N545" t="s">
        <v>26</v>
      </c>
      <c r="O545" t="s">
        <v>10</v>
      </c>
      <c r="P545" t="s">
        <v>11</v>
      </c>
    </row>
    <row r="546" spans="1:16" x14ac:dyDescent="0.3">
      <c r="A546" s="2">
        <v>10545</v>
      </c>
      <c r="B546" s="2">
        <v>833</v>
      </c>
      <c r="C546" s="2">
        <v>2045</v>
      </c>
      <c r="D546" s="2">
        <v>311</v>
      </c>
      <c r="E546" s="4">
        <v>45567</v>
      </c>
      <c r="F546" s="4">
        <v>45577</v>
      </c>
      <c r="G546" s="2">
        <f t="shared" si="8"/>
        <v>10</v>
      </c>
      <c r="H546" s="2">
        <v>100</v>
      </c>
      <c r="I546" t="s">
        <v>42</v>
      </c>
      <c r="J546" t="s">
        <v>9</v>
      </c>
      <c r="K546" s="2">
        <v>41.3</v>
      </c>
      <c r="L546" s="3">
        <v>652.61</v>
      </c>
      <c r="M546" s="3">
        <f>orders_1[[#This Row],[products.Base_Price]]*orders_1[[#This Row],[Quantity]]</f>
        <v>65261</v>
      </c>
      <c r="N546" t="s">
        <v>26</v>
      </c>
      <c r="O546" t="s">
        <v>10</v>
      </c>
      <c r="P546" t="s">
        <v>11</v>
      </c>
    </row>
    <row r="547" spans="1:16" x14ac:dyDescent="0.3">
      <c r="A547" s="2">
        <v>10546</v>
      </c>
      <c r="B547" s="2">
        <v>667</v>
      </c>
      <c r="C547" s="2">
        <v>2076</v>
      </c>
      <c r="D547" s="2">
        <v>302</v>
      </c>
      <c r="E547" s="4">
        <v>45391</v>
      </c>
      <c r="F547" s="4">
        <v>45400</v>
      </c>
      <c r="G547" s="2">
        <f t="shared" si="8"/>
        <v>9</v>
      </c>
      <c r="H547" s="2">
        <v>29</v>
      </c>
      <c r="I547" t="s">
        <v>39</v>
      </c>
      <c r="J547" t="s">
        <v>13</v>
      </c>
      <c r="K547" s="2">
        <v>14.63</v>
      </c>
      <c r="L547" s="3">
        <v>638.11</v>
      </c>
      <c r="M547" s="3">
        <f>orders_1[[#This Row],[products.Base_Price]]*orders_1[[#This Row],[Quantity]]</f>
        <v>18505.189999999999</v>
      </c>
      <c r="N547" t="s">
        <v>12</v>
      </c>
      <c r="O547" t="s">
        <v>14</v>
      </c>
      <c r="P547" t="s">
        <v>11</v>
      </c>
    </row>
    <row r="548" spans="1:16" x14ac:dyDescent="0.3">
      <c r="A548" s="2">
        <v>10547</v>
      </c>
      <c r="B548" s="2">
        <v>719</v>
      </c>
      <c r="C548" s="2">
        <v>2020</v>
      </c>
      <c r="D548" s="2">
        <v>301</v>
      </c>
      <c r="E548" s="4">
        <v>45321</v>
      </c>
      <c r="F548" s="4">
        <v>45330</v>
      </c>
      <c r="G548" s="2">
        <f t="shared" si="8"/>
        <v>9</v>
      </c>
      <c r="H548" s="2">
        <v>49</v>
      </c>
      <c r="I548" t="s">
        <v>39</v>
      </c>
      <c r="J548" t="s">
        <v>27</v>
      </c>
      <c r="K548" s="2">
        <v>35.94</v>
      </c>
      <c r="L548" s="3">
        <v>44.04</v>
      </c>
      <c r="M548" s="3">
        <f>orders_1[[#This Row],[products.Base_Price]]*orders_1[[#This Row],[Quantity]]</f>
        <v>2157.96</v>
      </c>
      <c r="N548" t="s">
        <v>8</v>
      </c>
      <c r="O548" t="s">
        <v>10</v>
      </c>
      <c r="P548" t="s">
        <v>11</v>
      </c>
    </row>
    <row r="549" spans="1:16" x14ac:dyDescent="0.3">
      <c r="A549" s="2">
        <v>10548</v>
      </c>
      <c r="B549" s="2">
        <v>744</v>
      </c>
      <c r="C549" s="2">
        <v>2025</v>
      </c>
      <c r="D549" s="2">
        <v>302</v>
      </c>
      <c r="E549" s="4">
        <v>45491</v>
      </c>
      <c r="F549" s="4">
        <v>45498</v>
      </c>
      <c r="G549" s="2">
        <f t="shared" si="8"/>
        <v>7</v>
      </c>
      <c r="H549" s="2">
        <v>38</v>
      </c>
      <c r="I549" t="s">
        <v>39</v>
      </c>
      <c r="J549" t="s">
        <v>13</v>
      </c>
      <c r="K549" s="2">
        <v>3.39</v>
      </c>
      <c r="L549" s="3">
        <v>303.87</v>
      </c>
      <c r="M549" s="3">
        <f>orders_1[[#This Row],[products.Base_Price]]*orders_1[[#This Row],[Quantity]]</f>
        <v>11547.06</v>
      </c>
      <c r="N549" t="s">
        <v>12</v>
      </c>
      <c r="O549" t="s">
        <v>14</v>
      </c>
      <c r="P549" t="s">
        <v>11</v>
      </c>
    </row>
    <row r="550" spans="1:16" x14ac:dyDescent="0.3">
      <c r="A550" s="2">
        <v>10549</v>
      </c>
      <c r="B550" s="2">
        <v>756</v>
      </c>
      <c r="C550" s="2">
        <v>2094</v>
      </c>
      <c r="D550" s="2">
        <v>305</v>
      </c>
      <c r="E550" s="4">
        <v>45638</v>
      </c>
      <c r="F550" s="4">
        <v>45640</v>
      </c>
      <c r="G550" s="2">
        <f t="shared" si="8"/>
        <v>2</v>
      </c>
      <c r="H550" s="2">
        <v>66</v>
      </c>
      <c r="I550" t="s">
        <v>39</v>
      </c>
      <c r="J550" t="s">
        <v>27</v>
      </c>
      <c r="K550" s="2">
        <v>22.56</v>
      </c>
      <c r="L550" s="3">
        <v>393.53</v>
      </c>
      <c r="M550" s="3">
        <f>orders_1[[#This Row],[products.Base_Price]]*orders_1[[#This Row],[Quantity]]</f>
        <v>25972.98</v>
      </c>
      <c r="N550" t="s">
        <v>20</v>
      </c>
      <c r="O550" t="s">
        <v>10</v>
      </c>
      <c r="P550" t="s">
        <v>19</v>
      </c>
    </row>
    <row r="551" spans="1:16" x14ac:dyDescent="0.3">
      <c r="A551" s="2">
        <v>10550</v>
      </c>
      <c r="B551" s="2">
        <v>796</v>
      </c>
      <c r="C551" s="2">
        <v>2019</v>
      </c>
      <c r="D551" s="2">
        <v>319</v>
      </c>
      <c r="E551" s="4">
        <v>45301</v>
      </c>
      <c r="F551" s="4">
        <v>45302</v>
      </c>
      <c r="G551" s="2">
        <f t="shared" si="8"/>
        <v>1</v>
      </c>
      <c r="H551" s="2">
        <v>69</v>
      </c>
      <c r="I551" t="s">
        <v>42</v>
      </c>
      <c r="J551" t="s">
        <v>22</v>
      </c>
      <c r="K551" s="2">
        <v>27.65</v>
      </c>
      <c r="L551" s="3">
        <v>89.85</v>
      </c>
      <c r="M551" s="3">
        <f>orders_1[[#This Row],[products.Base_Price]]*orders_1[[#This Row],[Quantity]]</f>
        <v>6199.65</v>
      </c>
      <c r="N551" t="s">
        <v>20</v>
      </c>
      <c r="O551" t="s">
        <v>18</v>
      </c>
      <c r="P551" t="s">
        <v>11</v>
      </c>
    </row>
    <row r="552" spans="1:16" x14ac:dyDescent="0.3">
      <c r="A552" s="2">
        <v>10551</v>
      </c>
      <c r="B552" s="2">
        <v>734</v>
      </c>
      <c r="C552" s="2">
        <v>2010</v>
      </c>
      <c r="D552" s="2">
        <v>314</v>
      </c>
      <c r="E552" s="4">
        <v>45625</v>
      </c>
      <c r="F552" s="4">
        <v>45627</v>
      </c>
      <c r="G552" s="2">
        <f t="shared" si="8"/>
        <v>2</v>
      </c>
      <c r="H552" s="2">
        <v>61</v>
      </c>
      <c r="I552" t="s">
        <v>36</v>
      </c>
      <c r="J552" t="s">
        <v>13</v>
      </c>
      <c r="K552" s="2">
        <v>9.58</v>
      </c>
      <c r="L552" s="3">
        <v>440.93</v>
      </c>
      <c r="M552" s="3">
        <f>orders_1[[#This Row],[products.Base_Price]]*orders_1[[#This Row],[Quantity]]</f>
        <v>26896.73</v>
      </c>
      <c r="N552" t="s">
        <v>17</v>
      </c>
      <c r="O552" t="s">
        <v>14</v>
      </c>
      <c r="P552" t="s">
        <v>19</v>
      </c>
    </row>
    <row r="553" spans="1:16" x14ac:dyDescent="0.3">
      <c r="A553" s="2">
        <v>10552</v>
      </c>
      <c r="B553" s="2">
        <v>669</v>
      </c>
      <c r="C553" s="2">
        <v>2035</v>
      </c>
      <c r="D553" s="2">
        <v>308</v>
      </c>
      <c r="E553" s="4">
        <v>45320</v>
      </c>
      <c r="F553" s="4">
        <v>45323</v>
      </c>
      <c r="G553" s="2">
        <f t="shared" si="8"/>
        <v>3</v>
      </c>
      <c r="H553" s="2">
        <v>59</v>
      </c>
      <c r="I553" t="s">
        <v>36</v>
      </c>
      <c r="J553" t="s">
        <v>27</v>
      </c>
      <c r="K553" s="2">
        <v>18.55</v>
      </c>
      <c r="L553" s="3">
        <v>636.37</v>
      </c>
      <c r="M553" s="3">
        <f>orders_1[[#This Row],[products.Base_Price]]*orders_1[[#This Row],[Quantity]]</f>
        <v>37545.83</v>
      </c>
      <c r="N553" t="s">
        <v>23</v>
      </c>
      <c r="O553" t="s">
        <v>14</v>
      </c>
      <c r="P553" t="s">
        <v>19</v>
      </c>
    </row>
    <row r="554" spans="1:16" x14ac:dyDescent="0.3">
      <c r="A554" s="2">
        <v>10553</v>
      </c>
      <c r="B554" s="2">
        <v>533</v>
      </c>
      <c r="C554" s="2">
        <v>2043</v>
      </c>
      <c r="D554" s="2">
        <v>305</v>
      </c>
      <c r="E554" s="4">
        <v>45315</v>
      </c>
      <c r="F554" s="4">
        <v>45325</v>
      </c>
      <c r="G554" s="2">
        <f t="shared" si="8"/>
        <v>10</v>
      </c>
      <c r="H554" s="2">
        <v>92</v>
      </c>
      <c r="I554" t="s">
        <v>42</v>
      </c>
      <c r="J554" t="s">
        <v>27</v>
      </c>
      <c r="K554" s="2">
        <v>14.98</v>
      </c>
      <c r="L554" s="3">
        <v>375.85</v>
      </c>
      <c r="M554" s="3">
        <f>orders_1[[#This Row],[products.Base_Price]]*orders_1[[#This Row],[Quantity]]</f>
        <v>34578.200000000004</v>
      </c>
      <c r="N554" t="s">
        <v>20</v>
      </c>
      <c r="O554" t="s">
        <v>10</v>
      </c>
      <c r="P554" t="s">
        <v>19</v>
      </c>
    </row>
    <row r="555" spans="1:16" x14ac:dyDescent="0.3">
      <c r="A555" s="2">
        <v>10554</v>
      </c>
      <c r="B555" s="2">
        <v>579</v>
      </c>
      <c r="C555" s="2">
        <v>2036</v>
      </c>
      <c r="D555" s="2">
        <v>304</v>
      </c>
      <c r="E555" s="4">
        <v>45497</v>
      </c>
      <c r="F555" s="4">
        <v>45507</v>
      </c>
      <c r="G555" s="2">
        <f t="shared" si="8"/>
        <v>10</v>
      </c>
      <c r="H555" s="2">
        <v>66</v>
      </c>
      <c r="I555" t="s">
        <v>39</v>
      </c>
      <c r="J555" t="s">
        <v>22</v>
      </c>
      <c r="K555" s="2">
        <v>39.39</v>
      </c>
      <c r="L555" s="3">
        <v>745.86</v>
      </c>
      <c r="M555" s="3">
        <f>orders_1[[#This Row],[products.Base_Price]]*orders_1[[#This Row],[Quantity]]</f>
        <v>49226.76</v>
      </c>
      <c r="N555" t="s">
        <v>17</v>
      </c>
      <c r="O555" t="s">
        <v>18</v>
      </c>
      <c r="P555" t="s">
        <v>19</v>
      </c>
    </row>
    <row r="556" spans="1:16" x14ac:dyDescent="0.3">
      <c r="A556" s="2">
        <v>10555</v>
      </c>
      <c r="B556" s="2">
        <v>618</v>
      </c>
      <c r="C556" s="2">
        <v>2013</v>
      </c>
      <c r="D556" s="2">
        <v>308</v>
      </c>
      <c r="E556" s="4">
        <v>45294</v>
      </c>
      <c r="F556" s="4">
        <v>45296</v>
      </c>
      <c r="G556" s="2">
        <f t="shared" si="8"/>
        <v>2</v>
      </c>
      <c r="H556" s="2">
        <v>77</v>
      </c>
      <c r="I556" t="s">
        <v>78</v>
      </c>
      <c r="J556" t="s">
        <v>13</v>
      </c>
      <c r="K556" s="2">
        <v>19.53</v>
      </c>
      <c r="L556" s="3">
        <v>563.69000000000005</v>
      </c>
      <c r="M556" s="3">
        <f>orders_1[[#This Row],[products.Base_Price]]*orders_1[[#This Row],[Quantity]]</f>
        <v>43404.130000000005</v>
      </c>
      <c r="N556" t="s">
        <v>23</v>
      </c>
      <c r="O556" t="s">
        <v>14</v>
      </c>
      <c r="P556" t="s">
        <v>19</v>
      </c>
    </row>
    <row r="557" spans="1:16" x14ac:dyDescent="0.3">
      <c r="A557" s="2">
        <v>10556</v>
      </c>
      <c r="B557" s="2">
        <v>613</v>
      </c>
      <c r="C557" s="2">
        <v>2056</v>
      </c>
      <c r="D557" s="2">
        <v>314</v>
      </c>
      <c r="E557" s="4">
        <v>45597</v>
      </c>
      <c r="F557" s="4">
        <v>45605</v>
      </c>
      <c r="G557" s="2">
        <f t="shared" si="8"/>
        <v>8</v>
      </c>
      <c r="H557" s="2">
        <v>32</v>
      </c>
      <c r="I557" t="s">
        <v>78</v>
      </c>
      <c r="J557" t="s">
        <v>9</v>
      </c>
      <c r="K557" s="2">
        <v>18.559999999999999</v>
      </c>
      <c r="L557" s="3">
        <v>564.01</v>
      </c>
      <c r="M557" s="3">
        <f>orders_1[[#This Row],[products.Base_Price]]*orders_1[[#This Row],[Quantity]]</f>
        <v>18048.32</v>
      </c>
      <c r="N557" t="s">
        <v>17</v>
      </c>
      <c r="O557" t="s">
        <v>14</v>
      </c>
      <c r="P557" t="s">
        <v>19</v>
      </c>
    </row>
    <row r="558" spans="1:16" x14ac:dyDescent="0.3">
      <c r="A558" s="2">
        <v>10557</v>
      </c>
      <c r="B558" s="2">
        <v>710</v>
      </c>
      <c r="C558" s="2">
        <v>2024</v>
      </c>
      <c r="D558" s="2">
        <v>304</v>
      </c>
      <c r="E558" s="4">
        <v>45602</v>
      </c>
      <c r="F558" s="4">
        <v>45604</v>
      </c>
      <c r="G558" s="2">
        <f t="shared" si="8"/>
        <v>2</v>
      </c>
      <c r="H558" s="2">
        <v>73</v>
      </c>
      <c r="I558" t="s">
        <v>42</v>
      </c>
      <c r="J558" t="s">
        <v>13</v>
      </c>
      <c r="K558" s="2">
        <v>21.16</v>
      </c>
      <c r="L558" s="3">
        <v>291.08</v>
      </c>
      <c r="M558" s="3">
        <f>orders_1[[#This Row],[products.Base_Price]]*orders_1[[#This Row],[Quantity]]</f>
        <v>21248.84</v>
      </c>
      <c r="N558" t="s">
        <v>17</v>
      </c>
      <c r="O558" t="s">
        <v>18</v>
      </c>
      <c r="P558" t="s">
        <v>19</v>
      </c>
    </row>
    <row r="559" spans="1:16" x14ac:dyDescent="0.3">
      <c r="A559" s="2">
        <v>10558</v>
      </c>
      <c r="B559" s="2">
        <v>758</v>
      </c>
      <c r="C559" s="2">
        <v>2068</v>
      </c>
      <c r="D559" s="2">
        <v>317</v>
      </c>
      <c r="E559" s="4">
        <v>45567</v>
      </c>
      <c r="F559" s="4">
        <v>45575</v>
      </c>
      <c r="G559" s="2">
        <f t="shared" si="8"/>
        <v>8</v>
      </c>
      <c r="H559" s="2">
        <v>12</v>
      </c>
      <c r="I559" t="s">
        <v>39</v>
      </c>
      <c r="J559" t="s">
        <v>27</v>
      </c>
      <c r="K559" s="2">
        <v>47.08</v>
      </c>
      <c r="L559" s="3">
        <v>501.03</v>
      </c>
      <c r="M559" s="3">
        <f>orders_1[[#This Row],[products.Base_Price]]*orders_1[[#This Row],[Quantity]]</f>
        <v>6012.36</v>
      </c>
      <c r="N559" t="s">
        <v>20</v>
      </c>
      <c r="O559" t="s">
        <v>25</v>
      </c>
      <c r="P559" t="s">
        <v>19</v>
      </c>
    </row>
    <row r="560" spans="1:16" x14ac:dyDescent="0.3">
      <c r="A560" s="2">
        <v>10559</v>
      </c>
      <c r="B560" s="2">
        <v>698</v>
      </c>
      <c r="C560" s="2">
        <v>2060</v>
      </c>
      <c r="D560" s="2">
        <v>310</v>
      </c>
      <c r="E560" s="4">
        <v>45645</v>
      </c>
      <c r="F560" s="4">
        <v>45654</v>
      </c>
      <c r="G560" s="2">
        <f t="shared" si="8"/>
        <v>9</v>
      </c>
      <c r="H560" s="2">
        <v>93</v>
      </c>
      <c r="I560" t="s">
        <v>36</v>
      </c>
      <c r="J560" t="s">
        <v>21</v>
      </c>
      <c r="K560" s="2">
        <v>3.65</v>
      </c>
      <c r="L560" s="3">
        <v>173.1</v>
      </c>
      <c r="M560" s="3">
        <f>orders_1[[#This Row],[products.Base_Price]]*orders_1[[#This Row],[Quantity]]</f>
        <v>16098.3</v>
      </c>
      <c r="N560" t="s">
        <v>26</v>
      </c>
      <c r="O560" t="s">
        <v>25</v>
      </c>
      <c r="P560" t="s">
        <v>11</v>
      </c>
    </row>
    <row r="561" spans="1:16" x14ac:dyDescent="0.3">
      <c r="A561" s="2">
        <v>10560</v>
      </c>
      <c r="B561" s="2">
        <v>672</v>
      </c>
      <c r="C561" s="2">
        <v>2044</v>
      </c>
      <c r="D561" s="2">
        <v>319</v>
      </c>
      <c r="E561" s="4">
        <v>45311</v>
      </c>
      <c r="F561" s="4">
        <v>45316</v>
      </c>
      <c r="G561" s="2">
        <f t="shared" si="8"/>
        <v>5</v>
      </c>
      <c r="H561" s="2">
        <v>1</v>
      </c>
      <c r="I561" t="s">
        <v>39</v>
      </c>
      <c r="J561" t="s">
        <v>21</v>
      </c>
      <c r="K561" s="2">
        <v>11.44</v>
      </c>
      <c r="L561" s="3">
        <v>939.99</v>
      </c>
      <c r="M561" s="3">
        <f>orders_1[[#This Row],[products.Base_Price]]*orders_1[[#This Row],[Quantity]]</f>
        <v>939.99</v>
      </c>
      <c r="N561" t="s">
        <v>20</v>
      </c>
      <c r="O561" t="s">
        <v>18</v>
      </c>
      <c r="P561" t="s">
        <v>11</v>
      </c>
    </row>
    <row r="562" spans="1:16" x14ac:dyDescent="0.3">
      <c r="A562" s="2">
        <v>10561</v>
      </c>
      <c r="B562" s="2">
        <v>805</v>
      </c>
      <c r="C562" s="2">
        <v>2006</v>
      </c>
      <c r="D562" s="2">
        <v>312</v>
      </c>
      <c r="E562" s="4">
        <v>45429</v>
      </c>
      <c r="F562" s="4">
        <v>45438</v>
      </c>
      <c r="G562" s="2">
        <f t="shared" si="8"/>
        <v>9</v>
      </c>
      <c r="H562" s="2">
        <v>60</v>
      </c>
      <c r="I562" t="s">
        <v>42</v>
      </c>
      <c r="J562" t="s">
        <v>22</v>
      </c>
      <c r="K562" s="2">
        <v>41.47</v>
      </c>
      <c r="L562" s="3">
        <v>541.85</v>
      </c>
      <c r="M562" s="3">
        <f>orders_1[[#This Row],[products.Base_Price]]*orders_1[[#This Row],[Quantity]]</f>
        <v>32511</v>
      </c>
      <c r="N562" t="s">
        <v>15</v>
      </c>
      <c r="O562" t="s">
        <v>10</v>
      </c>
      <c r="P562" t="s">
        <v>11</v>
      </c>
    </row>
    <row r="563" spans="1:16" x14ac:dyDescent="0.3">
      <c r="A563" s="2">
        <v>10562</v>
      </c>
      <c r="B563" s="2">
        <v>590</v>
      </c>
      <c r="C563" s="2">
        <v>2032</v>
      </c>
      <c r="D563" s="2">
        <v>305</v>
      </c>
      <c r="E563" s="4">
        <v>45523</v>
      </c>
      <c r="F563" s="4">
        <v>45525</v>
      </c>
      <c r="G563" s="2">
        <f t="shared" si="8"/>
        <v>2</v>
      </c>
      <c r="H563" s="2">
        <v>43</v>
      </c>
      <c r="I563" t="s">
        <v>78</v>
      </c>
      <c r="J563" t="s">
        <v>9</v>
      </c>
      <c r="K563" s="2">
        <v>3.81</v>
      </c>
      <c r="L563" s="3">
        <v>682.41</v>
      </c>
      <c r="M563" s="3">
        <f>orders_1[[#This Row],[products.Base_Price]]*orders_1[[#This Row],[Quantity]]</f>
        <v>29343.629999999997</v>
      </c>
      <c r="N563" t="s">
        <v>20</v>
      </c>
      <c r="O563" t="s">
        <v>10</v>
      </c>
      <c r="P563" t="s">
        <v>19</v>
      </c>
    </row>
    <row r="564" spans="1:16" x14ac:dyDescent="0.3">
      <c r="A564" s="2">
        <v>10563</v>
      </c>
      <c r="B564" s="2">
        <v>800</v>
      </c>
      <c r="C564" s="2">
        <v>2021</v>
      </c>
      <c r="D564" s="2">
        <v>304</v>
      </c>
      <c r="E564" s="4">
        <v>45534</v>
      </c>
      <c r="F564" s="4">
        <v>45538</v>
      </c>
      <c r="G564" s="2">
        <f t="shared" si="8"/>
        <v>4</v>
      </c>
      <c r="H564" s="2">
        <v>3</v>
      </c>
      <c r="I564" t="s">
        <v>36</v>
      </c>
      <c r="J564" t="s">
        <v>9</v>
      </c>
      <c r="K564" s="2">
        <v>18.77</v>
      </c>
      <c r="L564" s="3">
        <v>259.72000000000003</v>
      </c>
      <c r="M564" s="3">
        <f>orders_1[[#This Row],[products.Base_Price]]*orders_1[[#This Row],[Quantity]]</f>
        <v>779.16000000000008</v>
      </c>
      <c r="N564" t="s">
        <v>17</v>
      </c>
      <c r="O564" t="s">
        <v>18</v>
      </c>
      <c r="P564" t="s">
        <v>19</v>
      </c>
    </row>
    <row r="565" spans="1:16" x14ac:dyDescent="0.3">
      <c r="A565" s="2">
        <v>10564</v>
      </c>
      <c r="B565" s="2">
        <v>800</v>
      </c>
      <c r="C565" s="2">
        <v>2034</v>
      </c>
      <c r="D565" s="2">
        <v>301</v>
      </c>
      <c r="E565" s="4">
        <v>45436</v>
      </c>
      <c r="F565" s="4">
        <v>45438</v>
      </c>
      <c r="G565" s="2">
        <f t="shared" si="8"/>
        <v>2</v>
      </c>
      <c r="H565" s="2">
        <v>78</v>
      </c>
      <c r="I565" t="s">
        <v>42</v>
      </c>
      <c r="J565" t="s">
        <v>27</v>
      </c>
      <c r="K565" s="2">
        <v>26.17</v>
      </c>
      <c r="L565" s="3">
        <v>540.23</v>
      </c>
      <c r="M565" s="3">
        <f>orders_1[[#This Row],[products.Base_Price]]*orders_1[[#This Row],[Quantity]]</f>
        <v>42137.94</v>
      </c>
      <c r="N565" t="s">
        <v>8</v>
      </c>
      <c r="O565" t="s">
        <v>10</v>
      </c>
      <c r="P565" t="s">
        <v>11</v>
      </c>
    </row>
    <row r="566" spans="1:16" x14ac:dyDescent="0.3">
      <c r="A566" s="2">
        <v>10565</v>
      </c>
      <c r="B566" s="2">
        <v>785</v>
      </c>
      <c r="C566" s="2">
        <v>2019</v>
      </c>
      <c r="D566" s="2">
        <v>317</v>
      </c>
      <c r="E566" s="4">
        <v>45434</v>
      </c>
      <c r="F566" s="4">
        <v>45444</v>
      </c>
      <c r="G566" s="2">
        <f t="shared" si="8"/>
        <v>10</v>
      </c>
      <c r="H566" s="2">
        <v>18</v>
      </c>
      <c r="I566" t="s">
        <v>42</v>
      </c>
      <c r="J566" t="s">
        <v>22</v>
      </c>
      <c r="K566" s="2">
        <v>27.65</v>
      </c>
      <c r="L566" s="3">
        <v>89.85</v>
      </c>
      <c r="M566" s="3">
        <f>orders_1[[#This Row],[products.Base_Price]]*orders_1[[#This Row],[Quantity]]</f>
        <v>1617.3</v>
      </c>
      <c r="N566" t="s">
        <v>20</v>
      </c>
      <c r="O566" t="s">
        <v>25</v>
      </c>
      <c r="P566" t="s">
        <v>19</v>
      </c>
    </row>
    <row r="567" spans="1:16" x14ac:dyDescent="0.3">
      <c r="A567" s="2">
        <v>10566</v>
      </c>
      <c r="B567" s="2">
        <v>607</v>
      </c>
      <c r="C567" s="2">
        <v>2008</v>
      </c>
      <c r="D567" s="2">
        <v>310</v>
      </c>
      <c r="E567" s="4">
        <v>45303</v>
      </c>
      <c r="F567" s="4">
        <v>45308</v>
      </c>
      <c r="G567" s="2">
        <f t="shared" si="8"/>
        <v>5</v>
      </c>
      <c r="H567" s="2">
        <v>56</v>
      </c>
      <c r="I567" t="s">
        <v>78</v>
      </c>
      <c r="J567" t="s">
        <v>21</v>
      </c>
      <c r="K567" s="2">
        <v>8.5</v>
      </c>
      <c r="L567" s="3">
        <v>899.21</v>
      </c>
      <c r="M567" s="3">
        <f>orders_1[[#This Row],[products.Base_Price]]*orders_1[[#This Row],[Quantity]]</f>
        <v>50355.76</v>
      </c>
      <c r="N567" t="s">
        <v>26</v>
      </c>
      <c r="O567" t="s">
        <v>25</v>
      </c>
      <c r="P567" t="s">
        <v>11</v>
      </c>
    </row>
    <row r="568" spans="1:16" x14ac:dyDescent="0.3">
      <c r="A568" s="2">
        <v>10567</v>
      </c>
      <c r="B568" s="2">
        <v>739</v>
      </c>
      <c r="C568" s="2">
        <v>2021</v>
      </c>
      <c r="D568" s="2">
        <v>309</v>
      </c>
      <c r="E568" s="4">
        <v>45511</v>
      </c>
      <c r="F568" s="4">
        <v>45512</v>
      </c>
      <c r="G568" s="2">
        <f t="shared" si="8"/>
        <v>1</v>
      </c>
      <c r="H568" s="2">
        <v>93</v>
      </c>
      <c r="I568" t="s">
        <v>42</v>
      </c>
      <c r="J568" t="s">
        <v>9</v>
      </c>
      <c r="K568" s="2">
        <v>18.77</v>
      </c>
      <c r="L568" s="3">
        <v>259.72000000000003</v>
      </c>
      <c r="M568" s="3">
        <f>orders_1[[#This Row],[products.Base_Price]]*orders_1[[#This Row],[Quantity]]</f>
        <v>24153.960000000003</v>
      </c>
      <c r="N568" t="s">
        <v>24</v>
      </c>
      <c r="O568" t="s">
        <v>25</v>
      </c>
      <c r="P568" t="s">
        <v>16</v>
      </c>
    </row>
    <row r="569" spans="1:16" x14ac:dyDescent="0.3">
      <c r="A569" s="2">
        <v>10568</v>
      </c>
      <c r="B569" s="2">
        <v>832</v>
      </c>
      <c r="C569" s="2">
        <v>2093</v>
      </c>
      <c r="D569" s="2">
        <v>311</v>
      </c>
      <c r="E569" s="4">
        <v>45463</v>
      </c>
      <c r="F569" s="4">
        <v>45466</v>
      </c>
      <c r="G569" s="2">
        <f t="shared" si="8"/>
        <v>3</v>
      </c>
      <c r="H569" s="2">
        <v>3</v>
      </c>
      <c r="I569" t="s">
        <v>42</v>
      </c>
      <c r="J569" t="s">
        <v>9</v>
      </c>
      <c r="K569" s="2">
        <v>25.73</v>
      </c>
      <c r="L569" s="3">
        <v>537.69000000000005</v>
      </c>
      <c r="M569" s="3">
        <f>orders_1[[#This Row],[products.Base_Price]]*orders_1[[#This Row],[Quantity]]</f>
        <v>1613.0700000000002</v>
      </c>
      <c r="N569" t="s">
        <v>26</v>
      </c>
      <c r="O569" t="s">
        <v>10</v>
      </c>
      <c r="P569" t="s">
        <v>11</v>
      </c>
    </row>
    <row r="570" spans="1:16" x14ac:dyDescent="0.3">
      <c r="A570" s="2">
        <v>10569</v>
      </c>
      <c r="B570" s="2">
        <v>664</v>
      </c>
      <c r="C570" s="2">
        <v>2032</v>
      </c>
      <c r="D570" s="2">
        <v>302</v>
      </c>
      <c r="E570" s="4">
        <v>45604</v>
      </c>
      <c r="F570" s="4">
        <v>45606</v>
      </c>
      <c r="G570" s="2">
        <f t="shared" si="8"/>
        <v>2</v>
      </c>
      <c r="H570" s="2">
        <v>47</v>
      </c>
      <c r="I570" t="s">
        <v>78</v>
      </c>
      <c r="J570" t="s">
        <v>9</v>
      </c>
      <c r="K570" s="2">
        <v>3.81</v>
      </c>
      <c r="L570" s="3">
        <v>682.41</v>
      </c>
      <c r="M570" s="3">
        <f>orders_1[[#This Row],[products.Base_Price]]*orders_1[[#This Row],[Quantity]]</f>
        <v>32073.269999999997</v>
      </c>
      <c r="N570" t="s">
        <v>12</v>
      </c>
      <c r="O570" t="s">
        <v>14</v>
      </c>
      <c r="P570" t="s">
        <v>11</v>
      </c>
    </row>
    <row r="571" spans="1:16" x14ac:dyDescent="0.3">
      <c r="A571" s="2">
        <v>10570</v>
      </c>
      <c r="B571" s="2">
        <v>832</v>
      </c>
      <c r="C571" s="2">
        <v>2088</v>
      </c>
      <c r="D571" s="2">
        <v>307</v>
      </c>
      <c r="E571" s="4">
        <v>45656</v>
      </c>
      <c r="F571" s="4">
        <v>45663</v>
      </c>
      <c r="G571" s="2">
        <f t="shared" si="8"/>
        <v>7</v>
      </c>
      <c r="H571" s="2">
        <v>50</v>
      </c>
      <c r="I571" t="s">
        <v>78</v>
      </c>
      <c r="J571" t="s">
        <v>13</v>
      </c>
      <c r="K571" s="2">
        <v>27.71</v>
      </c>
      <c r="L571" s="3">
        <v>820.21</v>
      </c>
      <c r="M571" s="3">
        <f>orders_1[[#This Row],[products.Base_Price]]*orders_1[[#This Row],[Quantity]]</f>
        <v>41010.5</v>
      </c>
      <c r="N571" t="s">
        <v>17</v>
      </c>
      <c r="O571" t="s">
        <v>10</v>
      </c>
      <c r="P571" t="s">
        <v>11</v>
      </c>
    </row>
    <row r="572" spans="1:16" x14ac:dyDescent="0.3">
      <c r="A572" s="2">
        <v>10571</v>
      </c>
      <c r="B572" s="2">
        <v>569</v>
      </c>
      <c r="C572" s="2">
        <v>2081</v>
      </c>
      <c r="D572" s="2">
        <v>301</v>
      </c>
      <c r="E572" s="4">
        <v>45652</v>
      </c>
      <c r="F572" s="4">
        <v>45654</v>
      </c>
      <c r="G572" s="2">
        <f t="shared" si="8"/>
        <v>2</v>
      </c>
      <c r="H572" s="2">
        <v>44</v>
      </c>
      <c r="I572" t="s">
        <v>39</v>
      </c>
      <c r="J572" t="s">
        <v>21</v>
      </c>
      <c r="K572" s="2">
        <v>20.72</v>
      </c>
      <c r="L572" s="3">
        <v>668.31</v>
      </c>
      <c r="M572" s="3">
        <f>orders_1[[#This Row],[products.Base_Price]]*orders_1[[#This Row],[Quantity]]</f>
        <v>29405.64</v>
      </c>
      <c r="N572" t="s">
        <v>8</v>
      </c>
      <c r="O572" t="s">
        <v>10</v>
      </c>
      <c r="P572" t="s">
        <v>11</v>
      </c>
    </row>
    <row r="573" spans="1:16" x14ac:dyDescent="0.3">
      <c r="A573" s="2">
        <v>10572</v>
      </c>
      <c r="B573" s="2">
        <v>579</v>
      </c>
      <c r="C573" s="2">
        <v>2034</v>
      </c>
      <c r="D573" s="2">
        <v>310</v>
      </c>
      <c r="E573" s="4">
        <v>45365</v>
      </c>
      <c r="F573" s="4">
        <v>45373</v>
      </c>
      <c r="G573" s="2">
        <f t="shared" si="8"/>
        <v>8</v>
      </c>
      <c r="H573" s="2">
        <v>23</v>
      </c>
      <c r="I573" t="s">
        <v>39</v>
      </c>
      <c r="J573" t="s">
        <v>27</v>
      </c>
      <c r="K573" s="2">
        <v>26.17</v>
      </c>
      <c r="L573" s="3">
        <v>540.23</v>
      </c>
      <c r="M573" s="3">
        <f>orders_1[[#This Row],[products.Base_Price]]*orders_1[[#This Row],[Quantity]]</f>
        <v>12425.29</v>
      </c>
      <c r="N573" t="s">
        <v>26</v>
      </c>
      <c r="O573" t="s">
        <v>25</v>
      </c>
      <c r="P573" t="s">
        <v>11</v>
      </c>
    </row>
    <row r="574" spans="1:16" x14ac:dyDescent="0.3">
      <c r="A574" s="2">
        <v>10573</v>
      </c>
      <c r="B574" s="2">
        <v>626</v>
      </c>
      <c r="C574" s="2">
        <v>2020</v>
      </c>
      <c r="D574" s="2">
        <v>303</v>
      </c>
      <c r="E574" s="4">
        <v>45503</v>
      </c>
      <c r="F574" s="4">
        <v>45513</v>
      </c>
      <c r="G574" s="2">
        <f t="shared" si="8"/>
        <v>10</v>
      </c>
      <c r="H574" s="2">
        <v>22</v>
      </c>
      <c r="I574" t="s">
        <v>36</v>
      </c>
      <c r="J574" t="s">
        <v>27</v>
      </c>
      <c r="K574" s="2">
        <v>35.94</v>
      </c>
      <c r="L574" s="3">
        <v>44.04</v>
      </c>
      <c r="M574" s="3">
        <f>orders_1[[#This Row],[products.Base_Price]]*orders_1[[#This Row],[Quantity]]</f>
        <v>968.88</v>
      </c>
      <c r="N574" t="s">
        <v>15</v>
      </c>
      <c r="O574" t="s">
        <v>10</v>
      </c>
      <c r="P574" t="s">
        <v>16</v>
      </c>
    </row>
    <row r="575" spans="1:16" x14ac:dyDescent="0.3">
      <c r="A575" s="2">
        <v>10574</v>
      </c>
      <c r="B575" s="2">
        <v>586</v>
      </c>
      <c r="C575" s="2">
        <v>2094</v>
      </c>
      <c r="D575" s="2">
        <v>308</v>
      </c>
      <c r="E575" s="4">
        <v>45410</v>
      </c>
      <c r="F575" s="4">
        <v>45413</v>
      </c>
      <c r="G575" s="2">
        <f t="shared" si="8"/>
        <v>3</v>
      </c>
      <c r="H575" s="2">
        <v>60</v>
      </c>
      <c r="I575" t="s">
        <v>78</v>
      </c>
      <c r="J575" t="s">
        <v>27</v>
      </c>
      <c r="K575" s="2">
        <v>22.56</v>
      </c>
      <c r="L575" s="3">
        <v>393.53</v>
      </c>
      <c r="M575" s="3">
        <f>orders_1[[#This Row],[products.Base_Price]]*orders_1[[#This Row],[Quantity]]</f>
        <v>23611.8</v>
      </c>
      <c r="N575" t="s">
        <v>23</v>
      </c>
      <c r="O575" t="s">
        <v>14</v>
      </c>
      <c r="P575" t="s">
        <v>19</v>
      </c>
    </row>
    <row r="576" spans="1:16" x14ac:dyDescent="0.3">
      <c r="A576" s="2">
        <v>10575</v>
      </c>
      <c r="B576" s="2">
        <v>803</v>
      </c>
      <c r="C576" s="2">
        <v>2060</v>
      </c>
      <c r="D576" s="2">
        <v>308</v>
      </c>
      <c r="E576" s="4">
        <v>45607</v>
      </c>
      <c r="F576" s="4">
        <v>45617</v>
      </c>
      <c r="G576" s="2">
        <f t="shared" si="8"/>
        <v>10</v>
      </c>
      <c r="H576" s="2">
        <v>79</v>
      </c>
      <c r="I576" t="s">
        <v>42</v>
      </c>
      <c r="J576" t="s">
        <v>21</v>
      </c>
      <c r="K576" s="2">
        <v>3.65</v>
      </c>
      <c r="L576" s="3">
        <v>173.1</v>
      </c>
      <c r="M576" s="3">
        <f>orders_1[[#This Row],[products.Base_Price]]*orders_1[[#This Row],[Quantity]]</f>
        <v>13674.9</v>
      </c>
      <c r="N576" t="s">
        <v>23</v>
      </c>
      <c r="O576" t="s">
        <v>14</v>
      </c>
      <c r="P576" t="s">
        <v>19</v>
      </c>
    </row>
    <row r="577" spans="1:16" x14ac:dyDescent="0.3">
      <c r="A577" s="2">
        <v>10576</v>
      </c>
      <c r="B577" s="2">
        <v>784</v>
      </c>
      <c r="C577" s="2">
        <v>2084</v>
      </c>
      <c r="D577" s="2">
        <v>312</v>
      </c>
      <c r="E577" s="4">
        <v>45571</v>
      </c>
      <c r="F577" s="4">
        <v>45581</v>
      </c>
      <c r="G577" s="2">
        <f t="shared" si="8"/>
        <v>10</v>
      </c>
      <c r="H577" s="2">
        <v>74</v>
      </c>
      <c r="I577" t="s">
        <v>78</v>
      </c>
      <c r="J577" t="s">
        <v>21</v>
      </c>
      <c r="K577" s="2">
        <v>14.27</v>
      </c>
      <c r="L577" s="3">
        <v>223.58</v>
      </c>
      <c r="M577" s="3">
        <f>orders_1[[#This Row],[products.Base_Price]]*orders_1[[#This Row],[Quantity]]</f>
        <v>16544.920000000002</v>
      </c>
      <c r="N577" t="s">
        <v>15</v>
      </c>
      <c r="O577" t="s">
        <v>10</v>
      </c>
      <c r="P577" t="s">
        <v>11</v>
      </c>
    </row>
    <row r="578" spans="1:16" x14ac:dyDescent="0.3">
      <c r="A578" s="2">
        <v>10577</v>
      </c>
      <c r="B578" s="2">
        <v>814</v>
      </c>
      <c r="C578" s="2">
        <v>2058</v>
      </c>
      <c r="D578" s="2">
        <v>307</v>
      </c>
      <c r="E578" s="4">
        <v>45473</v>
      </c>
      <c r="F578" s="4">
        <v>45475</v>
      </c>
      <c r="G578" s="2">
        <f t="shared" ref="G578:G641" si="9">F578-E578</f>
        <v>2</v>
      </c>
      <c r="H578" s="2">
        <v>26</v>
      </c>
      <c r="I578" t="s">
        <v>39</v>
      </c>
      <c r="J578" t="s">
        <v>27</v>
      </c>
      <c r="K578" s="2">
        <v>28.48</v>
      </c>
      <c r="L578" s="3">
        <v>13.34</v>
      </c>
      <c r="M578" s="3">
        <f>orders_1[[#This Row],[products.Base_Price]]*orders_1[[#This Row],[Quantity]]</f>
        <v>346.84</v>
      </c>
      <c r="N578" t="s">
        <v>17</v>
      </c>
      <c r="O578" t="s">
        <v>10</v>
      </c>
      <c r="P578" t="s">
        <v>11</v>
      </c>
    </row>
    <row r="579" spans="1:16" x14ac:dyDescent="0.3">
      <c r="A579" s="2">
        <v>10578</v>
      </c>
      <c r="B579" s="2">
        <v>865</v>
      </c>
      <c r="C579" s="2">
        <v>2038</v>
      </c>
      <c r="D579" s="2">
        <v>313</v>
      </c>
      <c r="E579" s="4">
        <v>45496</v>
      </c>
      <c r="F579" s="4">
        <v>45505</v>
      </c>
      <c r="G579" s="2">
        <f t="shared" si="9"/>
        <v>9</v>
      </c>
      <c r="H579" s="2">
        <v>96</v>
      </c>
      <c r="I579" t="s">
        <v>78</v>
      </c>
      <c r="J579" t="s">
        <v>27</v>
      </c>
      <c r="K579" s="2">
        <v>26.62</v>
      </c>
      <c r="L579" s="3">
        <v>680</v>
      </c>
      <c r="M579" s="3">
        <f>orders_1[[#This Row],[products.Base_Price]]*orders_1[[#This Row],[Quantity]]</f>
        <v>65280</v>
      </c>
      <c r="N579" t="s">
        <v>15</v>
      </c>
      <c r="O579" t="s">
        <v>25</v>
      </c>
      <c r="P579" t="s">
        <v>16</v>
      </c>
    </row>
    <row r="580" spans="1:16" x14ac:dyDescent="0.3">
      <c r="A580" s="2">
        <v>10579</v>
      </c>
      <c r="B580" s="2">
        <v>539</v>
      </c>
      <c r="C580" s="2">
        <v>2088</v>
      </c>
      <c r="D580" s="2">
        <v>312</v>
      </c>
      <c r="E580" s="4">
        <v>45545</v>
      </c>
      <c r="F580" s="4">
        <v>45555</v>
      </c>
      <c r="G580" s="2">
        <f t="shared" si="9"/>
        <v>10</v>
      </c>
      <c r="H580" s="2">
        <v>70</v>
      </c>
      <c r="I580" t="s">
        <v>78</v>
      </c>
      <c r="J580" t="s">
        <v>13</v>
      </c>
      <c r="K580" s="2">
        <v>27.71</v>
      </c>
      <c r="L580" s="3">
        <v>820.21</v>
      </c>
      <c r="M580" s="3">
        <f>orders_1[[#This Row],[products.Base_Price]]*orders_1[[#This Row],[Quantity]]</f>
        <v>57414.700000000004</v>
      </c>
      <c r="N580" t="s">
        <v>15</v>
      </c>
      <c r="O580" t="s">
        <v>10</v>
      </c>
      <c r="P580" t="s">
        <v>11</v>
      </c>
    </row>
    <row r="581" spans="1:16" x14ac:dyDescent="0.3">
      <c r="A581" s="2">
        <v>10580</v>
      </c>
      <c r="B581" s="2">
        <v>650</v>
      </c>
      <c r="C581" s="2">
        <v>2031</v>
      </c>
      <c r="D581" s="2">
        <v>303</v>
      </c>
      <c r="E581" s="4">
        <v>45332</v>
      </c>
      <c r="F581" s="4">
        <v>45333</v>
      </c>
      <c r="G581" s="2">
        <f t="shared" si="9"/>
        <v>1</v>
      </c>
      <c r="H581" s="2">
        <v>43</v>
      </c>
      <c r="I581" t="s">
        <v>78</v>
      </c>
      <c r="J581" t="s">
        <v>27</v>
      </c>
      <c r="K581" s="2">
        <v>24.61</v>
      </c>
      <c r="L581" s="3">
        <v>342.86</v>
      </c>
      <c r="M581" s="3">
        <f>orders_1[[#This Row],[products.Base_Price]]*orders_1[[#This Row],[Quantity]]</f>
        <v>14742.980000000001</v>
      </c>
      <c r="N581" t="s">
        <v>15</v>
      </c>
      <c r="O581" t="s">
        <v>10</v>
      </c>
      <c r="P581" t="s">
        <v>16</v>
      </c>
    </row>
    <row r="582" spans="1:16" x14ac:dyDescent="0.3">
      <c r="A582" s="2">
        <v>10581</v>
      </c>
      <c r="B582" s="2">
        <v>716</v>
      </c>
      <c r="C582" s="2">
        <v>2038</v>
      </c>
      <c r="D582" s="2">
        <v>302</v>
      </c>
      <c r="E582" s="4">
        <v>45645</v>
      </c>
      <c r="F582" s="4">
        <v>45654</v>
      </c>
      <c r="G582" s="2">
        <f t="shared" si="9"/>
        <v>9</v>
      </c>
      <c r="H582" s="2">
        <v>66</v>
      </c>
      <c r="I582" t="s">
        <v>42</v>
      </c>
      <c r="J582" t="s">
        <v>27</v>
      </c>
      <c r="K582" s="2">
        <v>26.62</v>
      </c>
      <c r="L582" s="3">
        <v>680</v>
      </c>
      <c r="M582" s="3">
        <f>orders_1[[#This Row],[products.Base_Price]]*orders_1[[#This Row],[Quantity]]</f>
        <v>44880</v>
      </c>
      <c r="N582" t="s">
        <v>12</v>
      </c>
      <c r="O582" t="s">
        <v>14</v>
      </c>
      <c r="P582" t="s">
        <v>11</v>
      </c>
    </row>
    <row r="583" spans="1:16" x14ac:dyDescent="0.3">
      <c r="A583" s="2">
        <v>10582</v>
      </c>
      <c r="B583" s="2">
        <v>874</v>
      </c>
      <c r="C583" s="2">
        <v>2007</v>
      </c>
      <c r="D583" s="2">
        <v>312</v>
      </c>
      <c r="E583" s="4">
        <v>45577</v>
      </c>
      <c r="F583" s="4">
        <v>45586</v>
      </c>
      <c r="G583" s="2">
        <f t="shared" si="9"/>
        <v>9</v>
      </c>
      <c r="H583" s="2">
        <v>18</v>
      </c>
      <c r="I583" t="s">
        <v>39</v>
      </c>
      <c r="J583" t="s">
        <v>21</v>
      </c>
      <c r="K583" s="2">
        <v>48.07</v>
      </c>
      <c r="L583" s="3">
        <v>759.78</v>
      </c>
      <c r="M583" s="3">
        <f>orders_1[[#This Row],[products.Base_Price]]*orders_1[[#This Row],[Quantity]]</f>
        <v>13676.039999999999</v>
      </c>
      <c r="N583" t="s">
        <v>15</v>
      </c>
      <c r="O583" t="s">
        <v>10</v>
      </c>
      <c r="P583" t="s">
        <v>11</v>
      </c>
    </row>
    <row r="584" spans="1:16" x14ac:dyDescent="0.3">
      <c r="A584" s="2">
        <v>10583</v>
      </c>
      <c r="B584" s="2">
        <v>646</v>
      </c>
      <c r="C584" s="2">
        <v>2074</v>
      </c>
      <c r="D584" s="2">
        <v>301</v>
      </c>
      <c r="E584" s="4">
        <v>45561</v>
      </c>
      <c r="F584" s="4">
        <v>45563</v>
      </c>
      <c r="G584" s="2">
        <f t="shared" si="9"/>
        <v>2</v>
      </c>
      <c r="H584" s="2">
        <v>72</v>
      </c>
      <c r="I584" t="s">
        <v>39</v>
      </c>
      <c r="J584" t="s">
        <v>13</v>
      </c>
      <c r="K584" s="2">
        <v>41.45</v>
      </c>
      <c r="L584" s="3">
        <v>650.42999999999995</v>
      </c>
      <c r="M584" s="3">
        <f>orders_1[[#This Row],[products.Base_Price]]*orders_1[[#This Row],[Quantity]]</f>
        <v>46830.96</v>
      </c>
      <c r="N584" t="s">
        <v>8</v>
      </c>
      <c r="O584" t="s">
        <v>10</v>
      </c>
      <c r="P584" t="s">
        <v>11</v>
      </c>
    </row>
    <row r="585" spans="1:16" x14ac:dyDescent="0.3">
      <c r="A585" s="2">
        <v>10584</v>
      </c>
      <c r="B585" s="2">
        <v>663</v>
      </c>
      <c r="C585" s="2">
        <v>2023</v>
      </c>
      <c r="D585" s="2">
        <v>309</v>
      </c>
      <c r="E585" s="4">
        <v>45390</v>
      </c>
      <c r="F585" s="4">
        <v>45391</v>
      </c>
      <c r="G585" s="2">
        <f t="shared" si="9"/>
        <v>1</v>
      </c>
      <c r="H585" s="2">
        <v>66</v>
      </c>
      <c r="I585" t="s">
        <v>36</v>
      </c>
      <c r="J585" t="s">
        <v>13</v>
      </c>
      <c r="K585" s="2">
        <v>39.520000000000003</v>
      </c>
      <c r="L585" s="3">
        <v>618.29999999999995</v>
      </c>
      <c r="M585" s="3">
        <f>orders_1[[#This Row],[products.Base_Price]]*orders_1[[#This Row],[Quantity]]</f>
        <v>40807.799999999996</v>
      </c>
      <c r="N585" t="s">
        <v>24</v>
      </c>
      <c r="O585" t="s">
        <v>25</v>
      </c>
      <c r="P585" t="s">
        <v>16</v>
      </c>
    </row>
    <row r="586" spans="1:16" x14ac:dyDescent="0.3">
      <c r="A586" s="2">
        <v>10585</v>
      </c>
      <c r="B586" s="2">
        <v>529</v>
      </c>
      <c r="C586" s="2">
        <v>2097</v>
      </c>
      <c r="D586" s="2">
        <v>312</v>
      </c>
      <c r="E586" s="4">
        <v>45356</v>
      </c>
      <c r="F586" s="4">
        <v>45363</v>
      </c>
      <c r="G586" s="2">
        <f t="shared" si="9"/>
        <v>7</v>
      </c>
      <c r="H586" s="2">
        <v>44</v>
      </c>
      <c r="I586" t="s">
        <v>39</v>
      </c>
      <c r="J586" t="s">
        <v>27</v>
      </c>
      <c r="K586" s="2">
        <v>30.63</v>
      </c>
      <c r="L586" s="3">
        <v>828.74</v>
      </c>
      <c r="M586" s="3">
        <f>orders_1[[#This Row],[products.Base_Price]]*orders_1[[#This Row],[Quantity]]</f>
        <v>36464.559999999998</v>
      </c>
      <c r="N586" t="s">
        <v>15</v>
      </c>
      <c r="O586" t="s">
        <v>10</v>
      </c>
      <c r="P586" t="s">
        <v>11</v>
      </c>
    </row>
    <row r="587" spans="1:16" x14ac:dyDescent="0.3">
      <c r="A587" s="2">
        <v>10586</v>
      </c>
      <c r="B587" s="2">
        <v>735</v>
      </c>
      <c r="C587" s="2">
        <v>2010</v>
      </c>
      <c r="D587" s="2">
        <v>320</v>
      </c>
      <c r="E587" s="4">
        <v>45294</v>
      </c>
      <c r="F587" s="4">
        <v>45296</v>
      </c>
      <c r="G587" s="2">
        <f t="shared" si="9"/>
        <v>2</v>
      </c>
      <c r="H587" s="2">
        <v>80</v>
      </c>
      <c r="I587" t="s">
        <v>36</v>
      </c>
      <c r="J587" t="s">
        <v>13</v>
      </c>
      <c r="K587" s="2">
        <v>9.58</v>
      </c>
      <c r="L587" s="3">
        <v>440.93</v>
      </c>
      <c r="M587" s="3">
        <f>orders_1[[#This Row],[products.Base_Price]]*orders_1[[#This Row],[Quantity]]</f>
        <v>35274.400000000001</v>
      </c>
      <c r="N587" t="s">
        <v>15</v>
      </c>
      <c r="O587" t="s">
        <v>25</v>
      </c>
      <c r="P587" t="s">
        <v>11</v>
      </c>
    </row>
    <row r="588" spans="1:16" x14ac:dyDescent="0.3">
      <c r="A588" s="2">
        <v>10587</v>
      </c>
      <c r="B588" s="2">
        <v>770</v>
      </c>
      <c r="C588" s="2">
        <v>2026</v>
      </c>
      <c r="D588" s="2">
        <v>307</v>
      </c>
      <c r="E588" s="4">
        <v>45508</v>
      </c>
      <c r="F588" s="4">
        <v>45513</v>
      </c>
      <c r="G588" s="2">
        <f t="shared" si="9"/>
        <v>5</v>
      </c>
      <c r="H588" s="2">
        <v>28</v>
      </c>
      <c r="I588" t="s">
        <v>78</v>
      </c>
      <c r="J588" t="s">
        <v>22</v>
      </c>
      <c r="K588" s="2">
        <v>23.02</v>
      </c>
      <c r="L588" s="3">
        <v>858.57</v>
      </c>
      <c r="M588" s="3">
        <f>orders_1[[#This Row],[products.Base_Price]]*orders_1[[#This Row],[Quantity]]</f>
        <v>24039.960000000003</v>
      </c>
      <c r="N588" t="s">
        <v>17</v>
      </c>
      <c r="O588" t="s">
        <v>10</v>
      </c>
      <c r="P588" t="s">
        <v>11</v>
      </c>
    </row>
    <row r="589" spans="1:16" x14ac:dyDescent="0.3">
      <c r="A589" s="2">
        <v>10588</v>
      </c>
      <c r="B589" s="2">
        <v>507</v>
      </c>
      <c r="C589" s="2">
        <v>2100</v>
      </c>
      <c r="D589" s="2">
        <v>307</v>
      </c>
      <c r="E589" s="4">
        <v>45449</v>
      </c>
      <c r="F589" s="4">
        <v>45450</v>
      </c>
      <c r="G589" s="2">
        <f t="shared" si="9"/>
        <v>1</v>
      </c>
      <c r="H589" s="2">
        <v>19</v>
      </c>
      <c r="I589" t="s">
        <v>39</v>
      </c>
      <c r="J589" t="s">
        <v>27</v>
      </c>
      <c r="K589" s="2">
        <v>2.2799999999999998</v>
      </c>
      <c r="L589" s="3">
        <v>813.8</v>
      </c>
      <c r="M589" s="3">
        <f>orders_1[[#This Row],[products.Base_Price]]*orders_1[[#This Row],[Quantity]]</f>
        <v>15462.199999999999</v>
      </c>
      <c r="N589" t="s">
        <v>17</v>
      </c>
      <c r="O589" t="s">
        <v>10</v>
      </c>
      <c r="P589" t="s">
        <v>11</v>
      </c>
    </row>
    <row r="590" spans="1:16" x14ac:dyDescent="0.3">
      <c r="A590" s="2">
        <v>10589</v>
      </c>
      <c r="B590" s="2">
        <v>746</v>
      </c>
      <c r="C590" s="2">
        <v>2082</v>
      </c>
      <c r="D590" s="2">
        <v>304</v>
      </c>
      <c r="E590" s="4">
        <v>45340</v>
      </c>
      <c r="F590" s="4">
        <v>45343</v>
      </c>
      <c r="G590" s="2">
        <f t="shared" si="9"/>
        <v>3</v>
      </c>
      <c r="H590" s="2">
        <v>60</v>
      </c>
      <c r="I590" t="s">
        <v>36</v>
      </c>
      <c r="J590" t="s">
        <v>22</v>
      </c>
      <c r="K590" s="2">
        <v>41.79</v>
      </c>
      <c r="L590" s="3">
        <v>352.17</v>
      </c>
      <c r="M590" s="3">
        <f>orders_1[[#This Row],[products.Base_Price]]*orders_1[[#This Row],[Quantity]]</f>
        <v>21130.2</v>
      </c>
      <c r="N590" t="s">
        <v>17</v>
      </c>
      <c r="O590" t="s">
        <v>18</v>
      </c>
      <c r="P590" t="s">
        <v>19</v>
      </c>
    </row>
    <row r="591" spans="1:16" x14ac:dyDescent="0.3">
      <c r="A591" s="2">
        <v>10590</v>
      </c>
      <c r="B591" s="2">
        <v>751</v>
      </c>
      <c r="C591" s="2">
        <v>2054</v>
      </c>
      <c r="D591" s="2">
        <v>304</v>
      </c>
      <c r="E591" s="4">
        <v>45316</v>
      </c>
      <c r="F591" s="4">
        <v>45325</v>
      </c>
      <c r="G591" s="2">
        <f t="shared" si="9"/>
        <v>9</v>
      </c>
      <c r="H591" s="2">
        <v>42</v>
      </c>
      <c r="I591" t="s">
        <v>78</v>
      </c>
      <c r="J591" t="s">
        <v>9</v>
      </c>
      <c r="K591" s="2">
        <v>5.63</v>
      </c>
      <c r="L591" s="3">
        <v>304.22000000000003</v>
      </c>
      <c r="M591" s="3">
        <f>orders_1[[#This Row],[products.Base_Price]]*orders_1[[#This Row],[Quantity]]</f>
        <v>12777.240000000002</v>
      </c>
      <c r="N591" t="s">
        <v>17</v>
      </c>
      <c r="O591" t="s">
        <v>18</v>
      </c>
      <c r="P591" t="s">
        <v>19</v>
      </c>
    </row>
    <row r="592" spans="1:16" x14ac:dyDescent="0.3">
      <c r="A592" s="2">
        <v>10591</v>
      </c>
      <c r="B592" s="2">
        <v>671</v>
      </c>
      <c r="C592" s="2">
        <v>2013</v>
      </c>
      <c r="D592" s="2">
        <v>304</v>
      </c>
      <c r="E592" s="4">
        <v>45431</v>
      </c>
      <c r="F592" s="4">
        <v>45439</v>
      </c>
      <c r="G592" s="2">
        <f t="shared" si="9"/>
        <v>8</v>
      </c>
      <c r="H592" s="2">
        <v>9</v>
      </c>
      <c r="I592" t="s">
        <v>39</v>
      </c>
      <c r="J592" t="s">
        <v>13</v>
      </c>
      <c r="K592" s="2">
        <v>19.53</v>
      </c>
      <c r="L592" s="3">
        <v>563.69000000000005</v>
      </c>
      <c r="M592" s="3">
        <f>orders_1[[#This Row],[products.Base_Price]]*orders_1[[#This Row],[Quantity]]</f>
        <v>5073.2100000000009</v>
      </c>
      <c r="N592" t="s">
        <v>17</v>
      </c>
      <c r="O592" t="s">
        <v>18</v>
      </c>
      <c r="P592" t="s">
        <v>19</v>
      </c>
    </row>
    <row r="593" spans="1:16" x14ac:dyDescent="0.3">
      <c r="A593" s="2">
        <v>10592</v>
      </c>
      <c r="B593" s="2">
        <v>515</v>
      </c>
      <c r="C593" s="2">
        <v>2088</v>
      </c>
      <c r="D593" s="2">
        <v>302</v>
      </c>
      <c r="E593" s="4">
        <v>45653</v>
      </c>
      <c r="F593" s="4">
        <v>45662</v>
      </c>
      <c r="G593" s="2">
        <f t="shared" si="9"/>
        <v>9</v>
      </c>
      <c r="H593" s="2">
        <v>21</v>
      </c>
      <c r="I593" t="s">
        <v>39</v>
      </c>
      <c r="J593" t="s">
        <v>13</v>
      </c>
      <c r="K593" s="2">
        <v>27.71</v>
      </c>
      <c r="L593" s="3">
        <v>820.21</v>
      </c>
      <c r="M593" s="3">
        <f>orders_1[[#This Row],[products.Base_Price]]*orders_1[[#This Row],[Quantity]]</f>
        <v>17224.41</v>
      </c>
      <c r="N593" t="s">
        <v>12</v>
      </c>
      <c r="O593" t="s">
        <v>14</v>
      </c>
      <c r="P593" t="s">
        <v>11</v>
      </c>
    </row>
    <row r="594" spans="1:16" x14ac:dyDescent="0.3">
      <c r="A594" s="2">
        <v>10593</v>
      </c>
      <c r="B594" s="2">
        <v>894</v>
      </c>
      <c r="C594" s="2">
        <v>2089</v>
      </c>
      <c r="D594" s="2">
        <v>316</v>
      </c>
      <c r="E594" s="4">
        <v>45490</v>
      </c>
      <c r="F594" s="4">
        <v>45498</v>
      </c>
      <c r="G594" s="2">
        <f t="shared" si="9"/>
        <v>8</v>
      </c>
      <c r="H594" s="2">
        <v>19</v>
      </c>
      <c r="I594" t="s">
        <v>39</v>
      </c>
      <c r="J594" t="s">
        <v>22</v>
      </c>
      <c r="K594" s="2">
        <v>19.170000000000002</v>
      </c>
      <c r="L594" s="3">
        <v>513.33000000000004</v>
      </c>
      <c r="M594" s="3">
        <f>orders_1[[#This Row],[products.Base_Price]]*orders_1[[#This Row],[Quantity]]</f>
        <v>9753.27</v>
      </c>
      <c r="N594" t="s">
        <v>24</v>
      </c>
      <c r="O594" t="s">
        <v>25</v>
      </c>
      <c r="P594" t="s">
        <v>19</v>
      </c>
    </row>
    <row r="595" spans="1:16" x14ac:dyDescent="0.3">
      <c r="A595" s="2">
        <v>10594</v>
      </c>
      <c r="B595" s="2">
        <v>858</v>
      </c>
      <c r="C595" s="2">
        <v>2035</v>
      </c>
      <c r="D595" s="2">
        <v>305</v>
      </c>
      <c r="E595" s="4">
        <v>45542</v>
      </c>
      <c r="F595" s="4">
        <v>45543</v>
      </c>
      <c r="G595" s="2">
        <f t="shared" si="9"/>
        <v>1</v>
      </c>
      <c r="H595" s="2">
        <v>21</v>
      </c>
      <c r="I595" t="s">
        <v>42</v>
      </c>
      <c r="J595" t="s">
        <v>27</v>
      </c>
      <c r="K595" s="2">
        <v>18.55</v>
      </c>
      <c r="L595" s="3">
        <v>636.37</v>
      </c>
      <c r="M595" s="3">
        <f>orders_1[[#This Row],[products.Base_Price]]*orders_1[[#This Row],[Quantity]]</f>
        <v>13363.77</v>
      </c>
      <c r="N595" t="s">
        <v>20</v>
      </c>
      <c r="O595" t="s">
        <v>10</v>
      </c>
      <c r="P595" t="s">
        <v>19</v>
      </c>
    </row>
    <row r="596" spans="1:16" x14ac:dyDescent="0.3">
      <c r="A596" s="2">
        <v>10595</v>
      </c>
      <c r="B596" s="2">
        <v>708</v>
      </c>
      <c r="C596" s="2">
        <v>2021</v>
      </c>
      <c r="D596" s="2">
        <v>306</v>
      </c>
      <c r="E596" s="4">
        <v>45611</v>
      </c>
      <c r="F596" s="4">
        <v>45614</v>
      </c>
      <c r="G596" s="2">
        <f t="shared" si="9"/>
        <v>3</v>
      </c>
      <c r="H596" s="2">
        <v>71</v>
      </c>
      <c r="I596" t="s">
        <v>36</v>
      </c>
      <c r="J596" t="s">
        <v>9</v>
      </c>
      <c r="K596" s="2">
        <v>18.77</v>
      </c>
      <c r="L596" s="3">
        <v>259.72000000000003</v>
      </c>
      <c r="M596" s="3">
        <f>orders_1[[#This Row],[products.Base_Price]]*orders_1[[#This Row],[Quantity]]</f>
        <v>18440.120000000003</v>
      </c>
      <c r="N596" t="s">
        <v>8</v>
      </c>
      <c r="O596" t="s">
        <v>10</v>
      </c>
      <c r="P596" t="s">
        <v>16</v>
      </c>
    </row>
    <row r="597" spans="1:16" x14ac:dyDescent="0.3">
      <c r="A597" s="2">
        <v>10596</v>
      </c>
      <c r="B597" s="2">
        <v>863</v>
      </c>
      <c r="C597" s="2">
        <v>2030</v>
      </c>
      <c r="D597" s="2">
        <v>302</v>
      </c>
      <c r="E597" s="4">
        <v>45635</v>
      </c>
      <c r="F597" s="4">
        <v>45639</v>
      </c>
      <c r="G597" s="2">
        <f t="shared" si="9"/>
        <v>4</v>
      </c>
      <c r="H597" s="2">
        <v>94</v>
      </c>
      <c r="I597" t="s">
        <v>42</v>
      </c>
      <c r="J597" t="s">
        <v>13</v>
      </c>
      <c r="K597" s="2">
        <v>27.52</v>
      </c>
      <c r="L597" s="3">
        <v>537.03</v>
      </c>
      <c r="M597" s="3">
        <f>orders_1[[#This Row],[products.Base_Price]]*orders_1[[#This Row],[Quantity]]</f>
        <v>50480.82</v>
      </c>
      <c r="N597" t="s">
        <v>12</v>
      </c>
      <c r="O597" t="s">
        <v>14</v>
      </c>
      <c r="P597" t="s">
        <v>11</v>
      </c>
    </row>
    <row r="598" spans="1:16" x14ac:dyDescent="0.3">
      <c r="A598" s="2">
        <v>10597</v>
      </c>
      <c r="B598" s="2">
        <v>859</v>
      </c>
      <c r="C598" s="2">
        <v>2086</v>
      </c>
      <c r="D598" s="2">
        <v>311</v>
      </c>
      <c r="E598" s="4">
        <v>45585</v>
      </c>
      <c r="F598" s="4">
        <v>45591</v>
      </c>
      <c r="G598" s="2">
        <f t="shared" si="9"/>
        <v>6</v>
      </c>
      <c r="H598" s="2">
        <v>51</v>
      </c>
      <c r="I598" t="s">
        <v>39</v>
      </c>
      <c r="J598" t="s">
        <v>27</v>
      </c>
      <c r="K598" s="2">
        <v>27.73</v>
      </c>
      <c r="L598" s="3">
        <v>417.42</v>
      </c>
      <c r="M598" s="3">
        <f>orders_1[[#This Row],[products.Base_Price]]*orders_1[[#This Row],[Quantity]]</f>
        <v>21288.420000000002</v>
      </c>
      <c r="N598" t="s">
        <v>26</v>
      </c>
      <c r="O598" t="s">
        <v>10</v>
      </c>
      <c r="P598" t="s">
        <v>11</v>
      </c>
    </row>
    <row r="599" spans="1:16" x14ac:dyDescent="0.3">
      <c r="A599" s="2">
        <v>10598</v>
      </c>
      <c r="B599" s="2">
        <v>705</v>
      </c>
      <c r="C599" s="2">
        <v>2051</v>
      </c>
      <c r="D599" s="2">
        <v>310</v>
      </c>
      <c r="E599" s="4">
        <v>45324</v>
      </c>
      <c r="F599" s="4">
        <v>45325</v>
      </c>
      <c r="G599" s="2">
        <f t="shared" si="9"/>
        <v>1</v>
      </c>
      <c r="H599" s="2">
        <v>80</v>
      </c>
      <c r="I599" t="s">
        <v>36</v>
      </c>
      <c r="J599" t="s">
        <v>9</v>
      </c>
      <c r="K599" s="2">
        <v>47.82</v>
      </c>
      <c r="L599" s="3">
        <v>376.19</v>
      </c>
      <c r="M599" s="3">
        <f>orders_1[[#This Row],[products.Base_Price]]*orders_1[[#This Row],[Quantity]]</f>
        <v>30095.200000000001</v>
      </c>
      <c r="N599" t="s">
        <v>26</v>
      </c>
      <c r="O599" t="s">
        <v>25</v>
      </c>
      <c r="P599" t="s">
        <v>11</v>
      </c>
    </row>
    <row r="600" spans="1:16" x14ac:dyDescent="0.3">
      <c r="A600" s="2">
        <v>10599</v>
      </c>
      <c r="B600" s="2">
        <v>836</v>
      </c>
      <c r="C600" s="2">
        <v>2012</v>
      </c>
      <c r="D600" s="2">
        <v>309</v>
      </c>
      <c r="E600" s="4">
        <v>45482</v>
      </c>
      <c r="F600" s="4">
        <v>45483</v>
      </c>
      <c r="G600" s="2">
        <f t="shared" si="9"/>
        <v>1</v>
      </c>
      <c r="H600" s="2">
        <v>26</v>
      </c>
      <c r="I600" t="s">
        <v>39</v>
      </c>
      <c r="J600" t="s">
        <v>21</v>
      </c>
      <c r="K600" s="2">
        <v>34.93</v>
      </c>
      <c r="L600" s="3">
        <v>327.92</v>
      </c>
      <c r="M600" s="3">
        <f>orders_1[[#This Row],[products.Base_Price]]*orders_1[[#This Row],[Quantity]]</f>
        <v>8525.92</v>
      </c>
      <c r="N600" t="s">
        <v>24</v>
      </c>
      <c r="O600" t="s">
        <v>25</v>
      </c>
      <c r="P600" t="s">
        <v>16</v>
      </c>
    </row>
    <row r="601" spans="1:16" x14ac:dyDescent="0.3">
      <c r="A601" s="2">
        <v>10600</v>
      </c>
      <c r="B601" s="2">
        <v>639</v>
      </c>
      <c r="C601" s="2">
        <v>2083</v>
      </c>
      <c r="D601" s="2">
        <v>314</v>
      </c>
      <c r="E601" s="4">
        <v>45430</v>
      </c>
      <c r="F601" s="4">
        <v>45431</v>
      </c>
      <c r="G601" s="2">
        <f t="shared" si="9"/>
        <v>1</v>
      </c>
      <c r="H601" s="2">
        <v>80</v>
      </c>
      <c r="I601" t="s">
        <v>36</v>
      </c>
      <c r="J601" t="s">
        <v>22</v>
      </c>
      <c r="K601" s="2">
        <v>13.79</v>
      </c>
      <c r="L601" s="3">
        <v>843.82</v>
      </c>
      <c r="M601" s="3">
        <f>orders_1[[#This Row],[products.Base_Price]]*orders_1[[#This Row],[Quantity]]</f>
        <v>67505.600000000006</v>
      </c>
      <c r="N601" t="s">
        <v>17</v>
      </c>
      <c r="O601" t="s">
        <v>14</v>
      </c>
      <c r="P601" t="s">
        <v>19</v>
      </c>
    </row>
    <row r="602" spans="1:16" x14ac:dyDescent="0.3">
      <c r="A602" s="2">
        <v>10601</v>
      </c>
      <c r="B602" s="2">
        <v>530</v>
      </c>
      <c r="C602" s="2">
        <v>2094</v>
      </c>
      <c r="D602" s="2">
        <v>308</v>
      </c>
      <c r="E602" s="4">
        <v>45433</v>
      </c>
      <c r="F602" s="4">
        <v>45442</v>
      </c>
      <c r="G602" s="2">
        <f t="shared" si="9"/>
        <v>9</v>
      </c>
      <c r="H602" s="2">
        <v>21</v>
      </c>
      <c r="I602" t="s">
        <v>36</v>
      </c>
      <c r="J602" t="s">
        <v>27</v>
      </c>
      <c r="K602" s="2">
        <v>22.56</v>
      </c>
      <c r="L602" s="3">
        <v>393.53</v>
      </c>
      <c r="M602" s="3">
        <f>orders_1[[#This Row],[products.Base_Price]]*orders_1[[#This Row],[Quantity]]</f>
        <v>8264.1299999999992</v>
      </c>
      <c r="N602" t="s">
        <v>23</v>
      </c>
      <c r="O602" t="s">
        <v>14</v>
      </c>
      <c r="P602" t="s">
        <v>19</v>
      </c>
    </row>
    <row r="603" spans="1:16" x14ac:dyDescent="0.3">
      <c r="A603" s="2">
        <v>10602</v>
      </c>
      <c r="B603" s="2">
        <v>640</v>
      </c>
      <c r="C603" s="2">
        <v>2011</v>
      </c>
      <c r="D603" s="2">
        <v>311</v>
      </c>
      <c r="E603" s="4">
        <v>45524</v>
      </c>
      <c r="F603" s="4">
        <v>45532</v>
      </c>
      <c r="G603" s="2">
        <f t="shared" si="9"/>
        <v>8</v>
      </c>
      <c r="H603" s="2">
        <v>38</v>
      </c>
      <c r="I603" t="s">
        <v>78</v>
      </c>
      <c r="J603" t="s">
        <v>21</v>
      </c>
      <c r="K603" s="2">
        <v>12.75</v>
      </c>
      <c r="L603" s="3">
        <v>987.99</v>
      </c>
      <c r="M603" s="3">
        <f>orders_1[[#This Row],[products.Base_Price]]*orders_1[[#This Row],[Quantity]]</f>
        <v>37543.620000000003</v>
      </c>
      <c r="N603" t="s">
        <v>26</v>
      </c>
      <c r="O603" t="s">
        <v>10</v>
      </c>
      <c r="P603" t="s">
        <v>11</v>
      </c>
    </row>
    <row r="604" spans="1:16" x14ac:dyDescent="0.3">
      <c r="A604" s="2">
        <v>10603</v>
      </c>
      <c r="B604" s="2">
        <v>527</v>
      </c>
      <c r="C604" s="2">
        <v>2052</v>
      </c>
      <c r="D604" s="2">
        <v>319</v>
      </c>
      <c r="E604" s="4">
        <v>45467</v>
      </c>
      <c r="F604" s="4">
        <v>45473</v>
      </c>
      <c r="G604" s="2">
        <f t="shared" si="9"/>
        <v>6</v>
      </c>
      <c r="H604" s="2">
        <v>71</v>
      </c>
      <c r="I604" t="s">
        <v>42</v>
      </c>
      <c r="J604" t="s">
        <v>27</v>
      </c>
      <c r="K604" s="2">
        <v>47.35</v>
      </c>
      <c r="L604" s="3">
        <v>665.2</v>
      </c>
      <c r="M604" s="3">
        <f>orders_1[[#This Row],[products.Base_Price]]*orders_1[[#This Row],[Quantity]]</f>
        <v>47229.200000000004</v>
      </c>
      <c r="N604" t="s">
        <v>20</v>
      </c>
      <c r="O604" t="s">
        <v>18</v>
      </c>
      <c r="P604" t="s">
        <v>11</v>
      </c>
    </row>
    <row r="605" spans="1:16" x14ac:dyDescent="0.3">
      <c r="A605" s="2">
        <v>10604</v>
      </c>
      <c r="B605" s="2">
        <v>703</v>
      </c>
      <c r="C605" s="2">
        <v>2099</v>
      </c>
      <c r="D605" s="2">
        <v>319</v>
      </c>
      <c r="E605" s="4">
        <v>45605</v>
      </c>
      <c r="F605" s="4">
        <v>45611</v>
      </c>
      <c r="G605" s="2">
        <f t="shared" si="9"/>
        <v>6</v>
      </c>
      <c r="H605" s="2">
        <v>60</v>
      </c>
      <c r="I605" t="s">
        <v>39</v>
      </c>
      <c r="J605" t="s">
        <v>21</v>
      </c>
      <c r="K605" s="2">
        <v>31.62</v>
      </c>
      <c r="L605" s="3">
        <v>652.77</v>
      </c>
      <c r="M605" s="3">
        <f>orders_1[[#This Row],[products.Base_Price]]*orders_1[[#This Row],[Quantity]]</f>
        <v>39166.199999999997</v>
      </c>
      <c r="N605" t="s">
        <v>20</v>
      </c>
      <c r="O605" t="s">
        <v>18</v>
      </c>
      <c r="P605" t="s">
        <v>11</v>
      </c>
    </row>
    <row r="606" spans="1:16" x14ac:dyDescent="0.3">
      <c r="A606" s="2">
        <v>10605</v>
      </c>
      <c r="B606" s="2">
        <v>733</v>
      </c>
      <c r="C606" s="2">
        <v>2084</v>
      </c>
      <c r="D606" s="2">
        <v>318</v>
      </c>
      <c r="E606" s="4">
        <v>45345</v>
      </c>
      <c r="F606" s="4">
        <v>45346</v>
      </c>
      <c r="G606" s="2">
        <f t="shared" si="9"/>
        <v>1</v>
      </c>
      <c r="H606" s="2">
        <v>67</v>
      </c>
      <c r="I606" t="s">
        <v>36</v>
      </c>
      <c r="J606" t="s">
        <v>21</v>
      </c>
      <c r="K606" s="2">
        <v>14.27</v>
      </c>
      <c r="L606" s="3">
        <v>223.58</v>
      </c>
      <c r="M606" s="3">
        <f>orders_1[[#This Row],[products.Base_Price]]*orders_1[[#This Row],[Quantity]]</f>
        <v>14979.86</v>
      </c>
      <c r="N606" t="s">
        <v>17</v>
      </c>
      <c r="O606" t="s">
        <v>10</v>
      </c>
      <c r="P606" t="s">
        <v>19</v>
      </c>
    </row>
    <row r="607" spans="1:16" x14ac:dyDescent="0.3">
      <c r="A607" s="2">
        <v>10606</v>
      </c>
      <c r="B607" s="2">
        <v>508</v>
      </c>
      <c r="C607" s="2">
        <v>2024</v>
      </c>
      <c r="D607" s="2">
        <v>319</v>
      </c>
      <c r="E607" s="4">
        <v>45479</v>
      </c>
      <c r="F607" s="4">
        <v>45480</v>
      </c>
      <c r="G607" s="2">
        <f t="shared" si="9"/>
        <v>1</v>
      </c>
      <c r="H607" s="2">
        <v>40</v>
      </c>
      <c r="I607" t="s">
        <v>42</v>
      </c>
      <c r="J607" t="s">
        <v>13</v>
      </c>
      <c r="K607" s="2">
        <v>21.16</v>
      </c>
      <c r="L607" s="3">
        <v>291.08</v>
      </c>
      <c r="M607" s="3">
        <f>orders_1[[#This Row],[products.Base_Price]]*orders_1[[#This Row],[Quantity]]</f>
        <v>11643.199999999999</v>
      </c>
      <c r="N607" t="s">
        <v>20</v>
      </c>
      <c r="O607" t="s">
        <v>18</v>
      </c>
      <c r="P607" t="s">
        <v>11</v>
      </c>
    </row>
    <row r="608" spans="1:16" x14ac:dyDescent="0.3">
      <c r="A608" s="2">
        <v>10607</v>
      </c>
      <c r="B608" s="2">
        <v>847</v>
      </c>
      <c r="C608" s="2">
        <v>2063</v>
      </c>
      <c r="D608" s="2">
        <v>320</v>
      </c>
      <c r="E608" s="4">
        <v>45639</v>
      </c>
      <c r="F608" s="4">
        <v>45642</v>
      </c>
      <c r="G608" s="2">
        <f t="shared" si="9"/>
        <v>3</v>
      </c>
      <c r="H608" s="2">
        <v>2</v>
      </c>
      <c r="I608" t="s">
        <v>78</v>
      </c>
      <c r="J608" t="s">
        <v>9</v>
      </c>
      <c r="K608" s="2">
        <v>13.23</v>
      </c>
      <c r="L608" s="3">
        <v>151.69999999999999</v>
      </c>
      <c r="M608" s="3">
        <f>orders_1[[#This Row],[products.Base_Price]]*orders_1[[#This Row],[Quantity]]</f>
        <v>303.39999999999998</v>
      </c>
      <c r="N608" t="s">
        <v>15</v>
      </c>
      <c r="O608" t="s">
        <v>25</v>
      </c>
      <c r="P608" t="s">
        <v>11</v>
      </c>
    </row>
    <row r="609" spans="1:16" x14ac:dyDescent="0.3">
      <c r="A609" s="2">
        <v>10608</v>
      </c>
      <c r="B609" s="2">
        <v>635</v>
      </c>
      <c r="C609" s="2">
        <v>2010</v>
      </c>
      <c r="D609" s="2">
        <v>308</v>
      </c>
      <c r="E609" s="4">
        <v>45359</v>
      </c>
      <c r="F609" s="4">
        <v>45367</v>
      </c>
      <c r="G609" s="2">
        <f t="shared" si="9"/>
        <v>8</v>
      </c>
      <c r="H609" s="2">
        <v>95</v>
      </c>
      <c r="I609" t="s">
        <v>78</v>
      </c>
      <c r="J609" t="s">
        <v>13</v>
      </c>
      <c r="K609" s="2">
        <v>9.58</v>
      </c>
      <c r="L609" s="3">
        <v>440.93</v>
      </c>
      <c r="M609" s="3">
        <f>orders_1[[#This Row],[products.Base_Price]]*orders_1[[#This Row],[Quantity]]</f>
        <v>41888.35</v>
      </c>
      <c r="N609" t="s">
        <v>23</v>
      </c>
      <c r="O609" t="s">
        <v>14</v>
      </c>
      <c r="P609" t="s">
        <v>19</v>
      </c>
    </row>
    <row r="610" spans="1:16" x14ac:dyDescent="0.3">
      <c r="A610" s="2">
        <v>10609</v>
      </c>
      <c r="B610" s="2">
        <v>796</v>
      </c>
      <c r="C610" s="2">
        <v>2036</v>
      </c>
      <c r="D610" s="2">
        <v>305</v>
      </c>
      <c r="E610" s="4">
        <v>45636</v>
      </c>
      <c r="F610" s="4">
        <v>45646</v>
      </c>
      <c r="G610" s="2">
        <f t="shared" si="9"/>
        <v>10</v>
      </c>
      <c r="H610" s="2">
        <v>3</v>
      </c>
      <c r="I610" t="s">
        <v>42</v>
      </c>
      <c r="J610" t="s">
        <v>22</v>
      </c>
      <c r="K610" s="2">
        <v>39.39</v>
      </c>
      <c r="L610" s="3">
        <v>745.86</v>
      </c>
      <c r="M610" s="3">
        <f>orders_1[[#This Row],[products.Base_Price]]*orders_1[[#This Row],[Quantity]]</f>
        <v>2237.58</v>
      </c>
      <c r="N610" t="s">
        <v>20</v>
      </c>
      <c r="O610" t="s">
        <v>10</v>
      </c>
      <c r="P610" t="s">
        <v>19</v>
      </c>
    </row>
    <row r="611" spans="1:16" x14ac:dyDescent="0.3">
      <c r="A611" s="2">
        <v>10610</v>
      </c>
      <c r="B611" s="2">
        <v>687</v>
      </c>
      <c r="C611" s="2">
        <v>2045</v>
      </c>
      <c r="D611" s="2">
        <v>320</v>
      </c>
      <c r="E611" s="4">
        <v>45436</v>
      </c>
      <c r="F611" s="4">
        <v>45446</v>
      </c>
      <c r="G611" s="2">
        <f t="shared" si="9"/>
        <v>10</v>
      </c>
      <c r="H611" s="2">
        <v>37</v>
      </c>
      <c r="I611" t="s">
        <v>36</v>
      </c>
      <c r="J611" t="s">
        <v>9</v>
      </c>
      <c r="K611" s="2">
        <v>41.3</v>
      </c>
      <c r="L611" s="3">
        <v>652.61</v>
      </c>
      <c r="M611" s="3">
        <f>orders_1[[#This Row],[products.Base_Price]]*orders_1[[#This Row],[Quantity]]</f>
        <v>24146.57</v>
      </c>
      <c r="N611" t="s">
        <v>15</v>
      </c>
      <c r="O611" t="s">
        <v>25</v>
      </c>
      <c r="P611" t="s">
        <v>11</v>
      </c>
    </row>
    <row r="612" spans="1:16" x14ac:dyDescent="0.3">
      <c r="A612" s="2">
        <v>10611</v>
      </c>
      <c r="B612" s="2">
        <v>726</v>
      </c>
      <c r="C612" s="2">
        <v>2078</v>
      </c>
      <c r="D612" s="2">
        <v>320</v>
      </c>
      <c r="E612" s="4">
        <v>45568</v>
      </c>
      <c r="F612" s="4">
        <v>45570</v>
      </c>
      <c r="G612" s="2">
        <f t="shared" si="9"/>
        <v>2</v>
      </c>
      <c r="H612" s="2">
        <v>31</v>
      </c>
      <c r="I612" t="s">
        <v>78</v>
      </c>
      <c r="J612" t="s">
        <v>21</v>
      </c>
      <c r="K612" s="2">
        <v>14.85</v>
      </c>
      <c r="L612" s="3">
        <v>517.03</v>
      </c>
      <c r="M612" s="3">
        <f>orders_1[[#This Row],[products.Base_Price]]*orders_1[[#This Row],[Quantity]]</f>
        <v>16027.929999999998</v>
      </c>
      <c r="N612" t="s">
        <v>15</v>
      </c>
      <c r="O612" t="s">
        <v>25</v>
      </c>
      <c r="P612" t="s">
        <v>11</v>
      </c>
    </row>
    <row r="613" spans="1:16" x14ac:dyDescent="0.3">
      <c r="A613" s="2">
        <v>10612</v>
      </c>
      <c r="B613" s="2">
        <v>839</v>
      </c>
      <c r="C613" s="2">
        <v>2054</v>
      </c>
      <c r="D613" s="2">
        <v>320</v>
      </c>
      <c r="E613" s="4">
        <v>45538</v>
      </c>
      <c r="F613" s="4">
        <v>45546</v>
      </c>
      <c r="G613" s="2">
        <f t="shared" si="9"/>
        <v>8</v>
      </c>
      <c r="H613" s="2">
        <v>23</v>
      </c>
      <c r="I613" t="s">
        <v>39</v>
      </c>
      <c r="J613" t="s">
        <v>9</v>
      </c>
      <c r="K613" s="2">
        <v>5.63</v>
      </c>
      <c r="L613" s="3">
        <v>304.22000000000003</v>
      </c>
      <c r="M613" s="3">
        <f>orders_1[[#This Row],[products.Base_Price]]*orders_1[[#This Row],[Quantity]]</f>
        <v>6997.06</v>
      </c>
      <c r="N613" t="s">
        <v>15</v>
      </c>
      <c r="O613" t="s">
        <v>25</v>
      </c>
      <c r="P613" t="s">
        <v>11</v>
      </c>
    </row>
    <row r="614" spans="1:16" x14ac:dyDescent="0.3">
      <c r="A614" s="2">
        <v>10613</v>
      </c>
      <c r="B614" s="2">
        <v>519</v>
      </c>
      <c r="C614" s="2">
        <v>2095</v>
      </c>
      <c r="D614" s="2">
        <v>302</v>
      </c>
      <c r="E614" s="4">
        <v>45332</v>
      </c>
      <c r="F614" s="4">
        <v>45333</v>
      </c>
      <c r="G614" s="2">
        <f t="shared" si="9"/>
        <v>1</v>
      </c>
      <c r="H614" s="2">
        <v>75</v>
      </c>
      <c r="I614" t="s">
        <v>39</v>
      </c>
      <c r="J614" t="s">
        <v>13</v>
      </c>
      <c r="K614" s="2">
        <v>38.81</v>
      </c>
      <c r="L614" s="3">
        <v>761.63</v>
      </c>
      <c r="M614" s="3">
        <f>orders_1[[#This Row],[products.Base_Price]]*orders_1[[#This Row],[Quantity]]</f>
        <v>57122.25</v>
      </c>
      <c r="N614" t="s">
        <v>12</v>
      </c>
      <c r="O614" t="s">
        <v>14</v>
      </c>
      <c r="P614" t="s">
        <v>11</v>
      </c>
    </row>
    <row r="615" spans="1:16" x14ac:dyDescent="0.3">
      <c r="A615" s="2">
        <v>10614</v>
      </c>
      <c r="B615" s="2">
        <v>756</v>
      </c>
      <c r="C615" s="2">
        <v>2078</v>
      </c>
      <c r="D615" s="2">
        <v>318</v>
      </c>
      <c r="E615" s="4">
        <v>45298</v>
      </c>
      <c r="F615" s="4">
        <v>45306</v>
      </c>
      <c r="G615" s="2">
        <f t="shared" si="9"/>
        <v>8</v>
      </c>
      <c r="H615" s="2">
        <v>33</v>
      </c>
      <c r="I615" t="s">
        <v>42</v>
      </c>
      <c r="J615" t="s">
        <v>21</v>
      </c>
      <c r="K615" s="2">
        <v>14.85</v>
      </c>
      <c r="L615" s="3">
        <v>517.03</v>
      </c>
      <c r="M615" s="3">
        <f>orders_1[[#This Row],[products.Base_Price]]*orders_1[[#This Row],[Quantity]]</f>
        <v>17061.989999999998</v>
      </c>
      <c r="N615" t="s">
        <v>17</v>
      </c>
      <c r="O615" t="s">
        <v>10</v>
      </c>
      <c r="P615" t="s">
        <v>19</v>
      </c>
    </row>
    <row r="616" spans="1:16" x14ac:dyDescent="0.3">
      <c r="A616" s="2">
        <v>10615</v>
      </c>
      <c r="B616" s="2">
        <v>523</v>
      </c>
      <c r="C616" s="2">
        <v>2073</v>
      </c>
      <c r="D616" s="2">
        <v>311</v>
      </c>
      <c r="E616" s="4">
        <v>45448</v>
      </c>
      <c r="F616" s="4">
        <v>45455</v>
      </c>
      <c r="G616" s="2">
        <f t="shared" si="9"/>
        <v>7</v>
      </c>
      <c r="H616" s="2">
        <v>91</v>
      </c>
      <c r="I616" t="s">
        <v>39</v>
      </c>
      <c r="J616" t="s">
        <v>9</v>
      </c>
      <c r="K616" s="2">
        <v>11.78</v>
      </c>
      <c r="L616" s="3">
        <v>416.74</v>
      </c>
      <c r="M616" s="3">
        <f>orders_1[[#This Row],[products.Base_Price]]*orders_1[[#This Row],[Quantity]]</f>
        <v>37923.340000000004</v>
      </c>
      <c r="N616" t="s">
        <v>26</v>
      </c>
      <c r="O616" t="s">
        <v>10</v>
      </c>
      <c r="P616" t="s">
        <v>11</v>
      </c>
    </row>
    <row r="617" spans="1:16" x14ac:dyDescent="0.3">
      <c r="A617" s="2">
        <v>10616</v>
      </c>
      <c r="B617" s="2">
        <v>623</v>
      </c>
      <c r="C617" s="2">
        <v>2054</v>
      </c>
      <c r="D617" s="2">
        <v>315</v>
      </c>
      <c r="E617" s="4">
        <v>45459</v>
      </c>
      <c r="F617" s="4">
        <v>45466</v>
      </c>
      <c r="G617" s="2">
        <f t="shared" si="9"/>
        <v>7</v>
      </c>
      <c r="H617" s="2">
        <v>56</v>
      </c>
      <c r="I617" t="s">
        <v>36</v>
      </c>
      <c r="J617" t="s">
        <v>9</v>
      </c>
      <c r="K617" s="2">
        <v>5.63</v>
      </c>
      <c r="L617" s="3">
        <v>304.22000000000003</v>
      </c>
      <c r="M617" s="3">
        <f>orders_1[[#This Row],[products.Base_Price]]*orders_1[[#This Row],[Quantity]]</f>
        <v>17036.32</v>
      </c>
      <c r="N617" t="s">
        <v>15</v>
      </c>
      <c r="O617" t="s">
        <v>25</v>
      </c>
      <c r="P617" t="s">
        <v>19</v>
      </c>
    </row>
    <row r="618" spans="1:16" x14ac:dyDescent="0.3">
      <c r="A618" s="2">
        <v>10617</v>
      </c>
      <c r="B618" s="2">
        <v>841</v>
      </c>
      <c r="C618" s="2">
        <v>2018</v>
      </c>
      <c r="D618" s="2">
        <v>319</v>
      </c>
      <c r="E618" s="4">
        <v>45455</v>
      </c>
      <c r="F618" s="4">
        <v>45465</v>
      </c>
      <c r="G618" s="2">
        <f t="shared" si="9"/>
        <v>10</v>
      </c>
      <c r="H618" s="2">
        <v>9</v>
      </c>
      <c r="I618" t="s">
        <v>42</v>
      </c>
      <c r="J618" t="s">
        <v>21</v>
      </c>
      <c r="K618" s="2">
        <v>16.739999999999998</v>
      </c>
      <c r="L618" s="3">
        <v>103.05</v>
      </c>
      <c r="M618" s="3">
        <f>orders_1[[#This Row],[products.Base_Price]]*orders_1[[#This Row],[Quantity]]</f>
        <v>927.44999999999993</v>
      </c>
      <c r="N618" t="s">
        <v>20</v>
      </c>
      <c r="O618" t="s">
        <v>18</v>
      </c>
      <c r="P618" t="s">
        <v>11</v>
      </c>
    </row>
    <row r="619" spans="1:16" x14ac:dyDescent="0.3">
      <c r="A619" s="2">
        <v>10618</v>
      </c>
      <c r="B619" s="2">
        <v>660</v>
      </c>
      <c r="C619" s="2">
        <v>2076</v>
      </c>
      <c r="D619" s="2">
        <v>311</v>
      </c>
      <c r="E619" s="4">
        <v>45356</v>
      </c>
      <c r="F619" s="4">
        <v>45362</v>
      </c>
      <c r="G619" s="2">
        <f t="shared" si="9"/>
        <v>6</v>
      </c>
      <c r="H619" s="2">
        <v>71</v>
      </c>
      <c r="I619" t="s">
        <v>42</v>
      </c>
      <c r="J619" t="s">
        <v>13</v>
      </c>
      <c r="K619" s="2">
        <v>14.63</v>
      </c>
      <c r="L619" s="3">
        <v>638.11</v>
      </c>
      <c r="M619" s="3">
        <f>orders_1[[#This Row],[products.Base_Price]]*orders_1[[#This Row],[Quantity]]</f>
        <v>45305.81</v>
      </c>
      <c r="N619" t="s">
        <v>26</v>
      </c>
      <c r="O619" t="s">
        <v>10</v>
      </c>
      <c r="P619" t="s">
        <v>11</v>
      </c>
    </row>
    <row r="620" spans="1:16" x14ac:dyDescent="0.3">
      <c r="A620" s="2">
        <v>10619</v>
      </c>
      <c r="B620" s="2">
        <v>846</v>
      </c>
      <c r="C620" s="2">
        <v>2001</v>
      </c>
      <c r="D620" s="2">
        <v>303</v>
      </c>
      <c r="E620" s="4">
        <v>45617</v>
      </c>
      <c r="F620" s="4">
        <v>45623</v>
      </c>
      <c r="G620" s="2">
        <f t="shared" si="9"/>
        <v>6</v>
      </c>
      <c r="H620" s="2">
        <v>77</v>
      </c>
      <c r="I620" t="s">
        <v>36</v>
      </c>
      <c r="J620" t="s">
        <v>9</v>
      </c>
      <c r="K620" s="2">
        <v>49.85</v>
      </c>
      <c r="L620" s="3">
        <v>471.41</v>
      </c>
      <c r="M620" s="3">
        <f>orders_1[[#This Row],[products.Base_Price]]*orders_1[[#This Row],[Quantity]]</f>
        <v>36298.57</v>
      </c>
      <c r="N620" t="s">
        <v>15</v>
      </c>
      <c r="O620" t="s">
        <v>10</v>
      </c>
      <c r="P620" t="s">
        <v>16</v>
      </c>
    </row>
    <row r="621" spans="1:16" x14ac:dyDescent="0.3">
      <c r="A621" s="2">
        <v>10620</v>
      </c>
      <c r="B621" s="2">
        <v>646</v>
      </c>
      <c r="C621" s="2">
        <v>2099</v>
      </c>
      <c r="D621" s="2">
        <v>318</v>
      </c>
      <c r="E621" s="4">
        <v>45402</v>
      </c>
      <c r="F621" s="4">
        <v>45411</v>
      </c>
      <c r="G621" s="2">
        <f t="shared" si="9"/>
        <v>9</v>
      </c>
      <c r="H621" s="2">
        <v>88</v>
      </c>
      <c r="I621" t="s">
        <v>39</v>
      </c>
      <c r="J621" t="s">
        <v>21</v>
      </c>
      <c r="K621" s="2">
        <v>31.62</v>
      </c>
      <c r="L621" s="3">
        <v>652.77</v>
      </c>
      <c r="M621" s="3">
        <f>orders_1[[#This Row],[products.Base_Price]]*orders_1[[#This Row],[Quantity]]</f>
        <v>57443.759999999995</v>
      </c>
      <c r="N621" t="s">
        <v>17</v>
      </c>
      <c r="O621" t="s">
        <v>10</v>
      </c>
      <c r="P621" t="s">
        <v>19</v>
      </c>
    </row>
    <row r="622" spans="1:16" x14ac:dyDescent="0.3">
      <c r="A622" s="2">
        <v>10621</v>
      </c>
      <c r="B622" s="2">
        <v>815</v>
      </c>
      <c r="C622" s="2">
        <v>2017</v>
      </c>
      <c r="D622" s="2">
        <v>317</v>
      </c>
      <c r="E622" s="4">
        <v>45478</v>
      </c>
      <c r="F622" s="4">
        <v>45483</v>
      </c>
      <c r="G622" s="2">
        <f t="shared" si="9"/>
        <v>5</v>
      </c>
      <c r="H622" s="2">
        <v>51</v>
      </c>
      <c r="I622" t="s">
        <v>78</v>
      </c>
      <c r="J622" t="s">
        <v>22</v>
      </c>
      <c r="K622" s="2">
        <v>38.24</v>
      </c>
      <c r="L622" s="3">
        <v>788.08</v>
      </c>
      <c r="M622" s="3">
        <f>orders_1[[#This Row],[products.Base_Price]]*orders_1[[#This Row],[Quantity]]</f>
        <v>40192.080000000002</v>
      </c>
      <c r="N622" t="s">
        <v>20</v>
      </c>
      <c r="O622" t="s">
        <v>25</v>
      </c>
      <c r="P622" t="s">
        <v>19</v>
      </c>
    </row>
    <row r="623" spans="1:16" x14ac:dyDescent="0.3">
      <c r="A623" s="2">
        <v>10622</v>
      </c>
      <c r="B623" s="2">
        <v>591</v>
      </c>
      <c r="C623" s="2">
        <v>2048</v>
      </c>
      <c r="D623" s="2">
        <v>317</v>
      </c>
      <c r="E623" s="4">
        <v>45601</v>
      </c>
      <c r="F623" s="4">
        <v>45607</v>
      </c>
      <c r="G623" s="2">
        <f t="shared" si="9"/>
        <v>6</v>
      </c>
      <c r="H623" s="2">
        <v>57</v>
      </c>
      <c r="I623" t="s">
        <v>39</v>
      </c>
      <c r="J623" t="s">
        <v>22</v>
      </c>
      <c r="K623" s="2">
        <v>6.74</v>
      </c>
      <c r="L623" s="3">
        <v>864.57</v>
      </c>
      <c r="M623" s="3">
        <f>orders_1[[#This Row],[products.Base_Price]]*orders_1[[#This Row],[Quantity]]</f>
        <v>49280.490000000005</v>
      </c>
      <c r="N623" t="s">
        <v>20</v>
      </c>
      <c r="O623" t="s">
        <v>25</v>
      </c>
      <c r="P623" t="s">
        <v>19</v>
      </c>
    </row>
    <row r="624" spans="1:16" x14ac:dyDescent="0.3">
      <c r="A624" s="2">
        <v>10623</v>
      </c>
      <c r="B624" s="2">
        <v>789</v>
      </c>
      <c r="C624" s="2">
        <v>2008</v>
      </c>
      <c r="D624" s="2">
        <v>319</v>
      </c>
      <c r="E624" s="4">
        <v>45360</v>
      </c>
      <c r="F624" s="4">
        <v>45365</v>
      </c>
      <c r="G624" s="2">
        <f t="shared" si="9"/>
        <v>5</v>
      </c>
      <c r="H624" s="2">
        <v>9</v>
      </c>
      <c r="I624" t="s">
        <v>36</v>
      </c>
      <c r="J624" t="s">
        <v>21</v>
      </c>
      <c r="K624" s="2">
        <v>8.5</v>
      </c>
      <c r="L624" s="3">
        <v>899.21</v>
      </c>
      <c r="M624" s="3">
        <f>orders_1[[#This Row],[products.Base_Price]]*orders_1[[#This Row],[Quantity]]</f>
        <v>8092.89</v>
      </c>
      <c r="N624" t="s">
        <v>20</v>
      </c>
      <c r="O624" t="s">
        <v>18</v>
      </c>
      <c r="P624" t="s">
        <v>11</v>
      </c>
    </row>
    <row r="625" spans="1:16" x14ac:dyDescent="0.3">
      <c r="A625" s="2">
        <v>10624</v>
      </c>
      <c r="B625" s="2">
        <v>636</v>
      </c>
      <c r="C625" s="2">
        <v>2001</v>
      </c>
      <c r="D625" s="2">
        <v>307</v>
      </c>
      <c r="E625" s="4">
        <v>45552</v>
      </c>
      <c r="F625" s="4">
        <v>45558</v>
      </c>
      <c r="G625" s="2">
        <f t="shared" si="9"/>
        <v>6</v>
      </c>
      <c r="H625" s="2">
        <v>61</v>
      </c>
      <c r="I625" t="s">
        <v>36</v>
      </c>
      <c r="J625" t="s">
        <v>9</v>
      </c>
      <c r="K625" s="2">
        <v>49.85</v>
      </c>
      <c r="L625" s="3">
        <v>471.41</v>
      </c>
      <c r="M625" s="3">
        <f>orders_1[[#This Row],[products.Base_Price]]*orders_1[[#This Row],[Quantity]]</f>
        <v>28756.010000000002</v>
      </c>
      <c r="N625" t="s">
        <v>17</v>
      </c>
      <c r="O625" t="s">
        <v>10</v>
      </c>
      <c r="P625" t="s">
        <v>11</v>
      </c>
    </row>
    <row r="626" spans="1:16" x14ac:dyDescent="0.3">
      <c r="A626" s="2">
        <v>10625</v>
      </c>
      <c r="B626" s="2">
        <v>621</v>
      </c>
      <c r="C626" s="2">
        <v>2030</v>
      </c>
      <c r="D626" s="2">
        <v>305</v>
      </c>
      <c r="E626" s="4">
        <v>45650</v>
      </c>
      <c r="F626" s="4">
        <v>45658</v>
      </c>
      <c r="G626" s="2">
        <f t="shared" si="9"/>
        <v>8</v>
      </c>
      <c r="H626" s="2">
        <v>88</v>
      </c>
      <c r="I626" t="s">
        <v>36</v>
      </c>
      <c r="J626" t="s">
        <v>13</v>
      </c>
      <c r="K626" s="2">
        <v>27.52</v>
      </c>
      <c r="L626" s="3">
        <v>537.03</v>
      </c>
      <c r="M626" s="3">
        <f>orders_1[[#This Row],[products.Base_Price]]*orders_1[[#This Row],[Quantity]]</f>
        <v>47258.64</v>
      </c>
      <c r="N626" t="s">
        <v>20</v>
      </c>
      <c r="O626" t="s">
        <v>10</v>
      </c>
      <c r="P626" t="s">
        <v>19</v>
      </c>
    </row>
    <row r="627" spans="1:16" x14ac:dyDescent="0.3">
      <c r="A627" s="2">
        <v>10626</v>
      </c>
      <c r="B627" s="2">
        <v>587</v>
      </c>
      <c r="C627" s="2">
        <v>2056</v>
      </c>
      <c r="D627" s="2">
        <v>308</v>
      </c>
      <c r="E627" s="4">
        <v>45338</v>
      </c>
      <c r="F627" s="4">
        <v>45340</v>
      </c>
      <c r="G627" s="2">
        <f t="shared" si="9"/>
        <v>2</v>
      </c>
      <c r="H627" s="2">
        <v>42</v>
      </c>
      <c r="I627" t="s">
        <v>39</v>
      </c>
      <c r="J627" t="s">
        <v>9</v>
      </c>
      <c r="K627" s="2">
        <v>18.559999999999999</v>
      </c>
      <c r="L627" s="3">
        <v>564.01</v>
      </c>
      <c r="M627" s="3">
        <f>orders_1[[#This Row],[products.Base_Price]]*orders_1[[#This Row],[Quantity]]</f>
        <v>23688.42</v>
      </c>
      <c r="N627" t="s">
        <v>23</v>
      </c>
      <c r="O627" t="s">
        <v>14</v>
      </c>
      <c r="P627" t="s">
        <v>19</v>
      </c>
    </row>
    <row r="628" spans="1:16" x14ac:dyDescent="0.3">
      <c r="A628" s="2">
        <v>10627</v>
      </c>
      <c r="B628" s="2">
        <v>617</v>
      </c>
      <c r="C628" s="2">
        <v>2046</v>
      </c>
      <c r="D628" s="2">
        <v>311</v>
      </c>
      <c r="E628" s="4">
        <v>45485</v>
      </c>
      <c r="F628" s="4">
        <v>45487</v>
      </c>
      <c r="G628" s="2">
        <f t="shared" si="9"/>
        <v>2</v>
      </c>
      <c r="H628" s="2">
        <v>93</v>
      </c>
      <c r="I628" t="s">
        <v>78</v>
      </c>
      <c r="J628" t="s">
        <v>27</v>
      </c>
      <c r="K628" s="2">
        <v>38.130000000000003</v>
      </c>
      <c r="L628" s="3">
        <v>649.34</v>
      </c>
      <c r="M628" s="3">
        <f>orders_1[[#This Row],[products.Base_Price]]*orders_1[[#This Row],[Quantity]]</f>
        <v>60388.62</v>
      </c>
      <c r="N628" t="s">
        <v>26</v>
      </c>
      <c r="O628" t="s">
        <v>10</v>
      </c>
      <c r="P628" t="s">
        <v>11</v>
      </c>
    </row>
    <row r="629" spans="1:16" x14ac:dyDescent="0.3">
      <c r="A629" s="2">
        <v>10628</v>
      </c>
      <c r="B629" s="2">
        <v>694</v>
      </c>
      <c r="C629" s="2">
        <v>2049</v>
      </c>
      <c r="D629" s="2">
        <v>318</v>
      </c>
      <c r="E629" s="4">
        <v>45628</v>
      </c>
      <c r="F629" s="4">
        <v>45631</v>
      </c>
      <c r="G629" s="2">
        <f t="shared" si="9"/>
        <v>3</v>
      </c>
      <c r="H629" s="2">
        <v>52</v>
      </c>
      <c r="I629" t="s">
        <v>42</v>
      </c>
      <c r="J629" t="s">
        <v>27</v>
      </c>
      <c r="K629" s="2">
        <v>17.52</v>
      </c>
      <c r="L629" s="3">
        <v>832.77</v>
      </c>
      <c r="M629" s="3">
        <f>orders_1[[#This Row],[products.Base_Price]]*orders_1[[#This Row],[Quantity]]</f>
        <v>43304.04</v>
      </c>
      <c r="N629" t="s">
        <v>17</v>
      </c>
      <c r="O629" t="s">
        <v>10</v>
      </c>
      <c r="P629" t="s">
        <v>19</v>
      </c>
    </row>
    <row r="630" spans="1:16" x14ac:dyDescent="0.3">
      <c r="A630" s="2">
        <v>10629</v>
      </c>
      <c r="B630" s="2">
        <v>673</v>
      </c>
      <c r="C630" s="2">
        <v>2100</v>
      </c>
      <c r="D630" s="2">
        <v>311</v>
      </c>
      <c r="E630" s="4">
        <v>45477</v>
      </c>
      <c r="F630" s="4">
        <v>45480</v>
      </c>
      <c r="G630" s="2">
        <f t="shared" si="9"/>
        <v>3</v>
      </c>
      <c r="H630" s="2">
        <v>45</v>
      </c>
      <c r="I630" t="s">
        <v>36</v>
      </c>
      <c r="J630" t="s">
        <v>27</v>
      </c>
      <c r="K630" s="2">
        <v>2.2799999999999998</v>
      </c>
      <c r="L630" s="3">
        <v>813.8</v>
      </c>
      <c r="M630" s="3">
        <f>orders_1[[#This Row],[products.Base_Price]]*orders_1[[#This Row],[Quantity]]</f>
        <v>36621</v>
      </c>
      <c r="N630" t="s">
        <v>26</v>
      </c>
      <c r="O630" t="s">
        <v>10</v>
      </c>
      <c r="P630" t="s">
        <v>11</v>
      </c>
    </row>
    <row r="631" spans="1:16" x14ac:dyDescent="0.3">
      <c r="A631" s="2">
        <v>10630</v>
      </c>
      <c r="B631" s="2">
        <v>757</v>
      </c>
      <c r="C631" s="2">
        <v>2030</v>
      </c>
      <c r="D631" s="2">
        <v>302</v>
      </c>
      <c r="E631" s="4">
        <v>45525</v>
      </c>
      <c r="F631" s="4">
        <v>45529</v>
      </c>
      <c r="G631" s="2">
        <f t="shared" si="9"/>
        <v>4</v>
      </c>
      <c r="H631" s="2">
        <v>18</v>
      </c>
      <c r="I631" t="s">
        <v>42</v>
      </c>
      <c r="J631" t="s">
        <v>13</v>
      </c>
      <c r="K631" s="2">
        <v>27.52</v>
      </c>
      <c r="L631" s="3">
        <v>537.03</v>
      </c>
      <c r="M631" s="3">
        <f>orders_1[[#This Row],[products.Base_Price]]*orders_1[[#This Row],[Quantity]]</f>
        <v>9666.5399999999991</v>
      </c>
      <c r="N631" t="s">
        <v>12</v>
      </c>
      <c r="O631" t="s">
        <v>14</v>
      </c>
      <c r="P631" t="s">
        <v>11</v>
      </c>
    </row>
    <row r="632" spans="1:16" x14ac:dyDescent="0.3">
      <c r="A632" s="2">
        <v>10631</v>
      </c>
      <c r="B632" s="2">
        <v>660</v>
      </c>
      <c r="C632" s="2">
        <v>2087</v>
      </c>
      <c r="D632" s="2">
        <v>316</v>
      </c>
      <c r="E632" s="4">
        <v>45366</v>
      </c>
      <c r="F632" s="4">
        <v>45376</v>
      </c>
      <c r="G632" s="2">
        <f t="shared" si="9"/>
        <v>10</v>
      </c>
      <c r="H632" s="2">
        <v>32</v>
      </c>
      <c r="I632" t="s">
        <v>36</v>
      </c>
      <c r="J632" t="s">
        <v>9</v>
      </c>
      <c r="K632" s="2">
        <v>35.82</v>
      </c>
      <c r="L632" s="3">
        <v>47.38</v>
      </c>
      <c r="M632" s="3">
        <f>orders_1[[#This Row],[products.Base_Price]]*orders_1[[#This Row],[Quantity]]</f>
        <v>1516.16</v>
      </c>
      <c r="N632" t="s">
        <v>24</v>
      </c>
      <c r="O632" t="s">
        <v>25</v>
      </c>
      <c r="P632" t="s">
        <v>19</v>
      </c>
    </row>
    <row r="633" spans="1:16" x14ac:dyDescent="0.3">
      <c r="A633" s="2">
        <v>10632</v>
      </c>
      <c r="B633" s="2">
        <v>567</v>
      </c>
      <c r="C633" s="2">
        <v>2012</v>
      </c>
      <c r="D633" s="2">
        <v>316</v>
      </c>
      <c r="E633" s="4">
        <v>45484</v>
      </c>
      <c r="F633" s="4">
        <v>45488</v>
      </c>
      <c r="G633" s="2">
        <f t="shared" si="9"/>
        <v>4</v>
      </c>
      <c r="H633" s="2">
        <v>42</v>
      </c>
      <c r="I633" t="s">
        <v>39</v>
      </c>
      <c r="J633" t="s">
        <v>21</v>
      </c>
      <c r="K633" s="2">
        <v>34.93</v>
      </c>
      <c r="L633" s="3">
        <v>327.92</v>
      </c>
      <c r="M633" s="3">
        <f>orders_1[[#This Row],[products.Base_Price]]*orders_1[[#This Row],[Quantity]]</f>
        <v>13772.640000000001</v>
      </c>
      <c r="N633" t="s">
        <v>24</v>
      </c>
      <c r="O633" t="s">
        <v>25</v>
      </c>
      <c r="P633" t="s">
        <v>19</v>
      </c>
    </row>
    <row r="634" spans="1:16" x14ac:dyDescent="0.3">
      <c r="A634" s="2">
        <v>10633</v>
      </c>
      <c r="B634" s="2">
        <v>775</v>
      </c>
      <c r="C634" s="2">
        <v>2036</v>
      </c>
      <c r="D634" s="2">
        <v>302</v>
      </c>
      <c r="E634" s="4">
        <v>45310</v>
      </c>
      <c r="F634" s="4">
        <v>45313</v>
      </c>
      <c r="G634" s="2">
        <f t="shared" si="9"/>
        <v>3</v>
      </c>
      <c r="H634" s="2">
        <v>58</v>
      </c>
      <c r="I634" t="s">
        <v>78</v>
      </c>
      <c r="J634" t="s">
        <v>22</v>
      </c>
      <c r="K634" s="2">
        <v>39.39</v>
      </c>
      <c r="L634" s="3">
        <v>745.86</v>
      </c>
      <c r="M634" s="3">
        <f>orders_1[[#This Row],[products.Base_Price]]*orders_1[[#This Row],[Quantity]]</f>
        <v>43259.88</v>
      </c>
      <c r="N634" t="s">
        <v>12</v>
      </c>
      <c r="O634" t="s">
        <v>14</v>
      </c>
      <c r="P634" t="s">
        <v>11</v>
      </c>
    </row>
    <row r="635" spans="1:16" x14ac:dyDescent="0.3">
      <c r="A635" s="2">
        <v>10634</v>
      </c>
      <c r="B635" s="2">
        <v>766</v>
      </c>
      <c r="C635" s="2">
        <v>2029</v>
      </c>
      <c r="D635" s="2">
        <v>306</v>
      </c>
      <c r="E635" s="4">
        <v>45646</v>
      </c>
      <c r="F635" s="4">
        <v>45651</v>
      </c>
      <c r="G635" s="2">
        <f t="shared" si="9"/>
        <v>5</v>
      </c>
      <c r="H635" s="2">
        <v>12</v>
      </c>
      <c r="I635" t="s">
        <v>36</v>
      </c>
      <c r="J635" t="s">
        <v>21</v>
      </c>
      <c r="K635" s="2">
        <v>9.19</v>
      </c>
      <c r="L635" s="3">
        <v>357.06</v>
      </c>
      <c r="M635" s="3">
        <f>orders_1[[#This Row],[products.Base_Price]]*orders_1[[#This Row],[Quantity]]</f>
        <v>4284.72</v>
      </c>
      <c r="N635" t="s">
        <v>8</v>
      </c>
      <c r="O635" t="s">
        <v>10</v>
      </c>
      <c r="P635" t="s">
        <v>16</v>
      </c>
    </row>
    <row r="636" spans="1:16" x14ac:dyDescent="0.3">
      <c r="A636" s="2">
        <v>10635</v>
      </c>
      <c r="B636" s="2">
        <v>602</v>
      </c>
      <c r="C636" s="2">
        <v>2079</v>
      </c>
      <c r="D636" s="2">
        <v>309</v>
      </c>
      <c r="E636" s="4">
        <v>45630</v>
      </c>
      <c r="F636" s="4">
        <v>45631</v>
      </c>
      <c r="G636" s="2">
        <f t="shared" si="9"/>
        <v>1</v>
      </c>
      <c r="H636" s="2">
        <v>35</v>
      </c>
      <c r="I636" t="s">
        <v>78</v>
      </c>
      <c r="J636" t="s">
        <v>22</v>
      </c>
      <c r="K636" s="2">
        <v>12.3</v>
      </c>
      <c r="L636" s="3">
        <v>99.7</v>
      </c>
      <c r="M636" s="3">
        <f>orders_1[[#This Row],[products.Base_Price]]*orders_1[[#This Row],[Quantity]]</f>
        <v>3489.5</v>
      </c>
      <c r="N636" t="s">
        <v>24</v>
      </c>
      <c r="O636" t="s">
        <v>25</v>
      </c>
      <c r="P636" t="s">
        <v>16</v>
      </c>
    </row>
    <row r="637" spans="1:16" x14ac:dyDescent="0.3">
      <c r="A637" s="2">
        <v>10636</v>
      </c>
      <c r="B637" s="2">
        <v>672</v>
      </c>
      <c r="C637" s="2">
        <v>2034</v>
      </c>
      <c r="D637" s="2">
        <v>312</v>
      </c>
      <c r="E637" s="4">
        <v>45553</v>
      </c>
      <c r="F637" s="4">
        <v>45561</v>
      </c>
      <c r="G637" s="2">
        <f t="shared" si="9"/>
        <v>8</v>
      </c>
      <c r="H637" s="2">
        <v>33</v>
      </c>
      <c r="I637" t="s">
        <v>42</v>
      </c>
      <c r="J637" t="s">
        <v>27</v>
      </c>
      <c r="K637" s="2">
        <v>26.17</v>
      </c>
      <c r="L637" s="3">
        <v>540.23</v>
      </c>
      <c r="M637" s="3">
        <f>orders_1[[#This Row],[products.Base_Price]]*orders_1[[#This Row],[Quantity]]</f>
        <v>17827.59</v>
      </c>
      <c r="N637" t="s">
        <v>15</v>
      </c>
      <c r="O637" t="s">
        <v>10</v>
      </c>
      <c r="P637" t="s">
        <v>11</v>
      </c>
    </row>
    <row r="638" spans="1:16" x14ac:dyDescent="0.3">
      <c r="A638" s="2">
        <v>10637</v>
      </c>
      <c r="B638" s="2">
        <v>690</v>
      </c>
      <c r="C638" s="2">
        <v>2009</v>
      </c>
      <c r="D638" s="2">
        <v>304</v>
      </c>
      <c r="E638" s="4">
        <v>45451</v>
      </c>
      <c r="F638" s="4">
        <v>45459</v>
      </c>
      <c r="G638" s="2">
        <f t="shared" si="9"/>
        <v>8</v>
      </c>
      <c r="H638" s="2">
        <v>87</v>
      </c>
      <c r="I638" t="s">
        <v>42</v>
      </c>
      <c r="J638" t="s">
        <v>21</v>
      </c>
      <c r="K638" s="2">
        <v>16.82</v>
      </c>
      <c r="L638" s="3">
        <v>376.01</v>
      </c>
      <c r="M638" s="3">
        <f>orders_1[[#This Row],[products.Base_Price]]*orders_1[[#This Row],[Quantity]]</f>
        <v>32712.87</v>
      </c>
      <c r="N638" t="s">
        <v>17</v>
      </c>
      <c r="O638" t="s">
        <v>18</v>
      </c>
      <c r="P638" t="s">
        <v>19</v>
      </c>
    </row>
    <row r="639" spans="1:16" x14ac:dyDescent="0.3">
      <c r="A639" s="2">
        <v>10638</v>
      </c>
      <c r="B639" s="2">
        <v>548</v>
      </c>
      <c r="C639" s="2">
        <v>2058</v>
      </c>
      <c r="D639" s="2">
        <v>306</v>
      </c>
      <c r="E639" s="4">
        <v>45400</v>
      </c>
      <c r="F639" s="4">
        <v>45410</v>
      </c>
      <c r="G639" s="2">
        <f t="shared" si="9"/>
        <v>10</v>
      </c>
      <c r="H639" s="2">
        <v>58</v>
      </c>
      <c r="I639" t="s">
        <v>36</v>
      </c>
      <c r="J639" t="s">
        <v>27</v>
      </c>
      <c r="K639" s="2">
        <v>28.48</v>
      </c>
      <c r="L639" s="3">
        <v>13.34</v>
      </c>
      <c r="M639" s="3">
        <f>orders_1[[#This Row],[products.Base_Price]]*orders_1[[#This Row],[Quantity]]</f>
        <v>773.72</v>
      </c>
      <c r="N639" t="s">
        <v>8</v>
      </c>
      <c r="O639" t="s">
        <v>10</v>
      </c>
      <c r="P639" t="s">
        <v>16</v>
      </c>
    </row>
    <row r="640" spans="1:16" x14ac:dyDescent="0.3">
      <c r="A640" s="2">
        <v>10639</v>
      </c>
      <c r="B640" s="2">
        <v>864</v>
      </c>
      <c r="C640" s="2">
        <v>2010</v>
      </c>
      <c r="D640" s="2">
        <v>310</v>
      </c>
      <c r="E640" s="4">
        <v>45418</v>
      </c>
      <c r="F640" s="4">
        <v>45427</v>
      </c>
      <c r="G640" s="2">
        <f t="shared" si="9"/>
        <v>9</v>
      </c>
      <c r="H640" s="2">
        <v>78</v>
      </c>
      <c r="I640" t="s">
        <v>42</v>
      </c>
      <c r="J640" t="s">
        <v>13</v>
      </c>
      <c r="K640" s="2">
        <v>9.58</v>
      </c>
      <c r="L640" s="3">
        <v>440.93</v>
      </c>
      <c r="M640" s="3">
        <f>orders_1[[#This Row],[products.Base_Price]]*orders_1[[#This Row],[Quantity]]</f>
        <v>34392.54</v>
      </c>
      <c r="N640" t="s">
        <v>26</v>
      </c>
      <c r="O640" t="s">
        <v>25</v>
      </c>
      <c r="P640" t="s">
        <v>11</v>
      </c>
    </row>
    <row r="641" spans="1:16" x14ac:dyDescent="0.3">
      <c r="A641" s="2">
        <v>10640</v>
      </c>
      <c r="B641" s="2">
        <v>740</v>
      </c>
      <c r="C641" s="2">
        <v>2019</v>
      </c>
      <c r="D641" s="2">
        <v>303</v>
      </c>
      <c r="E641" s="4">
        <v>45364</v>
      </c>
      <c r="F641" s="4">
        <v>45369</v>
      </c>
      <c r="G641" s="2">
        <f t="shared" si="9"/>
        <v>5</v>
      </c>
      <c r="H641" s="2">
        <v>95</v>
      </c>
      <c r="I641" t="s">
        <v>42</v>
      </c>
      <c r="J641" t="s">
        <v>22</v>
      </c>
      <c r="K641" s="2">
        <v>27.65</v>
      </c>
      <c r="L641" s="3">
        <v>89.85</v>
      </c>
      <c r="M641" s="3">
        <f>orders_1[[#This Row],[products.Base_Price]]*orders_1[[#This Row],[Quantity]]</f>
        <v>8535.75</v>
      </c>
      <c r="N641" t="s">
        <v>15</v>
      </c>
      <c r="O641" t="s">
        <v>10</v>
      </c>
      <c r="P641" t="s">
        <v>16</v>
      </c>
    </row>
    <row r="642" spans="1:16" x14ac:dyDescent="0.3">
      <c r="A642" s="2">
        <v>10641</v>
      </c>
      <c r="B642" s="2">
        <v>635</v>
      </c>
      <c r="C642" s="2">
        <v>2070</v>
      </c>
      <c r="D642" s="2">
        <v>301</v>
      </c>
      <c r="E642" s="4">
        <v>45294</v>
      </c>
      <c r="F642" s="4">
        <v>45304</v>
      </c>
      <c r="G642" s="2">
        <f t="shared" ref="G642:G705" si="10">F642-E642</f>
        <v>10</v>
      </c>
      <c r="H642" s="2">
        <v>100</v>
      </c>
      <c r="I642" t="s">
        <v>78</v>
      </c>
      <c r="J642" t="s">
        <v>22</v>
      </c>
      <c r="K642" s="2">
        <v>22.6</v>
      </c>
      <c r="L642" s="3">
        <v>196.67</v>
      </c>
      <c r="M642" s="3">
        <f>orders_1[[#This Row],[products.Base_Price]]*orders_1[[#This Row],[Quantity]]</f>
        <v>19667</v>
      </c>
      <c r="N642" t="s">
        <v>8</v>
      </c>
      <c r="O642" t="s">
        <v>10</v>
      </c>
      <c r="P642" t="s">
        <v>11</v>
      </c>
    </row>
    <row r="643" spans="1:16" x14ac:dyDescent="0.3">
      <c r="A643" s="2">
        <v>10642</v>
      </c>
      <c r="B643" s="2">
        <v>818</v>
      </c>
      <c r="C643" s="2">
        <v>2090</v>
      </c>
      <c r="D643" s="2">
        <v>302</v>
      </c>
      <c r="E643" s="4">
        <v>45545</v>
      </c>
      <c r="F643" s="4">
        <v>45547</v>
      </c>
      <c r="G643" s="2">
        <f t="shared" si="10"/>
        <v>2</v>
      </c>
      <c r="H643" s="2">
        <v>92</v>
      </c>
      <c r="I643" t="s">
        <v>39</v>
      </c>
      <c r="J643" t="s">
        <v>22</v>
      </c>
      <c r="K643" s="2">
        <v>38.729999999999997</v>
      </c>
      <c r="L643" s="3">
        <v>913.68</v>
      </c>
      <c r="M643" s="3">
        <f>orders_1[[#This Row],[products.Base_Price]]*orders_1[[#This Row],[Quantity]]</f>
        <v>84058.559999999998</v>
      </c>
      <c r="N643" t="s">
        <v>12</v>
      </c>
      <c r="O643" t="s">
        <v>14</v>
      </c>
      <c r="P643" t="s">
        <v>11</v>
      </c>
    </row>
    <row r="644" spans="1:16" x14ac:dyDescent="0.3">
      <c r="A644" s="2">
        <v>10643</v>
      </c>
      <c r="B644" s="2">
        <v>639</v>
      </c>
      <c r="C644" s="2">
        <v>2028</v>
      </c>
      <c r="D644" s="2">
        <v>303</v>
      </c>
      <c r="E644" s="4">
        <v>45647</v>
      </c>
      <c r="F644" s="4">
        <v>45653</v>
      </c>
      <c r="G644" s="2">
        <f t="shared" si="10"/>
        <v>6</v>
      </c>
      <c r="H644" s="2">
        <v>24</v>
      </c>
      <c r="I644" t="s">
        <v>39</v>
      </c>
      <c r="J644" t="s">
        <v>13</v>
      </c>
      <c r="K644" s="2">
        <v>30.34</v>
      </c>
      <c r="L644" s="3">
        <v>630.65</v>
      </c>
      <c r="M644" s="3">
        <f>orders_1[[#This Row],[products.Base_Price]]*orders_1[[#This Row],[Quantity]]</f>
        <v>15135.599999999999</v>
      </c>
      <c r="N644" t="s">
        <v>15</v>
      </c>
      <c r="O644" t="s">
        <v>10</v>
      </c>
      <c r="P644" t="s">
        <v>16</v>
      </c>
    </row>
    <row r="645" spans="1:16" x14ac:dyDescent="0.3">
      <c r="A645" s="2">
        <v>10644</v>
      </c>
      <c r="B645" s="2">
        <v>774</v>
      </c>
      <c r="C645" s="2">
        <v>2012</v>
      </c>
      <c r="D645" s="2">
        <v>320</v>
      </c>
      <c r="E645" s="4">
        <v>45296</v>
      </c>
      <c r="F645" s="4">
        <v>45300</v>
      </c>
      <c r="G645" s="2">
        <f t="shared" si="10"/>
        <v>4</v>
      </c>
      <c r="H645" s="2">
        <v>3</v>
      </c>
      <c r="I645" t="s">
        <v>42</v>
      </c>
      <c r="J645" t="s">
        <v>21</v>
      </c>
      <c r="K645" s="2">
        <v>34.93</v>
      </c>
      <c r="L645" s="3">
        <v>327.92</v>
      </c>
      <c r="M645" s="3">
        <f>orders_1[[#This Row],[products.Base_Price]]*orders_1[[#This Row],[Quantity]]</f>
        <v>983.76</v>
      </c>
      <c r="N645" t="s">
        <v>15</v>
      </c>
      <c r="O645" t="s">
        <v>25</v>
      </c>
      <c r="P645" t="s">
        <v>11</v>
      </c>
    </row>
    <row r="646" spans="1:16" x14ac:dyDescent="0.3">
      <c r="A646" s="2">
        <v>10645</v>
      </c>
      <c r="B646" s="2">
        <v>809</v>
      </c>
      <c r="C646" s="2">
        <v>2088</v>
      </c>
      <c r="D646" s="2">
        <v>303</v>
      </c>
      <c r="E646" s="4">
        <v>45531</v>
      </c>
      <c r="F646" s="4">
        <v>45536</v>
      </c>
      <c r="G646" s="2">
        <f t="shared" si="10"/>
        <v>5</v>
      </c>
      <c r="H646" s="2">
        <v>70</v>
      </c>
      <c r="I646" t="s">
        <v>78</v>
      </c>
      <c r="J646" t="s">
        <v>13</v>
      </c>
      <c r="K646" s="2">
        <v>27.71</v>
      </c>
      <c r="L646" s="3">
        <v>820.21</v>
      </c>
      <c r="M646" s="3">
        <f>orders_1[[#This Row],[products.Base_Price]]*orders_1[[#This Row],[Quantity]]</f>
        <v>57414.700000000004</v>
      </c>
      <c r="N646" t="s">
        <v>15</v>
      </c>
      <c r="O646" t="s">
        <v>10</v>
      </c>
      <c r="P646" t="s">
        <v>16</v>
      </c>
    </row>
    <row r="647" spans="1:16" x14ac:dyDescent="0.3">
      <c r="A647" s="2">
        <v>10646</v>
      </c>
      <c r="B647" s="2">
        <v>514</v>
      </c>
      <c r="C647" s="2">
        <v>2092</v>
      </c>
      <c r="D647" s="2">
        <v>313</v>
      </c>
      <c r="E647" s="4">
        <v>45644</v>
      </c>
      <c r="F647" s="4">
        <v>45649</v>
      </c>
      <c r="G647" s="2">
        <f t="shared" si="10"/>
        <v>5</v>
      </c>
      <c r="H647" s="2">
        <v>74</v>
      </c>
      <c r="I647" t="s">
        <v>36</v>
      </c>
      <c r="J647" t="s">
        <v>22</v>
      </c>
      <c r="K647" s="2">
        <v>30.97</v>
      </c>
      <c r="L647" s="3">
        <v>521.23</v>
      </c>
      <c r="M647" s="3">
        <f>orders_1[[#This Row],[products.Base_Price]]*orders_1[[#This Row],[Quantity]]</f>
        <v>38571.020000000004</v>
      </c>
      <c r="N647" t="s">
        <v>15</v>
      </c>
      <c r="O647" t="s">
        <v>25</v>
      </c>
      <c r="P647" t="s">
        <v>16</v>
      </c>
    </row>
    <row r="648" spans="1:16" x14ac:dyDescent="0.3">
      <c r="A648" s="2">
        <v>10647</v>
      </c>
      <c r="B648" s="2">
        <v>757</v>
      </c>
      <c r="C648" s="2">
        <v>2052</v>
      </c>
      <c r="D648" s="2">
        <v>310</v>
      </c>
      <c r="E648" s="4">
        <v>45354</v>
      </c>
      <c r="F648" s="4">
        <v>45362</v>
      </c>
      <c r="G648" s="2">
        <f t="shared" si="10"/>
        <v>8</v>
      </c>
      <c r="H648" s="2">
        <v>38</v>
      </c>
      <c r="I648" t="s">
        <v>39</v>
      </c>
      <c r="J648" t="s">
        <v>27</v>
      </c>
      <c r="K648" s="2">
        <v>47.35</v>
      </c>
      <c r="L648" s="3">
        <v>665.2</v>
      </c>
      <c r="M648" s="3">
        <f>orders_1[[#This Row],[products.Base_Price]]*orders_1[[#This Row],[Quantity]]</f>
        <v>25277.600000000002</v>
      </c>
      <c r="N648" t="s">
        <v>26</v>
      </c>
      <c r="O648" t="s">
        <v>25</v>
      </c>
      <c r="P648" t="s">
        <v>11</v>
      </c>
    </row>
    <row r="649" spans="1:16" x14ac:dyDescent="0.3">
      <c r="A649" s="2">
        <v>10648</v>
      </c>
      <c r="B649" s="2">
        <v>856</v>
      </c>
      <c r="C649" s="2">
        <v>2072</v>
      </c>
      <c r="D649" s="2">
        <v>301</v>
      </c>
      <c r="E649" s="4">
        <v>45603</v>
      </c>
      <c r="F649" s="4">
        <v>45610</v>
      </c>
      <c r="G649" s="2">
        <f t="shared" si="10"/>
        <v>7</v>
      </c>
      <c r="H649" s="2">
        <v>89</v>
      </c>
      <c r="I649" t="s">
        <v>36</v>
      </c>
      <c r="J649" t="s">
        <v>9</v>
      </c>
      <c r="K649" s="2">
        <v>26.22</v>
      </c>
      <c r="L649" s="3">
        <v>576.57000000000005</v>
      </c>
      <c r="M649" s="3">
        <f>orders_1[[#This Row],[products.Base_Price]]*orders_1[[#This Row],[Quantity]]</f>
        <v>51314.73</v>
      </c>
      <c r="N649" t="s">
        <v>8</v>
      </c>
      <c r="O649" t="s">
        <v>10</v>
      </c>
      <c r="P649" t="s">
        <v>11</v>
      </c>
    </row>
    <row r="650" spans="1:16" x14ac:dyDescent="0.3">
      <c r="A650" s="2">
        <v>10649</v>
      </c>
      <c r="B650" s="2">
        <v>853</v>
      </c>
      <c r="C650" s="2">
        <v>2035</v>
      </c>
      <c r="D650" s="2">
        <v>310</v>
      </c>
      <c r="E650" s="4">
        <v>45602</v>
      </c>
      <c r="F650" s="4">
        <v>45604</v>
      </c>
      <c r="G650" s="2">
        <f t="shared" si="10"/>
        <v>2</v>
      </c>
      <c r="H650" s="2">
        <v>71</v>
      </c>
      <c r="I650" t="s">
        <v>39</v>
      </c>
      <c r="J650" t="s">
        <v>27</v>
      </c>
      <c r="K650" s="2">
        <v>18.55</v>
      </c>
      <c r="L650" s="3">
        <v>636.37</v>
      </c>
      <c r="M650" s="3">
        <f>orders_1[[#This Row],[products.Base_Price]]*orders_1[[#This Row],[Quantity]]</f>
        <v>45182.27</v>
      </c>
      <c r="N650" t="s">
        <v>26</v>
      </c>
      <c r="O650" t="s">
        <v>25</v>
      </c>
      <c r="P650" t="s">
        <v>11</v>
      </c>
    </row>
    <row r="651" spans="1:16" x14ac:dyDescent="0.3">
      <c r="A651" s="2">
        <v>10650</v>
      </c>
      <c r="B651" s="2">
        <v>731</v>
      </c>
      <c r="C651" s="2">
        <v>2089</v>
      </c>
      <c r="D651" s="2">
        <v>318</v>
      </c>
      <c r="E651" s="4">
        <v>45583</v>
      </c>
      <c r="F651" s="4">
        <v>45589</v>
      </c>
      <c r="G651" s="2">
        <f t="shared" si="10"/>
        <v>6</v>
      </c>
      <c r="H651" s="2">
        <v>48</v>
      </c>
      <c r="I651" t="s">
        <v>78</v>
      </c>
      <c r="J651" t="s">
        <v>22</v>
      </c>
      <c r="K651" s="2">
        <v>19.170000000000002</v>
      </c>
      <c r="L651" s="3">
        <v>513.33000000000004</v>
      </c>
      <c r="M651" s="3">
        <f>orders_1[[#This Row],[products.Base_Price]]*orders_1[[#This Row],[Quantity]]</f>
        <v>24639.840000000004</v>
      </c>
      <c r="N651" t="s">
        <v>17</v>
      </c>
      <c r="O651" t="s">
        <v>10</v>
      </c>
      <c r="P651" t="s">
        <v>19</v>
      </c>
    </row>
    <row r="652" spans="1:16" x14ac:dyDescent="0.3">
      <c r="A652" s="2">
        <v>10651</v>
      </c>
      <c r="B652" s="2">
        <v>666</v>
      </c>
      <c r="C652" s="2">
        <v>2089</v>
      </c>
      <c r="D652" s="2">
        <v>308</v>
      </c>
      <c r="E652" s="4">
        <v>45626</v>
      </c>
      <c r="F652" s="4">
        <v>45629</v>
      </c>
      <c r="G652" s="2">
        <f t="shared" si="10"/>
        <v>3</v>
      </c>
      <c r="H652" s="2">
        <v>26</v>
      </c>
      <c r="I652" t="s">
        <v>39</v>
      </c>
      <c r="J652" t="s">
        <v>22</v>
      </c>
      <c r="K652" s="2">
        <v>19.170000000000002</v>
      </c>
      <c r="L652" s="3">
        <v>513.33000000000004</v>
      </c>
      <c r="M652" s="3">
        <f>orders_1[[#This Row],[products.Base_Price]]*orders_1[[#This Row],[Quantity]]</f>
        <v>13346.580000000002</v>
      </c>
      <c r="N652" t="s">
        <v>23</v>
      </c>
      <c r="O652" t="s">
        <v>14</v>
      </c>
      <c r="P652" t="s">
        <v>19</v>
      </c>
    </row>
    <row r="653" spans="1:16" x14ac:dyDescent="0.3">
      <c r="A653" s="2">
        <v>10652</v>
      </c>
      <c r="B653" s="2">
        <v>752</v>
      </c>
      <c r="C653" s="2">
        <v>2035</v>
      </c>
      <c r="D653" s="2">
        <v>306</v>
      </c>
      <c r="E653" s="4">
        <v>45651</v>
      </c>
      <c r="F653" s="4">
        <v>45655</v>
      </c>
      <c r="G653" s="2">
        <f t="shared" si="10"/>
        <v>4</v>
      </c>
      <c r="H653" s="2">
        <v>72</v>
      </c>
      <c r="I653" t="s">
        <v>42</v>
      </c>
      <c r="J653" t="s">
        <v>27</v>
      </c>
      <c r="K653" s="2">
        <v>18.55</v>
      </c>
      <c r="L653" s="3">
        <v>636.37</v>
      </c>
      <c r="M653" s="3">
        <f>orders_1[[#This Row],[products.Base_Price]]*orders_1[[#This Row],[Quantity]]</f>
        <v>45818.64</v>
      </c>
      <c r="N653" t="s">
        <v>8</v>
      </c>
      <c r="O653" t="s">
        <v>10</v>
      </c>
      <c r="P653" t="s">
        <v>16</v>
      </c>
    </row>
    <row r="654" spans="1:16" x14ac:dyDescent="0.3">
      <c r="A654" s="2">
        <v>10653</v>
      </c>
      <c r="B654" s="2">
        <v>589</v>
      </c>
      <c r="C654" s="2">
        <v>2043</v>
      </c>
      <c r="D654" s="2">
        <v>303</v>
      </c>
      <c r="E654" s="4">
        <v>45638</v>
      </c>
      <c r="F654" s="4">
        <v>45645</v>
      </c>
      <c r="G654" s="2">
        <f t="shared" si="10"/>
        <v>7</v>
      </c>
      <c r="H654" s="2">
        <v>98</v>
      </c>
      <c r="I654" t="s">
        <v>39</v>
      </c>
      <c r="J654" t="s">
        <v>27</v>
      </c>
      <c r="K654" s="2">
        <v>14.98</v>
      </c>
      <c r="L654" s="3">
        <v>375.85</v>
      </c>
      <c r="M654" s="3">
        <f>orders_1[[#This Row],[products.Base_Price]]*orders_1[[#This Row],[Quantity]]</f>
        <v>36833.300000000003</v>
      </c>
      <c r="N654" t="s">
        <v>15</v>
      </c>
      <c r="O654" t="s">
        <v>10</v>
      </c>
      <c r="P654" t="s">
        <v>16</v>
      </c>
    </row>
    <row r="655" spans="1:16" x14ac:dyDescent="0.3">
      <c r="A655" s="2">
        <v>10654</v>
      </c>
      <c r="B655" s="2">
        <v>824</v>
      </c>
      <c r="C655" s="2">
        <v>2031</v>
      </c>
      <c r="D655" s="2">
        <v>306</v>
      </c>
      <c r="E655" s="4">
        <v>45368</v>
      </c>
      <c r="F655" s="4">
        <v>45378</v>
      </c>
      <c r="G655" s="2">
        <f t="shared" si="10"/>
        <v>10</v>
      </c>
      <c r="H655" s="2">
        <v>29</v>
      </c>
      <c r="I655" t="s">
        <v>78</v>
      </c>
      <c r="J655" t="s">
        <v>27</v>
      </c>
      <c r="K655" s="2">
        <v>24.61</v>
      </c>
      <c r="L655" s="3">
        <v>342.86</v>
      </c>
      <c r="M655" s="3">
        <f>orders_1[[#This Row],[products.Base_Price]]*orders_1[[#This Row],[Quantity]]</f>
        <v>9942.94</v>
      </c>
      <c r="N655" t="s">
        <v>8</v>
      </c>
      <c r="O655" t="s">
        <v>10</v>
      </c>
      <c r="P655" t="s">
        <v>16</v>
      </c>
    </row>
    <row r="656" spans="1:16" x14ac:dyDescent="0.3">
      <c r="A656" s="2">
        <v>10655</v>
      </c>
      <c r="B656" s="2">
        <v>708</v>
      </c>
      <c r="C656" s="2">
        <v>2034</v>
      </c>
      <c r="D656" s="2">
        <v>314</v>
      </c>
      <c r="E656" s="4">
        <v>45589</v>
      </c>
      <c r="F656" s="4">
        <v>45598</v>
      </c>
      <c r="G656" s="2">
        <f t="shared" si="10"/>
        <v>9</v>
      </c>
      <c r="H656" s="2">
        <v>99</v>
      </c>
      <c r="I656" t="s">
        <v>36</v>
      </c>
      <c r="J656" t="s">
        <v>27</v>
      </c>
      <c r="K656" s="2">
        <v>26.17</v>
      </c>
      <c r="L656" s="3">
        <v>540.23</v>
      </c>
      <c r="M656" s="3">
        <f>orders_1[[#This Row],[products.Base_Price]]*orders_1[[#This Row],[Quantity]]</f>
        <v>53482.770000000004</v>
      </c>
      <c r="N656" t="s">
        <v>17</v>
      </c>
      <c r="O656" t="s">
        <v>14</v>
      </c>
      <c r="P656" t="s">
        <v>19</v>
      </c>
    </row>
    <row r="657" spans="1:16" x14ac:dyDescent="0.3">
      <c r="A657" s="2">
        <v>10656</v>
      </c>
      <c r="B657" s="2">
        <v>538</v>
      </c>
      <c r="C657" s="2">
        <v>2093</v>
      </c>
      <c r="D657" s="2">
        <v>316</v>
      </c>
      <c r="E657" s="4">
        <v>45495</v>
      </c>
      <c r="F657" s="4">
        <v>45496</v>
      </c>
      <c r="G657" s="2">
        <f t="shared" si="10"/>
        <v>1</v>
      </c>
      <c r="H657" s="2">
        <v>46</v>
      </c>
      <c r="I657" t="s">
        <v>36</v>
      </c>
      <c r="J657" t="s">
        <v>9</v>
      </c>
      <c r="K657" s="2">
        <v>25.73</v>
      </c>
      <c r="L657" s="3">
        <v>537.69000000000005</v>
      </c>
      <c r="M657" s="3">
        <f>orders_1[[#This Row],[products.Base_Price]]*orders_1[[#This Row],[Quantity]]</f>
        <v>24733.74</v>
      </c>
      <c r="N657" t="s">
        <v>24</v>
      </c>
      <c r="O657" t="s">
        <v>25</v>
      </c>
      <c r="P657" t="s">
        <v>19</v>
      </c>
    </row>
    <row r="658" spans="1:16" x14ac:dyDescent="0.3">
      <c r="A658" s="2">
        <v>10657</v>
      </c>
      <c r="B658" s="2">
        <v>611</v>
      </c>
      <c r="C658" s="2">
        <v>2056</v>
      </c>
      <c r="D658" s="2">
        <v>303</v>
      </c>
      <c r="E658" s="4">
        <v>45441</v>
      </c>
      <c r="F658" s="4">
        <v>45442</v>
      </c>
      <c r="G658" s="2">
        <f t="shared" si="10"/>
        <v>1</v>
      </c>
      <c r="H658" s="2">
        <v>48</v>
      </c>
      <c r="I658" t="s">
        <v>42</v>
      </c>
      <c r="J658" t="s">
        <v>9</v>
      </c>
      <c r="K658" s="2">
        <v>18.559999999999999</v>
      </c>
      <c r="L658" s="3">
        <v>564.01</v>
      </c>
      <c r="M658" s="3">
        <f>orders_1[[#This Row],[products.Base_Price]]*orders_1[[#This Row],[Quantity]]</f>
        <v>27072.48</v>
      </c>
      <c r="N658" t="s">
        <v>15</v>
      </c>
      <c r="O658" t="s">
        <v>10</v>
      </c>
      <c r="P658" t="s">
        <v>16</v>
      </c>
    </row>
    <row r="659" spans="1:16" x14ac:dyDescent="0.3">
      <c r="A659" s="2">
        <v>10658</v>
      </c>
      <c r="B659" s="2">
        <v>565</v>
      </c>
      <c r="C659" s="2">
        <v>2008</v>
      </c>
      <c r="D659" s="2">
        <v>316</v>
      </c>
      <c r="E659" s="4">
        <v>45337</v>
      </c>
      <c r="F659" s="4">
        <v>45346</v>
      </c>
      <c r="G659" s="2">
        <f t="shared" si="10"/>
        <v>9</v>
      </c>
      <c r="H659" s="2">
        <v>19</v>
      </c>
      <c r="I659" t="s">
        <v>78</v>
      </c>
      <c r="J659" t="s">
        <v>21</v>
      </c>
      <c r="K659" s="2">
        <v>8.5</v>
      </c>
      <c r="L659" s="3">
        <v>899.21</v>
      </c>
      <c r="M659" s="3">
        <f>orders_1[[#This Row],[products.Base_Price]]*orders_1[[#This Row],[Quantity]]</f>
        <v>17084.990000000002</v>
      </c>
      <c r="N659" t="s">
        <v>24</v>
      </c>
      <c r="O659" t="s">
        <v>25</v>
      </c>
      <c r="P659" t="s">
        <v>19</v>
      </c>
    </row>
    <row r="660" spans="1:16" x14ac:dyDescent="0.3">
      <c r="A660" s="2">
        <v>10659</v>
      </c>
      <c r="B660" s="2">
        <v>578</v>
      </c>
      <c r="C660" s="2">
        <v>2008</v>
      </c>
      <c r="D660" s="2">
        <v>315</v>
      </c>
      <c r="E660" s="4">
        <v>45577</v>
      </c>
      <c r="F660" s="4">
        <v>45587</v>
      </c>
      <c r="G660" s="2">
        <f t="shared" si="10"/>
        <v>10</v>
      </c>
      <c r="H660" s="2">
        <v>51</v>
      </c>
      <c r="I660" t="s">
        <v>42</v>
      </c>
      <c r="J660" t="s">
        <v>21</v>
      </c>
      <c r="K660" s="2">
        <v>8.5</v>
      </c>
      <c r="L660" s="3">
        <v>899.21</v>
      </c>
      <c r="M660" s="3">
        <f>orders_1[[#This Row],[products.Base_Price]]*orders_1[[#This Row],[Quantity]]</f>
        <v>45859.71</v>
      </c>
      <c r="N660" t="s">
        <v>15</v>
      </c>
      <c r="O660" t="s">
        <v>25</v>
      </c>
      <c r="P660" t="s">
        <v>19</v>
      </c>
    </row>
    <row r="661" spans="1:16" x14ac:dyDescent="0.3">
      <c r="A661" s="2">
        <v>10660</v>
      </c>
      <c r="B661" s="2">
        <v>893</v>
      </c>
      <c r="C661" s="2">
        <v>2048</v>
      </c>
      <c r="D661" s="2">
        <v>314</v>
      </c>
      <c r="E661" s="4">
        <v>45350</v>
      </c>
      <c r="F661" s="4">
        <v>45352</v>
      </c>
      <c r="G661" s="2">
        <f t="shared" si="10"/>
        <v>2</v>
      </c>
      <c r="H661" s="2">
        <v>76</v>
      </c>
      <c r="I661" t="s">
        <v>36</v>
      </c>
      <c r="J661" t="s">
        <v>22</v>
      </c>
      <c r="K661" s="2">
        <v>6.74</v>
      </c>
      <c r="L661" s="3">
        <v>864.57</v>
      </c>
      <c r="M661" s="3">
        <f>orders_1[[#This Row],[products.Base_Price]]*orders_1[[#This Row],[Quantity]]</f>
        <v>65707.320000000007</v>
      </c>
      <c r="N661" t="s">
        <v>17</v>
      </c>
      <c r="O661" t="s">
        <v>14</v>
      </c>
      <c r="P661" t="s">
        <v>19</v>
      </c>
    </row>
    <row r="662" spans="1:16" x14ac:dyDescent="0.3">
      <c r="A662" s="2">
        <v>10661</v>
      </c>
      <c r="B662" s="2">
        <v>593</v>
      </c>
      <c r="C662" s="2">
        <v>2059</v>
      </c>
      <c r="D662" s="2">
        <v>312</v>
      </c>
      <c r="E662" s="4">
        <v>45467</v>
      </c>
      <c r="F662" s="4">
        <v>45475</v>
      </c>
      <c r="G662" s="2">
        <f t="shared" si="10"/>
        <v>8</v>
      </c>
      <c r="H662" s="2">
        <v>76</v>
      </c>
      <c r="I662" t="s">
        <v>42</v>
      </c>
      <c r="J662" t="s">
        <v>9</v>
      </c>
      <c r="K662" s="2">
        <v>17.760000000000002</v>
      </c>
      <c r="L662" s="3">
        <v>279.55</v>
      </c>
      <c r="M662" s="3">
        <f>orders_1[[#This Row],[products.Base_Price]]*orders_1[[#This Row],[Quantity]]</f>
        <v>21245.8</v>
      </c>
      <c r="N662" t="s">
        <v>15</v>
      </c>
      <c r="O662" t="s">
        <v>10</v>
      </c>
      <c r="P662" t="s">
        <v>11</v>
      </c>
    </row>
    <row r="663" spans="1:16" x14ac:dyDescent="0.3">
      <c r="A663" s="2">
        <v>10662</v>
      </c>
      <c r="B663" s="2">
        <v>846</v>
      </c>
      <c r="C663" s="2">
        <v>2049</v>
      </c>
      <c r="D663" s="2">
        <v>320</v>
      </c>
      <c r="E663" s="4">
        <v>45375</v>
      </c>
      <c r="F663" s="4">
        <v>45376</v>
      </c>
      <c r="G663" s="2">
        <f t="shared" si="10"/>
        <v>1</v>
      </c>
      <c r="H663" s="2">
        <v>32</v>
      </c>
      <c r="I663" t="s">
        <v>78</v>
      </c>
      <c r="J663" t="s">
        <v>27</v>
      </c>
      <c r="K663" s="2">
        <v>17.52</v>
      </c>
      <c r="L663" s="3">
        <v>832.77</v>
      </c>
      <c r="M663" s="3">
        <f>orders_1[[#This Row],[products.Base_Price]]*orders_1[[#This Row],[Quantity]]</f>
        <v>26648.639999999999</v>
      </c>
      <c r="N663" t="s">
        <v>15</v>
      </c>
      <c r="O663" t="s">
        <v>25</v>
      </c>
      <c r="P663" t="s">
        <v>11</v>
      </c>
    </row>
    <row r="664" spans="1:16" x14ac:dyDescent="0.3">
      <c r="A664" s="2">
        <v>10663</v>
      </c>
      <c r="B664" s="2">
        <v>589</v>
      </c>
      <c r="C664" s="2">
        <v>2006</v>
      </c>
      <c r="D664" s="2">
        <v>314</v>
      </c>
      <c r="E664" s="4">
        <v>45489</v>
      </c>
      <c r="F664" s="4">
        <v>45493</v>
      </c>
      <c r="G664" s="2">
        <f t="shared" si="10"/>
        <v>4</v>
      </c>
      <c r="H664" s="2">
        <v>77</v>
      </c>
      <c r="I664" t="s">
        <v>39</v>
      </c>
      <c r="J664" t="s">
        <v>22</v>
      </c>
      <c r="K664" s="2">
        <v>41.47</v>
      </c>
      <c r="L664" s="3">
        <v>541.85</v>
      </c>
      <c r="M664" s="3">
        <f>orders_1[[#This Row],[products.Base_Price]]*orders_1[[#This Row],[Quantity]]</f>
        <v>41722.450000000004</v>
      </c>
      <c r="N664" t="s">
        <v>17</v>
      </c>
      <c r="O664" t="s">
        <v>14</v>
      </c>
      <c r="P664" t="s">
        <v>19</v>
      </c>
    </row>
    <row r="665" spans="1:16" x14ac:dyDescent="0.3">
      <c r="A665" s="2">
        <v>10664</v>
      </c>
      <c r="B665" s="2">
        <v>714</v>
      </c>
      <c r="C665" s="2">
        <v>2027</v>
      </c>
      <c r="D665" s="2">
        <v>315</v>
      </c>
      <c r="E665" s="4">
        <v>45345</v>
      </c>
      <c r="F665" s="4">
        <v>45355</v>
      </c>
      <c r="G665" s="2">
        <f t="shared" si="10"/>
        <v>10</v>
      </c>
      <c r="H665" s="2">
        <v>59</v>
      </c>
      <c r="I665" t="s">
        <v>39</v>
      </c>
      <c r="J665" t="s">
        <v>13</v>
      </c>
      <c r="K665" s="2">
        <v>45.95</v>
      </c>
      <c r="L665" s="3">
        <v>454.58</v>
      </c>
      <c r="M665" s="3">
        <f>orders_1[[#This Row],[products.Base_Price]]*orders_1[[#This Row],[Quantity]]</f>
        <v>26820.219999999998</v>
      </c>
      <c r="N665" t="s">
        <v>15</v>
      </c>
      <c r="O665" t="s">
        <v>25</v>
      </c>
      <c r="P665" t="s">
        <v>19</v>
      </c>
    </row>
    <row r="666" spans="1:16" x14ac:dyDescent="0.3">
      <c r="A666" s="2">
        <v>10665</v>
      </c>
      <c r="B666" s="2">
        <v>764</v>
      </c>
      <c r="C666" s="2">
        <v>2013</v>
      </c>
      <c r="D666" s="2">
        <v>306</v>
      </c>
      <c r="E666" s="4">
        <v>45331</v>
      </c>
      <c r="F666" s="4">
        <v>45338</v>
      </c>
      <c r="G666" s="2">
        <f t="shared" si="10"/>
        <v>7</v>
      </c>
      <c r="H666" s="2">
        <v>93</v>
      </c>
      <c r="I666" t="s">
        <v>42</v>
      </c>
      <c r="J666" t="s">
        <v>13</v>
      </c>
      <c r="K666" s="2">
        <v>19.53</v>
      </c>
      <c r="L666" s="3">
        <v>563.69000000000005</v>
      </c>
      <c r="M666" s="3">
        <f>orders_1[[#This Row],[products.Base_Price]]*orders_1[[#This Row],[Quantity]]</f>
        <v>52423.170000000006</v>
      </c>
      <c r="N666" t="s">
        <v>8</v>
      </c>
      <c r="O666" t="s">
        <v>10</v>
      </c>
      <c r="P666" t="s">
        <v>16</v>
      </c>
    </row>
    <row r="667" spans="1:16" x14ac:dyDescent="0.3">
      <c r="A667" s="2">
        <v>10666</v>
      </c>
      <c r="B667" s="2">
        <v>519</v>
      </c>
      <c r="C667" s="2">
        <v>2098</v>
      </c>
      <c r="D667" s="2">
        <v>308</v>
      </c>
      <c r="E667" s="4">
        <v>45347</v>
      </c>
      <c r="F667" s="4">
        <v>45351</v>
      </c>
      <c r="G667" s="2">
        <f t="shared" si="10"/>
        <v>4</v>
      </c>
      <c r="H667" s="2">
        <v>66</v>
      </c>
      <c r="I667" t="s">
        <v>39</v>
      </c>
      <c r="J667" t="s">
        <v>13</v>
      </c>
      <c r="K667" s="2">
        <v>25.35</v>
      </c>
      <c r="L667" s="3">
        <v>571.58000000000004</v>
      </c>
      <c r="M667" s="3">
        <f>orders_1[[#This Row],[products.Base_Price]]*orders_1[[#This Row],[Quantity]]</f>
        <v>37724.280000000006</v>
      </c>
      <c r="N667" t="s">
        <v>23</v>
      </c>
      <c r="O667" t="s">
        <v>14</v>
      </c>
      <c r="P667" t="s">
        <v>19</v>
      </c>
    </row>
    <row r="668" spans="1:16" x14ac:dyDescent="0.3">
      <c r="A668" s="2">
        <v>10667</v>
      </c>
      <c r="B668" s="2">
        <v>551</v>
      </c>
      <c r="C668" s="2">
        <v>2090</v>
      </c>
      <c r="D668" s="2">
        <v>303</v>
      </c>
      <c r="E668" s="4">
        <v>45574</v>
      </c>
      <c r="F668" s="4">
        <v>45576</v>
      </c>
      <c r="G668" s="2">
        <f t="shared" si="10"/>
        <v>2</v>
      </c>
      <c r="H668" s="2">
        <v>76</v>
      </c>
      <c r="I668" t="s">
        <v>78</v>
      </c>
      <c r="J668" t="s">
        <v>22</v>
      </c>
      <c r="K668" s="2">
        <v>38.729999999999997</v>
      </c>
      <c r="L668" s="3">
        <v>913.68</v>
      </c>
      <c r="M668" s="3">
        <f>orders_1[[#This Row],[products.Base_Price]]*orders_1[[#This Row],[Quantity]]</f>
        <v>69439.679999999993</v>
      </c>
      <c r="N668" t="s">
        <v>15</v>
      </c>
      <c r="O668" t="s">
        <v>10</v>
      </c>
      <c r="P668" t="s">
        <v>16</v>
      </c>
    </row>
    <row r="669" spans="1:16" x14ac:dyDescent="0.3">
      <c r="A669" s="2">
        <v>10668</v>
      </c>
      <c r="B669" s="2">
        <v>691</v>
      </c>
      <c r="C669" s="2">
        <v>2009</v>
      </c>
      <c r="D669" s="2">
        <v>307</v>
      </c>
      <c r="E669" s="4">
        <v>45306</v>
      </c>
      <c r="F669" s="4">
        <v>45309</v>
      </c>
      <c r="G669" s="2">
        <f t="shared" si="10"/>
        <v>3</v>
      </c>
      <c r="H669" s="2">
        <v>53</v>
      </c>
      <c r="I669" t="s">
        <v>36</v>
      </c>
      <c r="J669" t="s">
        <v>21</v>
      </c>
      <c r="K669" s="2">
        <v>16.82</v>
      </c>
      <c r="L669" s="3">
        <v>376.01</v>
      </c>
      <c r="M669" s="3">
        <f>orders_1[[#This Row],[products.Base_Price]]*orders_1[[#This Row],[Quantity]]</f>
        <v>19928.53</v>
      </c>
      <c r="N669" t="s">
        <v>17</v>
      </c>
      <c r="O669" t="s">
        <v>10</v>
      </c>
      <c r="P669" t="s">
        <v>11</v>
      </c>
    </row>
    <row r="670" spans="1:16" x14ac:dyDescent="0.3">
      <c r="A670" s="2">
        <v>10669</v>
      </c>
      <c r="B670" s="2">
        <v>784</v>
      </c>
      <c r="C670" s="2">
        <v>2053</v>
      </c>
      <c r="D670" s="2">
        <v>316</v>
      </c>
      <c r="E670" s="4">
        <v>45640</v>
      </c>
      <c r="F670" s="4">
        <v>45645</v>
      </c>
      <c r="G670" s="2">
        <f t="shared" si="10"/>
        <v>5</v>
      </c>
      <c r="H670" s="2">
        <v>82</v>
      </c>
      <c r="I670" t="s">
        <v>36</v>
      </c>
      <c r="J670" t="s">
        <v>22</v>
      </c>
      <c r="K670" s="2">
        <v>34.54</v>
      </c>
      <c r="L670" s="3">
        <v>162.21</v>
      </c>
      <c r="M670" s="3">
        <f>orders_1[[#This Row],[products.Base_Price]]*orders_1[[#This Row],[Quantity]]</f>
        <v>13301.220000000001</v>
      </c>
      <c r="N670" t="s">
        <v>24</v>
      </c>
      <c r="O670" t="s">
        <v>25</v>
      </c>
      <c r="P670" t="s">
        <v>19</v>
      </c>
    </row>
    <row r="671" spans="1:16" x14ac:dyDescent="0.3">
      <c r="A671" s="2">
        <v>10670</v>
      </c>
      <c r="B671" s="2">
        <v>809</v>
      </c>
      <c r="C671" s="2">
        <v>2055</v>
      </c>
      <c r="D671" s="2">
        <v>304</v>
      </c>
      <c r="E671" s="4">
        <v>45499</v>
      </c>
      <c r="F671" s="4">
        <v>45508</v>
      </c>
      <c r="G671" s="2">
        <f t="shared" si="10"/>
        <v>9</v>
      </c>
      <c r="H671" s="2">
        <v>81</v>
      </c>
      <c r="I671" t="s">
        <v>78</v>
      </c>
      <c r="J671" t="s">
        <v>27</v>
      </c>
      <c r="K671" s="2">
        <v>26.24</v>
      </c>
      <c r="L671" s="3">
        <v>312.67</v>
      </c>
      <c r="M671" s="3">
        <f>orders_1[[#This Row],[products.Base_Price]]*orders_1[[#This Row],[Quantity]]</f>
        <v>25326.27</v>
      </c>
      <c r="N671" t="s">
        <v>17</v>
      </c>
      <c r="O671" t="s">
        <v>18</v>
      </c>
      <c r="P671" t="s">
        <v>19</v>
      </c>
    </row>
    <row r="672" spans="1:16" x14ac:dyDescent="0.3">
      <c r="A672" s="2">
        <v>10671</v>
      </c>
      <c r="B672" s="2">
        <v>821</v>
      </c>
      <c r="C672" s="2">
        <v>2046</v>
      </c>
      <c r="D672" s="2">
        <v>314</v>
      </c>
      <c r="E672" s="4">
        <v>45490</v>
      </c>
      <c r="F672" s="4">
        <v>45500</v>
      </c>
      <c r="G672" s="2">
        <f t="shared" si="10"/>
        <v>10</v>
      </c>
      <c r="H672" s="2">
        <v>17</v>
      </c>
      <c r="I672" t="s">
        <v>36</v>
      </c>
      <c r="J672" t="s">
        <v>27</v>
      </c>
      <c r="K672" s="2">
        <v>38.130000000000003</v>
      </c>
      <c r="L672" s="3">
        <v>649.34</v>
      </c>
      <c r="M672" s="3">
        <f>orders_1[[#This Row],[products.Base_Price]]*orders_1[[#This Row],[Quantity]]</f>
        <v>11038.78</v>
      </c>
      <c r="N672" t="s">
        <v>17</v>
      </c>
      <c r="O672" t="s">
        <v>14</v>
      </c>
      <c r="P672" t="s">
        <v>19</v>
      </c>
    </row>
    <row r="673" spans="1:16" x14ac:dyDescent="0.3">
      <c r="A673" s="2">
        <v>10672</v>
      </c>
      <c r="B673" s="2">
        <v>822</v>
      </c>
      <c r="C673" s="2">
        <v>2011</v>
      </c>
      <c r="D673" s="2">
        <v>305</v>
      </c>
      <c r="E673" s="4">
        <v>45624</v>
      </c>
      <c r="F673" s="4">
        <v>45628</v>
      </c>
      <c r="G673" s="2">
        <f t="shared" si="10"/>
        <v>4</v>
      </c>
      <c r="H673" s="2">
        <v>54</v>
      </c>
      <c r="I673" t="s">
        <v>42</v>
      </c>
      <c r="J673" t="s">
        <v>21</v>
      </c>
      <c r="K673" s="2">
        <v>12.75</v>
      </c>
      <c r="L673" s="3">
        <v>987.99</v>
      </c>
      <c r="M673" s="3">
        <f>orders_1[[#This Row],[products.Base_Price]]*orders_1[[#This Row],[Quantity]]</f>
        <v>53351.46</v>
      </c>
      <c r="N673" t="s">
        <v>20</v>
      </c>
      <c r="O673" t="s">
        <v>10</v>
      </c>
      <c r="P673" t="s">
        <v>19</v>
      </c>
    </row>
    <row r="674" spans="1:16" x14ac:dyDescent="0.3">
      <c r="A674" s="2">
        <v>10673</v>
      </c>
      <c r="B674" s="2">
        <v>518</v>
      </c>
      <c r="C674" s="2">
        <v>2015</v>
      </c>
      <c r="D674" s="2">
        <v>306</v>
      </c>
      <c r="E674" s="4">
        <v>45631</v>
      </c>
      <c r="F674" s="4">
        <v>45637</v>
      </c>
      <c r="G674" s="2">
        <f t="shared" si="10"/>
        <v>6</v>
      </c>
      <c r="H674" s="2">
        <v>87</v>
      </c>
      <c r="I674" t="s">
        <v>36</v>
      </c>
      <c r="J674" t="s">
        <v>13</v>
      </c>
      <c r="K674" s="2">
        <v>35.520000000000003</v>
      </c>
      <c r="L674" s="3">
        <v>638.11</v>
      </c>
      <c r="M674" s="3">
        <f>orders_1[[#This Row],[products.Base_Price]]*orders_1[[#This Row],[Quantity]]</f>
        <v>55515.57</v>
      </c>
      <c r="N674" t="s">
        <v>8</v>
      </c>
      <c r="O674" t="s">
        <v>10</v>
      </c>
      <c r="P674" t="s">
        <v>16</v>
      </c>
    </row>
    <row r="675" spans="1:16" x14ac:dyDescent="0.3">
      <c r="A675" s="2">
        <v>10674</v>
      </c>
      <c r="B675" s="2">
        <v>797</v>
      </c>
      <c r="C675" s="2">
        <v>2004</v>
      </c>
      <c r="D675" s="2">
        <v>310</v>
      </c>
      <c r="E675" s="4">
        <v>45427</v>
      </c>
      <c r="F675" s="4">
        <v>45429</v>
      </c>
      <c r="G675" s="2">
        <f t="shared" si="10"/>
        <v>2</v>
      </c>
      <c r="H675" s="2">
        <v>36</v>
      </c>
      <c r="I675" t="s">
        <v>39</v>
      </c>
      <c r="J675" t="s">
        <v>9</v>
      </c>
      <c r="K675" s="2">
        <v>4.34</v>
      </c>
      <c r="L675" s="3">
        <v>52.14</v>
      </c>
      <c r="M675" s="3">
        <f>orders_1[[#This Row],[products.Base_Price]]*orders_1[[#This Row],[Quantity]]</f>
        <v>1877.04</v>
      </c>
      <c r="N675" t="s">
        <v>26</v>
      </c>
      <c r="O675" t="s">
        <v>25</v>
      </c>
      <c r="P675" t="s">
        <v>11</v>
      </c>
    </row>
    <row r="676" spans="1:16" x14ac:dyDescent="0.3">
      <c r="A676" s="2">
        <v>10675</v>
      </c>
      <c r="B676" s="2">
        <v>669</v>
      </c>
      <c r="C676" s="2">
        <v>2011</v>
      </c>
      <c r="D676" s="2">
        <v>311</v>
      </c>
      <c r="E676" s="4">
        <v>45565</v>
      </c>
      <c r="F676" s="4">
        <v>45571</v>
      </c>
      <c r="G676" s="2">
        <f t="shared" si="10"/>
        <v>6</v>
      </c>
      <c r="H676" s="2">
        <v>57</v>
      </c>
      <c r="I676" t="s">
        <v>36</v>
      </c>
      <c r="J676" t="s">
        <v>21</v>
      </c>
      <c r="K676" s="2">
        <v>12.75</v>
      </c>
      <c r="L676" s="3">
        <v>987.99</v>
      </c>
      <c r="M676" s="3">
        <f>orders_1[[#This Row],[products.Base_Price]]*orders_1[[#This Row],[Quantity]]</f>
        <v>56315.43</v>
      </c>
      <c r="N676" t="s">
        <v>26</v>
      </c>
      <c r="O676" t="s">
        <v>10</v>
      </c>
      <c r="P676" t="s">
        <v>11</v>
      </c>
    </row>
    <row r="677" spans="1:16" x14ac:dyDescent="0.3">
      <c r="A677" s="2">
        <v>10676</v>
      </c>
      <c r="B677" s="2">
        <v>592</v>
      </c>
      <c r="C677" s="2">
        <v>2055</v>
      </c>
      <c r="D677" s="2">
        <v>314</v>
      </c>
      <c r="E677" s="4">
        <v>45454</v>
      </c>
      <c r="F677" s="4">
        <v>45456</v>
      </c>
      <c r="G677" s="2">
        <f t="shared" si="10"/>
        <v>2</v>
      </c>
      <c r="H677" s="2">
        <v>70</v>
      </c>
      <c r="I677" t="s">
        <v>39</v>
      </c>
      <c r="J677" t="s">
        <v>27</v>
      </c>
      <c r="K677" s="2">
        <v>26.24</v>
      </c>
      <c r="L677" s="3">
        <v>312.67</v>
      </c>
      <c r="M677" s="3">
        <f>orders_1[[#This Row],[products.Base_Price]]*orders_1[[#This Row],[Quantity]]</f>
        <v>21886.9</v>
      </c>
      <c r="N677" t="s">
        <v>17</v>
      </c>
      <c r="O677" t="s">
        <v>14</v>
      </c>
      <c r="P677" t="s">
        <v>19</v>
      </c>
    </row>
    <row r="678" spans="1:16" x14ac:dyDescent="0.3">
      <c r="A678" s="2">
        <v>10677</v>
      </c>
      <c r="B678" s="2">
        <v>742</v>
      </c>
      <c r="C678" s="2">
        <v>2072</v>
      </c>
      <c r="D678" s="2">
        <v>305</v>
      </c>
      <c r="E678" s="4">
        <v>45351</v>
      </c>
      <c r="F678" s="4">
        <v>45353</v>
      </c>
      <c r="G678" s="2">
        <f t="shared" si="10"/>
        <v>2</v>
      </c>
      <c r="H678" s="2">
        <v>2</v>
      </c>
      <c r="I678" t="s">
        <v>42</v>
      </c>
      <c r="J678" t="s">
        <v>9</v>
      </c>
      <c r="K678" s="2">
        <v>26.22</v>
      </c>
      <c r="L678" s="3">
        <v>576.57000000000005</v>
      </c>
      <c r="M678" s="3">
        <f>orders_1[[#This Row],[products.Base_Price]]*orders_1[[#This Row],[Quantity]]</f>
        <v>1153.1400000000001</v>
      </c>
      <c r="N678" t="s">
        <v>20</v>
      </c>
      <c r="O678" t="s">
        <v>10</v>
      </c>
      <c r="P678" t="s">
        <v>19</v>
      </c>
    </row>
    <row r="679" spans="1:16" x14ac:dyDescent="0.3">
      <c r="A679" s="2">
        <v>10678</v>
      </c>
      <c r="B679" s="2">
        <v>577</v>
      </c>
      <c r="C679" s="2">
        <v>2064</v>
      </c>
      <c r="D679" s="2">
        <v>315</v>
      </c>
      <c r="E679" s="4">
        <v>45450</v>
      </c>
      <c r="F679" s="4">
        <v>45451</v>
      </c>
      <c r="G679" s="2">
        <f t="shared" si="10"/>
        <v>1</v>
      </c>
      <c r="H679" s="2">
        <v>34</v>
      </c>
      <c r="I679" t="s">
        <v>36</v>
      </c>
      <c r="J679" t="s">
        <v>21</v>
      </c>
      <c r="K679" s="2">
        <v>15.41</v>
      </c>
      <c r="L679" s="3">
        <v>203.79</v>
      </c>
      <c r="M679" s="3">
        <f>orders_1[[#This Row],[products.Base_Price]]*orders_1[[#This Row],[Quantity]]</f>
        <v>6928.86</v>
      </c>
      <c r="N679" t="s">
        <v>15</v>
      </c>
      <c r="O679" t="s">
        <v>25</v>
      </c>
      <c r="P679" t="s">
        <v>19</v>
      </c>
    </row>
    <row r="680" spans="1:16" x14ac:dyDescent="0.3">
      <c r="A680" s="2">
        <v>10679</v>
      </c>
      <c r="B680" s="2">
        <v>502</v>
      </c>
      <c r="C680" s="2">
        <v>2010</v>
      </c>
      <c r="D680" s="2">
        <v>307</v>
      </c>
      <c r="E680" s="4">
        <v>45416</v>
      </c>
      <c r="F680" s="4">
        <v>45423</v>
      </c>
      <c r="G680" s="2">
        <f t="shared" si="10"/>
        <v>7</v>
      </c>
      <c r="H680" s="2">
        <v>23</v>
      </c>
      <c r="I680" t="s">
        <v>78</v>
      </c>
      <c r="J680" t="s">
        <v>13</v>
      </c>
      <c r="K680" s="2">
        <v>9.58</v>
      </c>
      <c r="L680" s="3">
        <v>440.93</v>
      </c>
      <c r="M680" s="3">
        <f>orders_1[[#This Row],[products.Base_Price]]*orders_1[[#This Row],[Quantity]]</f>
        <v>10141.39</v>
      </c>
      <c r="N680" t="s">
        <v>17</v>
      </c>
      <c r="O680" t="s">
        <v>10</v>
      </c>
      <c r="P680" t="s">
        <v>11</v>
      </c>
    </row>
    <row r="681" spans="1:16" x14ac:dyDescent="0.3">
      <c r="A681" s="2">
        <v>10680</v>
      </c>
      <c r="B681" s="2">
        <v>880</v>
      </c>
      <c r="C681" s="2">
        <v>2060</v>
      </c>
      <c r="D681" s="2">
        <v>314</v>
      </c>
      <c r="E681" s="4">
        <v>45589</v>
      </c>
      <c r="F681" s="4">
        <v>45590</v>
      </c>
      <c r="G681" s="2">
        <f t="shared" si="10"/>
        <v>1</v>
      </c>
      <c r="H681" s="2">
        <v>47</v>
      </c>
      <c r="I681" t="s">
        <v>42</v>
      </c>
      <c r="J681" t="s">
        <v>21</v>
      </c>
      <c r="K681" s="2">
        <v>3.65</v>
      </c>
      <c r="L681" s="3">
        <v>173.1</v>
      </c>
      <c r="M681" s="3">
        <f>orders_1[[#This Row],[products.Base_Price]]*orders_1[[#This Row],[Quantity]]</f>
        <v>8135.7</v>
      </c>
      <c r="N681" t="s">
        <v>17</v>
      </c>
      <c r="O681" t="s">
        <v>14</v>
      </c>
      <c r="P681" t="s">
        <v>19</v>
      </c>
    </row>
    <row r="682" spans="1:16" x14ac:dyDescent="0.3">
      <c r="A682" s="2">
        <v>10681</v>
      </c>
      <c r="B682" s="2">
        <v>603</v>
      </c>
      <c r="C682" s="2">
        <v>2077</v>
      </c>
      <c r="D682" s="2">
        <v>304</v>
      </c>
      <c r="E682" s="4">
        <v>45625</v>
      </c>
      <c r="F682" s="4">
        <v>45633</v>
      </c>
      <c r="G682" s="2">
        <f t="shared" si="10"/>
        <v>8</v>
      </c>
      <c r="H682" s="2">
        <v>78</v>
      </c>
      <c r="I682" t="s">
        <v>39</v>
      </c>
      <c r="J682" t="s">
        <v>9</v>
      </c>
      <c r="K682" s="2">
        <v>28.18</v>
      </c>
      <c r="L682" s="3">
        <v>857.59</v>
      </c>
      <c r="M682" s="3">
        <f>orders_1[[#This Row],[products.Base_Price]]*orders_1[[#This Row],[Quantity]]</f>
        <v>66892.02</v>
      </c>
      <c r="N682" t="s">
        <v>17</v>
      </c>
      <c r="O682" t="s">
        <v>18</v>
      </c>
      <c r="P682" t="s">
        <v>19</v>
      </c>
    </row>
    <row r="683" spans="1:16" x14ac:dyDescent="0.3">
      <c r="A683" s="2">
        <v>10682</v>
      </c>
      <c r="B683" s="2">
        <v>739</v>
      </c>
      <c r="C683" s="2">
        <v>2092</v>
      </c>
      <c r="D683" s="2">
        <v>302</v>
      </c>
      <c r="E683" s="4">
        <v>45310</v>
      </c>
      <c r="F683" s="4">
        <v>45312</v>
      </c>
      <c r="G683" s="2">
        <f t="shared" si="10"/>
        <v>2</v>
      </c>
      <c r="H683" s="2">
        <v>99</v>
      </c>
      <c r="I683" t="s">
        <v>78</v>
      </c>
      <c r="J683" t="s">
        <v>22</v>
      </c>
      <c r="K683" s="2">
        <v>30.97</v>
      </c>
      <c r="L683" s="3">
        <v>521.23</v>
      </c>
      <c r="M683" s="3">
        <f>orders_1[[#This Row],[products.Base_Price]]*orders_1[[#This Row],[Quantity]]</f>
        <v>51601.770000000004</v>
      </c>
      <c r="N683" t="s">
        <v>12</v>
      </c>
      <c r="O683" t="s">
        <v>14</v>
      </c>
      <c r="P683" t="s">
        <v>11</v>
      </c>
    </row>
    <row r="684" spans="1:16" x14ac:dyDescent="0.3">
      <c r="A684" s="2">
        <v>10683</v>
      </c>
      <c r="B684" s="2">
        <v>805</v>
      </c>
      <c r="C684" s="2">
        <v>2057</v>
      </c>
      <c r="D684" s="2">
        <v>308</v>
      </c>
      <c r="E684" s="4">
        <v>45365</v>
      </c>
      <c r="F684" s="4">
        <v>45366</v>
      </c>
      <c r="G684" s="2">
        <f t="shared" si="10"/>
        <v>1</v>
      </c>
      <c r="H684" s="2">
        <v>100</v>
      </c>
      <c r="I684" t="s">
        <v>78</v>
      </c>
      <c r="J684" t="s">
        <v>22</v>
      </c>
      <c r="K684" s="2">
        <v>34.299999999999997</v>
      </c>
      <c r="L684" s="3">
        <v>40.43</v>
      </c>
      <c r="M684" s="3">
        <f>orders_1[[#This Row],[products.Base_Price]]*orders_1[[#This Row],[Quantity]]</f>
        <v>4043</v>
      </c>
      <c r="N684" t="s">
        <v>23</v>
      </c>
      <c r="O684" t="s">
        <v>14</v>
      </c>
      <c r="P684" t="s">
        <v>19</v>
      </c>
    </row>
    <row r="685" spans="1:16" x14ac:dyDescent="0.3">
      <c r="A685" s="2">
        <v>10684</v>
      </c>
      <c r="B685" s="2">
        <v>603</v>
      </c>
      <c r="C685" s="2">
        <v>2077</v>
      </c>
      <c r="D685" s="2">
        <v>316</v>
      </c>
      <c r="E685" s="4">
        <v>45506</v>
      </c>
      <c r="F685" s="4">
        <v>45507</v>
      </c>
      <c r="G685" s="2">
        <f t="shared" si="10"/>
        <v>1</v>
      </c>
      <c r="H685" s="2">
        <v>38</v>
      </c>
      <c r="I685" t="s">
        <v>42</v>
      </c>
      <c r="J685" t="s">
        <v>9</v>
      </c>
      <c r="K685" s="2">
        <v>28.18</v>
      </c>
      <c r="L685" s="3">
        <v>857.59</v>
      </c>
      <c r="M685" s="3">
        <f>orders_1[[#This Row],[products.Base_Price]]*orders_1[[#This Row],[Quantity]]</f>
        <v>32588.420000000002</v>
      </c>
      <c r="N685" t="s">
        <v>24</v>
      </c>
      <c r="O685" t="s">
        <v>25</v>
      </c>
      <c r="P685" t="s">
        <v>19</v>
      </c>
    </row>
    <row r="686" spans="1:16" x14ac:dyDescent="0.3">
      <c r="A686" s="2">
        <v>10685</v>
      </c>
      <c r="B686" s="2">
        <v>551</v>
      </c>
      <c r="C686" s="2">
        <v>2094</v>
      </c>
      <c r="D686" s="2">
        <v>306</v>
      </c>
      <c r="E686" s="4">
        <v>45323</v>
      </c>
      <c r="F686" s="4">
        <v>45330</v>
      </c>
      <c r="G686" s="2">
        <f t="shared" si="10"/>
        <v>7</v>
      </c>
      <c r="H686" s="2">
        <v>44</v>
      </c>
      <c r="I686" t="s">
        <v>78</v>
      </c>
      <c r="J686" t="s">
        <v>27</v>
      </c>
      <c r="K686" s="2">
        <v>22.56</v>
      </c>
      <c r="L686" s="3">
        <v>393.53</v>
      </c>
      <c r="M686" s="3">
        <f>orders_1[[#This Row],[products.Base_Price]]*orders_1[[#This Row],[Quantity]]</f>
        <v>17315.32</v>
      </c>
      <c r="N686" t="s">
        <v>8</v>
      </c>
      <c r="O686" t="s">
        <v>10</v>
      </c>
      <c r="P686" t="s">
        <v>16</v>
      </c>
    </row>
    <row r="687" spans="1:16" x14ac:dyDescent="0.3">
      <c r="A687" s="2">
        <v>10686</v>
      </c>
      <c r="B687" s="2">
        <v>643</v>
      </c>
      <c r="C687" s="2">
        <v>2051</v>
      </c>
      <c r="D687" s="2">
        <v>311</v>
      </c>
      <c r="E687" s="4">
        <v>45496</v>
      </c>
      <c r="F687" s="4">
        <v>45506</v>
      </c>
      <c r="G687" s="2">
        <f t="shared" si="10"/>
        <v>10</v>
      </c>
      <c r="H687" s="2">
        <v>54</v>
      </c>
      <c r="I687" t="s">
        <v>78</v>
      </c>
      <c r="J687" t="s">
        <v>9</v>
      </c>
      <c r="K687" s="2">
        <v>47.82</v>
      </c>
      <c r="L687" s="3">
        <v>376.19</v>
      </c>
      <c r="M687" s="3">
        <f>orders_1[[#This Row],[products.Base_Price]]*orders_1[[#This Row],[Quantity]]</f>
        <v>20314.259999999998</v>
      </c>
      <c r="N687" t="s">
        <v>26</v>
      </c>
      <c r="O687" t="s">
        <v>10</v>
      </c>
      <c r="P687" t="s">
        <v>11</v>
      </c>
    </row>
    <row r="688" spans="1:16" x14ac:dyDescent="0.3">
      <c r="A688" s="2">
        <v>10687</v>
      </c>
      <c r="B688" s="2">
        <v>678</v>
      </c>
      <c r="C688" s="2">
        <v>2057</v>
      </c>
      <c r="D688" s="2">
        <v>318</v>
      </c>
      <c r="E688" s="4">
        <v>45453</v>
      </c>
      <c r="F688" s="4">
        <v>45463</v>
      </c>
      <c r="G688" s="2">
        <f t="shared" si="10"/>
        <v>10</v>
      </c>
      <c r="H688" s="2">
        <v>15</v>
      </c>
      <c r="I688" t="s">
        <v>39</v>
      </c>
      <c r="J688" t="s">
        <v>22</v>
      </c>
      <c r="K688" s="2">
        <v>34.299999999999997</v>
      </c>
      <c r="L688" s="3">
        <v>40.43</v>
      </c>
      <c r="M688" s="3">
        <f>orders_1[[#This Row],[products.Base_Price]]*orders_1[[#This Row],[Quantity]]</f>
        <v>606.45000000000005</v>
      </c>
      <c r="N688" t="s">
        <v>17</v>
      </c>
      <c r="O688" t="s">
        <v>10</v>
      </c>
      <c r="P688" t="s">
        <v>19</v>
      </c>
    </row>
    <row r="689" spans="1:16" x14ac:dyDescent="0.3">
      <c r="A689" s="2">
        <v>10688</v>
      </c>
      <c r="B689" s="2">
        <v>678</v>
      </c>
      <c r="C689" s="2">
        <v>2041</v>
      </c>
      <c r="D689" s="2">
        <v>309</v>
      </c>
      <c r="E689" s="4">
        <v>45295</v>
      </c>
      <c r="F689" s="4">
        <v>45303</v>
      </c>
      <c r="G689" s="2">
        <f t="shared" si="10"/>
        <v>8</v>
      </c>
      <c r="H689" s="2">
        <v>88</v>
      </c>
      <c r="I689" t="s">
        <v>42</v>
      </c>
      <c r="J689" t="s">
        <v>22</v>
      </c>
      <c r="K689" s="2">
        <v>48.2</v>
      </c>
      <c r="L689" s="3">
        <v>792.77</v>
      </c>
      <c r="M689" s="3">
        <f>orders_1[[#This Row],[products.Base_Price]]*orders_1[[#This Row],[Quantity]]</f>
        <v>69763.759999999995</v>
      </c>
      <c r="N689" t="s">
        <v>24</v>
      </c>
      <c r="O689" t="s">
        <v>25</v>
      </c>
      <c r="P689" t="s">
        <v>16</v>
      </c>
    </row>
    <row r="690" spans="1:16" x14ac:dyDescent="0.3">
      <c r="A690" s="2">
        <v>10689</v>
      </c>
      <c r="B690" s="2">
        <v>561</v>
      </c>
      <c r="C690" s="2">
        <v>2049</v>
      </c>
      <c r="D690" s="2">
        <v>317</v>
      </c>
      <c r="E690" s="4">
        <v>45590</v>
      </c>
      <c r="F690" s="4">
        <v>45595</v>
      </c>
      <c r="G690" s="2">
        <f t="shared" si="10"/>
        <v>5</v>
      </c>
      <c r="H690" s="2">
        <v>12</v>
      </c>
      <c r="I690" t="s">
        <v>36</v>
      </c>
      <c r="J690" t="s">
        <v>27</v>
      </c>
      <c r="K690" s="2">
        <v>17.52</v>
      </c>
      <c r="L690" s="3">
        <v>832.77</v>
      </c>
      <c r="M690" s="3">
        <f>orders_1[[#This Row],[products.Base_Price]]*orders_1[[#This Row],[Quantity]]</f>
        <v>9993.24</v>
      </c>
      <c r="N690" t="s">
        <v>20</v>
      </c>
      <c r="O690" t="s">
        <v>25</v>
      </c>
      <c r="P690" t="s">
        <v>19</v>
      </c>
    </row>
    <row r="691" spans="1:16" x14ac:dyDescent="0.3">
      <c r="A691" s="2">
        <v>10690</v>
      </c>
      <c r="B691" s="2">
        <v>614</v>
      </c>
      <c r="C691" s="2">
        <v>2086</v>
      </c>
      <c r="D691" s="2">
        <v>311</v>
      </c>
      <c r="E691" s="4">
        <v>45632</v>
      </c>
      <c r="F691" s="4">
        <v>45638</v>
      </c>
      <c r="G691" s="2">
        <f t="shared" si="10"/>
        <v>6</v>
      </c>
      <c r="H691" s="2">
        <v>7</v>
      </c>
      <c r="I691" t="s">
        <v>78</v>
      </c>
      <c r="J691" t="s">
        <v>27</v>
      </c>
      <c r="K691" s="2">
        <v>27.73</v>
      </c>
      <c r="L691" s="3">
        <v>417.42</v>
      </c>
      <c r="M691" s="3">
        <f>orders_1[[#This Row],[products.Base_Price]]*orders_1[[#This Row],[Quantity]]</f>
        <v>2921.94</v>
      </c>
      <c r="N691" t="s">
        <v>26</v>
      </c>
      <c r="O691" t="s">
        <v>10</v>
      </c>
      <c r="P691" t="s">
        <v>11</v>
      </c>
    </row>
    <row r="692" spans="1:16" x14ac:dyDescent="0.3">
      <c r="A692" s="2">
        <v>10691</v>
      </c>
      <c r="B692" s="2">
        <v>754</v>
      </c>
      <c r="C692" s="2">
        <v>2074</v>
      </c>
      <c r="D692" s="2">
        <v>302</v>
      </c>
      <c r="E692" s="4">
        <v>45552</v>
      </c>
      <c r="F692" s="4">
        <v>45559</v>
      </c>
      <c r="G692" s="2">
        <f t="shared" si="10"/>
        <v>7</v>
      </c>
      <c r="H692" s="2">
        <v>42</v>
      </c>
      <c r="I692" t="s">
        <v>42</v>
      </c>
      <c r="J692" t="s">
        <v>13</v>
      </c>
      <c r="K692" s="2">
        <v>41.45</v>
      </c>
      <c r="L692" s="3">
        <v>650.42999999999995</v>
      </c>
      <c r="M692" s="3">
        <f>orders_1[[#This Row],[products.Base_Price]]*orders_1[[#This Row],[Quantity]]</f>
        <v>27318.059999999998</v>
      </c>
      <c r="N692" t="s">
        <v>12</v>
      </c>
      <c r="O692" t="s">
        <v>14</v>
      </c>
      <c r="P692" t="s">
        <v>11</v>
      </c>
    </row>
    <row r="693" spans="1:16" x14ac:dyDescent="0.3">
      <c r="A693" s="2">
        <v>10692</v>
      </c>
      <c r="B693" s="2">
        <v>634</v>
      </c>
      <c r="C693" s="2">
        <v>2039</v>
      </c>
      <c r="D693" s="2">
        <v>315</v>
      </c>
      <c r="E693" s="4">
        <v>45375</v>
      </c>
      <c r="F693" s="4">
        <v>45383</v>
      </c>
      <c r="G693" s="2">
        <f t="shared" si="10"/>
        <v>8</v>
      </c>
      <c r="H693" s="2">
        <v>93</v>
      </c>
      <c r="I693" t="s">
        <v>36</v>
      </c>
      <c r="J693" t="s">
        <v>27</v>
      </c>
      <c r="K693" s="2">
        <v>2.69</v>
      </c>
      <c r="L693" s="3">
        <v>350.51</v>
      </c>
      <c r="M693" s="3">
        <f>orders_1[[#This Row],[products.Base_Price]]*orders_1[[#This Row],[Quantity]]</f>
        <v>32597.43</v>
      </c>
      <c r="N693" t="s">
        <v>15</v>
      </c>
      <c r="O693" t="s">
        <v>25</v>
      </c>
      <c r="P693" t="s">
        <v>19</v>
      </c>
    </row>
    <row r="694" spans="1:16" x14ac:dyDescent="0.3">
      <c r="A694" s="2">
        <v>10693</v>
      </c>
      <c r="B694" s="2">
        <v>540</v>
      </c>
      <c r="C694" s="2">
        <v>2098</v>
      </c>
      <c r="D694" s="2">
        <v>310</v>
      </c>
      <c r="E694" s="4">
        <v>45627</v>
      </c>
      <c r="F694" s="4">
        <v>45628</v>
      </c>
      <c r="G694" s="2">
        <f t="shared" si="10"/>
        <v>1</v>
      </c>
      <c r="H694" s="2">
        <v>77</v>
      </c>
      <c r="I694" t="s">
        <v>78</v>
      </c>
      <c r="J694" t="s">
        <v>13</v>
      </c>
      <c r="K694" s="2">
        <v>25.35</v>
      </c>
      <c r="L694" s="3">
        <v>571.58000000000004</v>
      </c>
      <c r="M694" s="3">
        <f>orders_1[[#This Row],[products.Base_Price]]*orders_1[[#This Row],[Quantity]]</f>
        <v>44011.66</v>
      </c>
      <c r="N694" t="s">
        <v>26</v>
      </c>
      <c r="O694" t="s">
        <v>25</v>
      </c>
      <c r="P694" t="s">
        <v>11</v>
      </c>
    </row>
    <row r="695" spans="1:16" x14ac:dyDescent="0.3">
      <c r="A695" s="2">
        <v>10694</v>
      </c>
      <c r="B695" s="2">
        <v>671</v>
      </c>
      <c r="C695" s="2">
        <v>2067</v>
      </c>
      <c r="D695" s="2">
        <v>312</v>
      </c>
      <c r="E695" s="4">
        <v>45449</v>
      </c>
      <c r="F695" s="4">
        <v>45458</v>
      </c>
      <c r="G695" s="2">
        <f t="shared" si="10"/>
        <v>9</v>
      </c>
      <c r="H695" s="2">
        <v>66</v>
      </c>
      <c r="I695" t="s">
        <v>78</v>
      </c>
      <c r="J695" t="s">
        <v>9</v>
      </c>
      <c r="K695" s="2">
        <v>24.79</v>
      </c>
      <c r="L695" s="3">
        <v>48.68</v>
      </c>
      <c r="M695" s="3">
        <f>orders_1[[#This Row],[products.Base_Price]]*orders_1[[#This Row],[Quantity]]</f>
        <v>3212.88</v>
      </c>
      <c r="N695" t="s">
        <v>15</v>
      </c>
      <c r="O695" t="s">
        <v>10</v>
      </c>
      <c r="P695" t="s">
        <v>11</v>
      </c>
    </row>
    <row r="696" spans="1:16" x14ac:dyDescent="0.3">
      <c r="A696" s="2">
        <v>10695</v>
      </c>
      <c r="B696" s="2">
        <v>763</v>
      </c>
      <c r="C696" s="2">
        <v>2065</v>
      </c>
      <c r="D696" s="2">
        <v>302</v>
      </c>
      <c r="E696" s="4">
        <v>45602</v>
      </c>
      <c r="F696" s="4">
        <v>45609</v>
      </c>
      <c r="G696" s="2">
        <f t="shared" si="10"/>
        <v>7</v>
      </c>
      <c r="H696" s="2">
        <v>71</v>
      </c>
      <c r="I696" t="s">
        <v>39</v>
      </c>
      <c r="J696" t="s">
        <v>13</v>
      </c>
      <c r="K696" s="2">
        <v>26.94</v>
      </c>
      <c r="L696" s="3">
        <v>155.15</v>
      </c>
      <c r="M696" s="3">
        <f>orders_1[[#This Row],[products.Base_Price]]*orders_1[[#This Row],[Quantity]]</f>
        <v>11015.65</v>
      </c>
      <c r="N696" t="s">
        <v>12</v>
      </c>
      <c r="O696" t="s">
        <v>14</v>
      </c>
      <c r="P696" t="s">
        <v>11</v>
      </c>
    </row>
    <row r="697" spans="1:16" x14ac:dyDescent="0.3">
      <c r="A697" s="2">
        <v>10696</v>
      </c>
      <c r="B697" s="2">
        <v>806</v>
      </c>
      <c r="C697" s="2">
        <v>2073</v>
      </c>
      <c r="D697" s="2">
        <v>309</v>
      </c>
      <c r="E697" s="4">
        <v>45319</v>
      </c>
      <c r="F697" s="4">
        <v>45321</v>
      </c>
      <c r="G697" s="2">
        <f t="shared" si="10"/>
        <v>2</v>
      </c>
      <c r="H697" s="2">
        <v>98</v>
      </c>
      <c r="I697" t="s">
        <v>36</v>
      </c>
      <c r="J697" t="s">
        <v>9</v>
      </c>
      <c r="K697" s="2">
        <v>11.78</v>
      </c>
      <c r="L697" s="3">
        <v>416.74</v>
      </c>
      <c r="M697" s="3">
        <f>orders_1[[#This Row],[products.Base_Price]]*orders_1[[#This Row],[Quantity]]</f>
        <v>40840.520000000004</v>
      </c>
      <c r="N697" t="s">
        <v>24</v>
      </c>
      <c r="O697" t="s">
        <v>25</v>
      </c>
      <c r="P697" t="s">
        <v>16</v>
      </c>
    </row>
    <row r="698" spans="1:16" x14ac:dyDescent="0.3">
      <c r="A698" s="2">
        <v>10697</v>
      </c>
      <c r="B698" s="2">
        <v>668</v>
      </c>
      <c r="C698" s="2">
        <v>2084</v>
      </c>
      <c r="D698" s="2">
        <v>312</v>
      </c>
      <c r="E698" s="4">
        <v>45590</v>
      </c>
      <c r="F698" s="4">
        <v>45596</v>
      </c>
      <c r="G698" s="2">
        <f t="shared" si="10"/>
        <v>6</v>
      </c>
      <c r="H698" s="2">
        <v>84</v>
      </c>
      <c r="I698" t="s">
        <v>42</v>
      </c>
      <c r="J698" t="s">
        <v>21</v>
      </c>
      <c r="K698" s="2">
        <v>14.27</v>
      </c>
      <c r="L698" s="3">
        <v>223.58</v>
      </c>
      <c r="M698" s="3">
        <f>orders_1[[#This Row],[products.Base_Price]]*orders_1[[#This Row],[Quantity]]</f>
        <v>18780.72</v>
      </c>
      <c r="N698" t="s">
        <v>15</v>
      </c>
      <c r="O698" t="s">
        <v>10</v>
      </c>
      <c r="P698" t="s">
        <v>11</v>
      </c>
    </row>
    <row r="699" spans="1:16" x14ac:dyDescent="0.3">
      <c r="A699" s="2">
        <v>10698</v>
      </c>
      <c r="B699" s="2">
        <v>642</v>
      </c>
      <c r="C699" s="2">
        <v>2077</v>
      </c>
      <c r="D699" s="2">
        <v>318</v>
      </c>
      <c r="E699" s="4">
        <v>45335</v>
      </c>
      <c r="F699" s="4">
        <v>45345</v>
      </c>
      <c r="G699" s="2">
        <f t="shared" si="10"/>
        <v>10</v>
      </c>
      <c r="H699" s="2">
        <v>78</v>
      </c>
      <c r="I699" t="s">
        <v>39</v>
      </c>
      <c r="J699" t="s">
        <v>9</v>
      </c>
      <c r="K699" s="2">
        <v>28.18</v>
      </c>
      <c r="L699" s="3">
        <v>857.59</v>
      </c>
      <c r="M699" s="3">
        <f>orders_1[[#This Row],[products.Base_Price]]*orders_1[[#This Row],[Quantity]]</f>
        <v>66892.02</v>
      </c>
      <c r="N699" t="s">
        <v>17</v>
      </c>
      <c r="O699" t="s">
        <v>10</v>
      </c>
      <c r="P699" t="s">
        <v>19</v>
      </c>
    </row>
    <row r="700" spans="1:16" x14ac:dyDescent="0.3">
      <c r="A700" s="2">
        <v>10699</v>
      </c>
      <c r="B700" s="2">
        <v>768</v>
      </c>
      <c r="C700" s="2">
        <v>2011</v>
      </c>
      <c r="D700" s="2">
        <v>319</v>
      </c>
      <c r="E700" s="4">
        <v>45638</v>
      </c>
      <c r="F700" s="4">
        <v>45644</v>
      </c>
      <c r="G700" s="2">
        <f t="shared" si="10"/>
        <v>6</v>
      </c>
      <c r="H700" s="2">
        <v>36</v>
      </c>
      <c r="I700" t="s">
        <v>39</v>
      </c>
      <c r="J700" t="s">
        <v>21</v>
      </c>
      <c r="K700" s="2">
        <v>12.75</v>
      </c>
      <c r="L700" s="3">
        <v>987.99</v>
      </c>
      <c r="M700" s="3">
        <f>orders_1[[#This Row],[products.Base_Price]]*orders_1[[#This Row],[Quantity]]</f>
        <v>35567.64</v>
      </c>
      <c r="N700" t="s">
        <v>20</v>
      </c>
      <c r="O700" t="s">
        <v>18</v>
      </c>
      <c r="P700" t="s">
        <v>11</v>
      </c>
    </row>
    <row r="701" spans="1:16" x14ac:dyDescent="0.3">
      <c r="A701" s="2">
        <v>10700</v>
      </c>
      <c r="B701" s="2">
        <v>576</v>
      </c>
      <c r="C701" s="2">
        <v>2001</v>
      </c>
      <c r="D701" s="2">
        <v>311</v>
      </c>
      <c r="E701" s="4">
        <v>45466</v>
      </c>
      <c r="F701" s="4">
        <v>45476</v>
      </c>
      <c r="G701" s="2">
        <f t="shared" si="10"/>
        <v>10</v>
      </c>
      <c r="H701" s="2">
        <v>30</v>
      </c>
      <c r="I701" t="s">
        <v>39</v>
      </c>
      <c r="J701" t="s">
        <v>9</v>
      </c>
      <c r="K701" s="2">
        <v>49.85</v>
      </c>
      <c r="L701" s="3">
        <v>471.41</v>
      </c>
      <c r="M701" s="3">
        <f>orders_1[[#This Row],[products.Base_Price]]*orders_1[[#This Row],[Quantity]]</f>
        <v>14142.300000000001</v>
      </c>
      <c r="N701" t="s">
        <v>26</v>
      </c>
      <c r="O701" t="s">
        <v>10</v>
      </c>
      <c r="P701" t="s">
        <v>11</v>
      </c>
    </row>
    <row r="702" spans="1:16" x14ac:dyDescent="0.3">
      <c r="A702" s="2">
        <v>10701</v>
      </c>
      <c r="B702" s="2">
        <v>560</v>
      </c>
      <c r="C702" s="2">
        <v>2011</v>
      </c>
      <c r="D702" s="2">
        <v>310</v>
      </c>
      <c r="E702" s="4">
        <v>45457</v>
      </c>
      <c r="F702" s="4">
        <v>45458</v>
      </c>
      <c r="G702" s="2">
        <f t="shared" si="10"/>
        <v>1</v>
      </c>
      <c r="H702" s="2">
        <v>41</v>
      </c>
      <c r="I702" t="s">
        <v>42</v>
      </c>
      <c r="J702" t="s">
        <v>21</v>
      </c>
      <c r="K702" s="2">
        <v>12.75</v>
      </c>
      <c r="L702" s="3">
        <v>987.99</v>
      </c>
      <c r="M702" s="3">
        <f>orders_1[[#This Row],[products.Base_Price]]*orders_1[[#This Row],[Quantity]]</f>
        <v>40507.590000000004</v>
      </c>
      <c r="N702" t="s">
        <v>26</v>
      </c>
      <c r="O702" t="s">
        <v>25</v>
      </c>
      <c r="P702" t="s">
        <v>11</v>
      </c>
    </row>
    <row r="703" spans="1:16" x14ac:dyDescent="0.3">
      <c r="A703" s="2">
        <v>10702</v>
      </c>
      <c r="B703" s="2">
        <v>881</v>
      </c>
      <c r="C703" s="2">
        <v>2093</v>
      </c>
      <c r="D703" s="2">
        <v>310</v>
      </c>
      <c r="E703" s="4">
        <v>45426</v>
      </c>
      <c r="F703" s="4">
        <v>45433</v>
      </c>
      <c r="G703" s="2">
        <f t="shared" si="10"/>
        <v>7</v>
      </c>
      <c r="H703" s="2">
        <v>18</v>
      </c>
      <c r="I703" t="s">
        <v>78</v>
      </c>
      <c r="J703" t="s">
        <v>9</v>
      </c>
      <c r="K703" s="2">
        <v>25.73</v>
      </c>
      <c r="L703" s="3">
        <v>537.69000000000005</v>
      </c>
      <c r="M703" s="3">
        <f>orders_1[[#This Row],[products.Base_Price]]*orders_1[[#This Row],[Quantity]]</f>
        <v>9678.4200000000019</v>
      </c>
      <c r="N703" t="s">
        <v>26</v>
      </c>
      <c r="O703" t="s">
        <v>25</v>
      </c>
      <c r="P703" t="s">
        <v>11</v>
      </c>
    </row>
    <row r="704" spans="1:16" x14ac:dyDescent="0.3">
      <c r="A704" s="2">
        <v>10703</v>
      </c>
      <c r="B704" s="2">
        <v>726</v>
      </c>
      <c r="C704" s="2">
        <v>2018</v>
      </c>
      <c r="D704" s="2">
        <v>302</v>
      </c>
      <c r="E704" s="4">
        <v>45565</v>
      </c>
      <c r="F704" s="4">
        <v>45567</v>
      </c>
      <c r="G704" s="2">
        <f t="shared" si="10"/>
        <v>2</v>
      </c>
      <c r="H704" s="2">
        <v>16</v>
      </c>
      <c r="I704" t="s">
        <v>78</v>
      </c>
      <c r="J704" t="s">
        <v>21</v>
      </c>
      <c r="K704" s="2">
        <v>16.739999999999998</v>
      </c>
      <c r="L704" s="3">
        <v>103.05</v>
      </c>
      <c r="M704" s="3">
        <f>orders_1[[#This Row],[products.Base_Price]]*orders_1[[#This Row],[Quantity]]</f>
        <v>1648.8</v>
      </c>
      <c r="N704" t="s">
        <v>12</v>
      </c>
      <c r="O704" t="s">
        <v>14</v>
      </c>
      <c r="P704" t="s">
        <v>11</v>
      </c>
    </row>
    <row r="705" spans="1:16" x14ac:dyDescent="0.3">
      <c r="A705" s="2">
        <v>10704</v>
      </c>
      <c r="B705" s="2">
        <v>834</v>
      </c>
      <c r="C705" s="2">
        <v>2097</v>
      </c>
      <c r="D705" s="2">
        <v>307</v>
      </c>
      <c r="E705" s="4">
        <v>45371</v>
      </c>
      <c r="F705" s="4">
        <v>45380</v>
      </c>
      <c r="G705" s="2">
        <f t="shared" si="10"/>
        <v>9</v>
      </c>
      <c r="H705" s="2">
        <v>2</v>
      </c>
      <c r="I705" t="s">
        <v>42</v>
      </c>
      <c r="J705" t="s">
        <v>27</v>
      </c>
      <c r="K705" s="2">
        <v>30.63</v>
      </c>
      <c r="L705" s="3">
        <v>828.74</v>
      </c>
      <c r="M705" s="3">
        <f>orders_1[[#This Row],[products.Base_Price]]*orders_1[[#This Row],[Quantity]]</f>
        <v>1657.48</v>
      </c>
      <c r="N705" t="s">
        <v>17</v>
      </c>
      <c r="O705" t="s">
        <v>10</v>
      </c>
      <c r="P705" t="s">
        <v>11</v>
      </c>
    </row>
    <row r="706" spans="1:16" x14ac:dyDescent="0.3">
      <c r="A706" s="2">
        <v>10705</v>
      </c>
      <c r="B706" s="2">
        <v>629</v>
      </c>
      <c r="C706" s="2">
        <v>2070</v>
      </c>
      <c r="D706" s="2">
        <v>320</v>
      </c>
      <c r="E706" s="4">
        <v>45367</v>
      </c>
      <c r="F706" s="4">
        <v>45369</v>
      </c>
      <c r="G706" s="2">
        <f t="shared" ref="G706:G769" si="11">F706-E706</f>
        <v>2</v>
      </c>
      <c r="H706" s="2">
        <v>55</v>
      </c>
      <c r="I706" t="s">
        <v>42</v>
      </c>
      <c r="J706" t="s">
        <v>22</v>
      </c>
      <c r="K706" s="2">
        <v>22.6</v>
      </c>
      <c r="L706" s="3">
        <v>196.67</v>
      </c>
      <c r="M706" s="3">
        <f>orders_1[[#This Row],[products.Base_Price]]*orders_1[[#This Row],[Quantity]]</f>
        <v>10816.849999999999</v>
      </c>
      <c r="N706" t="s">
        <v>15</v>
      </c>
      <c r="O706" t="s">
        <v>25</v>
      </c>
      <c r="P706" t="s">
        <v>11</v>
      </c>
    </row>
    <row r="707" spans="1:16" x14ac:dyDescent="0.3">
      <c r="A707" s="2">
        <v>10706</v>
      </c>
      <c r="B707" s="2">
        <v>804</v>
      </c>
      <c r="C707" s="2">
        <v>2025</v>
      </c>
      <c r="D707" s="2">
        <v>301</v>
      </c>
      <c r="E707" s="4">
        <v>45542</v>
      </c>
      <c r="F707" s="4">
        <v>45550</v>
      </c>
      <c r="G707" s="2">
        <f t="shared" si="11"/>
        <v>8</v>
      </c>
      <c r="H707" s="2">
        <v>11</v>
      </c>
      <c r="I707" t="s">
        <v>39</v>
      </c>
      <c r="J707" t="s">
        <v>13</v>
      </c>
      <c r="K707" s="2">
        <v>3.39</v>
      </c>
      <c r="L707" s="3">
        <v>303.87</v>
      </c>
      <c r="M707" s="3">
        <f>orders_1[[#This Row],[products.Base_Price]]*orders_1[[#This Row],[Quantity]]</f>
        <v>3342.57</v>
      </c>
      <c r="N707" t="s">
        <v>8</v>
      </c>
      <c r="O707" t="s">
        <v>10</v>
      </c>
      <c r="P707" t="s">
        <v>11</v>
      </c>
    </row>
    <row r="708" spans="1:16" x14ac:dyDescent="0.3">
      <c r="A708" s="2">
        <v>10707</v>
      </c>
      <c r="B708" s="2">
        <v>727</v>
      </c>
      <c r="C708" s="2">
        <v>2082</v>
      </c>
      <c r="D708" s="2">
        <v>317</v>
      </c>
      <c r="E708" s="4">
        <v>45409</v>
      </c>
      <c r="F708" s="4">
        <v>45410</v>
      </c>
      <c r="G708" s="2">
        <f t="shared" si="11"/>
        <v>1</v>
      </c>
      <c r="H708" s="2">
        <v>43</v>
      </c>
      <c r="I708" t="s">
        <v>39</v>
      </c>
      <c r="J708" t="s">
        <v>22</v>
      </c>
      <c r="K708" s="2">
        <v>41.79</v>
      </c>
      <c r="L708" s="3">
        <v>352.17</v>
      </c>
      <c r="M708" s="3">
        <f>orders_1[[#This Row],[products.Base_Price]]*orders_1[[#This Row],[Quantity]]</f>
        <v>15143.310000000001</v>
      </c>
      <c r="N708" t="s">
        <v>20</v>
      </c>
      <c r="O708" t="s">
        <v>25</v>
      </c>
      <c r="P708" t="s">
        <v>19</v>
      </c>
    </row>
    <row r="709" spans="1:16" x14ac:dyDescent="0.3">
      <c r="A709" s="2">
        <v>10708</v>
      </c>
      <c r="B709" s="2">
        <v>733</v>
      </c>
      <c r="C709" s="2">
        <v>2062</v>
      </c>
      <c r="D709" s="2">
        <v>305</v>
      </c>
      <c r="E709" s="4">
        <v>45547</v>
      </c>
      <c r="F709" s="4">
        <v>45549</v>
      </c>
      <c r="G709" s="2">
        <f t="shared" si="11"/>
        <v>2</v>
      </c>
      <c r="H709" s="2">
        <v>26</v>
      </c>
      <c r="I709" t="s">
        <v>39</v>
      </c>
      <c r="J709" t="s">
        <v>9</v>
      </c>
      <c r="K709" s="2">
        <v>32.479999999999997</v>
      </c>
      <c r="L709" s="3">
        <v>409.49</v>
      </c>
      <c r="M709" s="3">
        <f>orders_1[[#This Row],[products.Base_Price]]*orders_1[[#This Row],[Quantity]]</f>
        <v>10646.74</v>
      </c>
      <c r="N709" t="s">
        <v>20</v>
      </c>
      <c r="O709" t="s">
        <v>10</v>
      </c>
      <c r="P709" t="s">
        <v>19</v>
      </c>
    </row>
    <row r="710" spans="1:16" x14ac:dyDescent="0.3">
      <c r="A710" s="2">
        <v>10709</v>
      </c>
      <c r="B710" s="2">
        <v>853</v>
      </c>
      <c r="C710" s="2">
        <v>2006</v>
      </c>
      <c r="D710" s="2">
        <v>304</v>
      </c>
      <c r="E710" s="4">
        <v>45332</v>
      </c>
      <c r="F710" s="4">
        <v>45338</v>
      </c>
      <c r="G710" s="2">
        <f t="shared" si="11"/>
        <v>6</v>
      </c>
      <c r="H710" s="2">
        <v>5</v>
      </c>
      <c r="I710" t="s">
        <v>42</v>
      </c>
      <c r="J710" t="s">
        <v>22</v>
      </c>
      <c r="K710" s="2">
        <v>41.47</v>
      </c>
      <c r="L710" s="3">
        <v>541.85</v>
      </c>
      <c r="M710" s="3">
        <f>orders_1[[#This Row],[products.Base_Price]]*orders_1[[#This Row],[Quantity]]</f>
        <v>2709.25</v>
      </c>
      <c r="N710" t="s">
        <v>17</v>
      </c>
      <c r="O710" t="s">
        <v>18</v>
      </c>
      <c r="P710" t="s">
        <v>19</v>
      </c>
    </row>
    <row r="711" spans="1:16" x14ac:dyDescent="0.3">
      <c r="A711" s="2">
        <v>10710</v>
      </c>
      <c r="B711" s="2">
        <v>713</v>
      </c>
      <c r="C711" s="2">
        <v>2035</v>
      </c>
      <c r="D711" s="2">
        <v>302</v>
      </c>
      <c r="E711" s="4">
        <v>45583</v>
      </c>
      <c r="F711" s="4">
        <v>45587</v>
      </c>
      <c r="G711" s="2">
        <f t="shared" si="11"/>
        <v>4</v>
      </c>
      <c r="H711" s="2">
        <v>47</v>
      </c>
      <c r="I711" t="s">
        <v>36</v>
      </c>
      <c r="J711" t="s">
        <v>27</v>
      </c>
      <c r="K711" s="2">
        <v>18.55</v>
      </c>
      <c r="L711" s="3">
        <v>636.37</v>
      </c>
      <c r="M711" s="3">
        <f>orders_1[[#This Row],[products.Base_Price]]*orders_1[[#This Row],[Quantity]]</f>
        <v>29909.39</v>
      </c>
      <c r="N711" t="s">
        <v>12</v>
      </c>
      <c r="O711" t="s">
        <v>14</v>
      </c>
      <c r="P711" t="s">
        <v>11</v>
      </c>
    </row>
    <row r="712" spans="1:16" x14ac:dyDescent="0.3">
      <c r="A712" s="2">
        <v>10711</v>
      </c>
      <c r="B712" s="2">
        <v>655</v>
      </c>
      <c r="C712" s="2">
        <v>2048</v>
      </c>
      <c r="D712" s="2">
        <v>315</v>
      </c>
      <c r="E712" s="4">
        <v>45371</v>
      </c>
      <c r="F712" s="4">
        <v>45380</v>
      </c>
      <c r="G712" s="2">
        <f t="shared" si="11"/>
        <v>9</v>
      </c>
      <c r="H712" s="2">
        <v>18</v>
      </c>
      <c r="I712" t="s">
        <v>36</v>
      </c>
      <c r="J712" t="s">
        <v>22</v>
      </c>
      <c r="K712" s="2">
        <v>6.74</v>
      </c>
      <c r="L712" s="3">
        <v>864.57</v>
      </c>
      <c r="M712" s="3">
        <f>orders_1[[#This Row],[products.Base_Price]]*orders_1[[#This Row],[Quantity]]</f>
        <v>15562.26</v>
      </c>
      <c r="N712" t="s">
        <v>15</v>
      </c>
      <c r="O712" t="s">
        <v>25</v>
      </c>
      <c r="P712" t="s">
        <v>19</v>
      </c>
    </row>
    <row r="713" spans="1:16" x14ac:dyDescent="0.3">
      <c r="A713" s="2">
        <v>10712</v>
      </c>
      <c r="B713" s="2">
        <v>516</v>
      </c>
      <c r="C713" s="2">
        <v>2059</v>
      </c>
      <c r="D713" s="2">
        <v>306</v>
      </c>
      <c r="E713" s="4">
        <v>45609</v>
      </c>
      <c r="F713" s="4">
        <v>45619</v>
      </c>
      <c r="G713" s="2">
        <f t="shared" si="11"/>
        <v>10</v>
      </c>
      <c r="H713" s="2">
        <v>81</v>
      </c>
      <c r="I713" t="s">
        <v>42</v>
      </c>
      <c r="J713" t="s">
        <v>9</v>
      </c>
      <c r="K713" s="2">
        <v>17.760000000000002</v>
      </c>
      <c r="L713" s="3">
        <v>279.55</v>
      </c>
      <c r="M713" s="3">
        <f>orders_1[[#This Row],[products.Base_Price]]*orders_1[[#This Row],[Quantity]]</f>
        <v>22643.55</v>
      </c>
      <c r="N713" t="s">
        <v>8</v>
      </c>
      <c r="O713" t="s">
        <v>10</v>
      </c>
      <c r="P713" t="s">
        <v>16</v>
      </c>
    </row>
    <row r="714" spans="1:16" x14ac:dyDescent="0.3">
      <c r="A714" s="2">
        <v>10713</v>
      </c>
      <c r="B714" s="2">
        <v>546</v>
      </c>
      <c r="C714" s="2">
        <v>2059</v>
      </c>
      <c r="D714" s="2">
        <v>302</v>
      </c>
      <c r="E714" s="4">
        <v>45575</v>
      </c>
      <c r="F714" s="4">
        <v>45583</v>
      </c>
      <c r="G714" s="2">
        <f t="shared" si="11"/>
        <v>8</v>
      </c>
      <c r="H714" s="2">
        <v>61</v>
      </c>
      <c r="I714" t="s">
        <v>39</v>
      </c>
      <c r="J714" t="s">
        <v>9</v>
      </c>
      <c r="K714" s="2">
        <v>17.760000000000002</v>
      </c>
      <c r="L714" s="3">
        <v>279.55</v>
      </c>
      <c r="M714" s="3">
        <f>orders_1[[#This Row],[products.Base_Price]]*orders_1[[#This Row],[Quantity]]</f>
        <v>17052.55</v>
      </c>
      <c r="N714" t="s">
        <v>12</v>
      </c>
      <c r="O714" t="s">
        <v>14</v>
      </c>
      <c r="P714" t="s">
        <v>11</v>
      </c>
    </row>
    <row r="715" spans="1:16" x14ac:dyDescent="0.3">
      <c r="A715" s="2">
        <v>10714</v>
      </c>
      <c r="B715" s="2">
        <v>766</v>
      </c>
      <c r="C715" s="2">
        <v>2051</v>
      </c>
      <c r="D715" s="2">
        <v>304</v>
      </c>
      <c r="E715" s="4">
        <v>45589</v>
      </c>
      <c r="F715" s="4">
        <v>45598</v>
      </c>
      <c r="G715" s="2">
        <f t="shared" si="11"/>
        <v>9</v>
      </c>
      <c r="H715" s="2">
        <v>49</v>
      </c>
      <c r="I715" t="s">
        <v>78</v>
      </c>
      <c r="J715" t="s">
        <v>9</v>
      </c>
      <c r="K715" s="2">
        <v>47.82</v>
      </c>
      <c r="L715" s="3">
        <v>376.19</v>
      </c>
      <c r="M715" s="3">
        <f>orders_1[[#This Row],[products.Base_Price]]*orders_1[[#This Row],[Quantity]]</f>
        <v>18433.310000000001</v>
      </c>
      <c r="N715" t="s">
        <v>17</v>
      </c>
      <c r="O715" t="s">
        <v>18</v>
      </c>
      <c r="P715" t="s">
        <v>19</v>
      </c>
    </row>
    <row r="716" spans="1:16" x14ac:dyDescent="0.3">
      <c r="A716" s="2">
        <v>10715</v>
      </c>
      <c r="B716" s="2">
        <v>858</v>
      </c>
      <c r="C716" s="2">
        <v>2084</v>
      </c>
      <c r="D716" s="2">
        <v>313</v>
      </c>
      <c r="E716" s="4">
        <v>45443</v>
      </c>
      <c r="F716" s="4">
        <v>45448</v>
      </c>
      <c r="G716" s="2">
        <f t="shared" si="11"/>
        <v>5</v>
      </c>
      <c r="H716" s="2">
        <v>70</v>
      </c>
      <c r="I716" t="s">
        <v>36</v>
      </c>
      <c r="J716" t="s">
        <v>21</v>
      </c>
      <c r="K716" s="2">
        <v>14.27</v>
      </c>
      <c r="L716" s="3">
        <v>223.58</v>
      </c>
      <c r="M716" s="3">
        <f>orders_1[[#This Row],[products.Base_Price]]*orders_1[[#This Row],[Quantity]]</f>
        <v>15650.6</v>
      </c>
      <c r="N716" t="s">
        <v>15</v>
      </c>
      <c r="O716" t="s">
        <v>25</v>
      </c>
      <c r="P716" t="s">
        <v>16</v>
      </c>
    </row>
    <row r="717" spans="1:16" x14ac:dyDescent="0.3">
      <c r="A717" s="2">
        <v>10716</v>
      </c>
      <c r="B717" s="2">
        <v>778</v>
      </c>
      <c r="C717" s="2">
        <v>2093</v>
      </c>
      <c r="D717" s="2">
        <v>306</v>
      </c>
      <c r="E717" s="4">
        <v>45526</v>
      </c>
      <c r="F717" s="4">
        <v>45533</v>
      </c>
      <c r="G717" s="2">
        <f t="shared" si="11"/>
        <v>7</v>
      </c>
      <c r="H717" s="2">
        <v>46</v>
      </c>
      <c r="I717" t="s">
        <v>78</v>
      </c>
      <c r="J717" t="s">
        <v>9</v>
      </c>
      <c r="K717" s="2">
        <v>25.73</v>
      </c>
      <c r="L717" s="3">
        <v>537.69000000000005</v>
      </c>
      <c r="M717" s="3">
        <f>orders_1[[#This Row],[products.Base_Price]]*orders_1[[#This Row],[Quantity]]</f>
        <v>24733.74</v>
      </c>
      <c r="N717" t="s">
        <v>8</v>
      </c>
      <c r="O717" t="s">
        <v>10</v>
      </c>
      <c r="P717" t="s">
        <v>16</v>
      </c>
    </row>
    <row r="718" spans="1:16" x14ac:dyDescent="0.3">
      <c r="A718" s="2">
        <v>10717</v>
      </c>
      <c r="B718" s="2">
        <v>667</v>
      </c>
      <c r="C718" s="2">
        <v>2052</v>
      </c>
      <c r="D718" s="2">
        <v>304</v>
      </c>
      <c r="E718" s="4">
        <v>45586</v>
      </c>
      <c r="F718" s="4">
        <v>45591</v>
      </c>
      <c r="G718" s="2">
        <f t="shared" si="11"/>
        <v>5</v>
      </c>
      <c r="H718" s="2">
        <v>22</v>
      </c>
      <c r="I718" t="s">
        <v>42</v>
      </c>
      <c r="J718" t="s">
        <v>27</v>
      </c>
      <c r="K718" s="2">
        <v>47.35</v>
      </c>
      <c r="L718" s="3">
        <v>665.2</v>
      </c>
      <c r="M718" s="3">
        <f>orders_1[[#This Row],[products.Base_Price]]*orders_1[[#This Row],[Quantity]]</f>
        <v>14634.400000000001</v>
      </c>
      <c r="N718" t="s">
        <v>17</v>
      </c>
      <c r="O718" t="s">
        <v>18</v>
      </c>
      <c r="P718" t="s">
        <v>19</v>
      </c>
    </row>
    <row r="719" spans="1:16" x14ac:dyDescent="0.3">
      <c r="A719" s="2">
        <v>10718</v>
      </c>
      <c r="B719" s="2">
        <v>683</v>
      </c>
      <c r="C719" s="2">
        <v>2010</v>
      </c>
      <c r="D719" s="2">
        <v>318</v>
      </c>
      <c r="E719" s="4">
        <v>45484</v>
      </c>
      <c r="F719" s="4">
        <v>45485</v>
      </c>
      <c r="G719" s="2">
        <f t="shared" si="11"/>
        <v>1</v>
      </c>
      <c r="H719" s="2">
        <v>20</v>
      </c>
      <c r="I719" t="s">
        <v>39</v>
      </c>
      <c r="J719" t="s">
        <v>13</v>
      </c>
      <c r="K719" s="2">
        <v>9.58</v>
      </c>
      <c r="L719" s="3">
        <v>440.93</v>
      </c>
      <c r="M719" s="3">
        <f>orders_1[[#This Row],[products.Base_Price]]*orders_1[[#This Row],[Quantity]]</f>
        <v>8818.6</v>
      </c>
      <c r="N719" t="s">
        <v>17</v>
      </c>
      <c r="O719" t="s">
        <v>10</v>
      </c>
      <c r="P719" t="s">
        <v>19</v>
      </c>
    </row>
    <row r="720" spans="1:16" x14ac:dyDescent="0.3">
      <c r="A720" s="2">
        <v>10719</v>
      </c>
      <c r="B720" s="2">
        <v>662</v>
      </c>
      <c r="C720" s="2">
        <v>2077</v>
      </c>
      <c r="D720" s="2">
        <v>310</v>
      </c>
      <c r="E720" s="4">
        <v>45305</v>
      </c>
      <c r="F720" s="4">
        <v>45312</v>
      </c>
      <c r="G720" s="2">
        <f t="shared" si="11"/>
        <v>7</v>
      </c>
      <c r="H720" s="2">
        <v>89</v>
      </c>
      <c r="I720" t="s">
        <v>39</v>
      </c>
      <c r="J720" t="s">
        <v>9</v>
      </c>
      <c r="K720" s="2">
        <v>28.18</v>
      </c>
      <c r="L720" s="3">
        <v>857.59</v>
      </c>
      <c r="M720" s="3">
        <f>orders_1[[#This Row],[products.Base_Price]]*orders_1[[#This Row],[Quantity]]</f>
        <v>76325.510000000009</v>
      </c>
      <c r="N720" t="s">
        <v>26</v>
      </c>
      <c r="O720" t="s">
        <v>25</v>
      </c>
      <c r="P720" t="s">
        <v>11</v>
      </c>
    </row>
    <row r="721" spans="1:16" x14ac:dyDescent="0.3">
      <c r="A721" s="2">
        <v>10720</v>
      </c>
      <c r="B721" s="2">
        <v>658</v>
      </c>
      <c r="C721" s="2">
        <v>2090</v>
      </c>
      <c r="D721" s="2">
        <v>301</v>
      </c>
      <c r="E721" s="4">
        <v>45472</v>
      </c>
      <c r="F721" s="4">
        <v>45482</v>
      </c>
      <c r="G721" s="2">
        <f t="shared" si="11"/>
        <v>10</v>
      </c>
      <c r="H721" s="2">
        <v>68</v>
      </c>
      <c r="I721" t="s">
        <v>36</v>
      </c>
      <c r="J721" t="s">
        <v>22</v>
      </c>
      <c r="K721" s="2">
        <v>38.729999999999997</v>
      </c>
      <c r="L721" s="3">
        <v>913.68</v>
      </c>
      <c r="M721" s="3">
        <f>orders_1[[#This Row],[products.Base_Price]]*orders_1[[#This Row],[Quantity]]</f>
        <v>62130.239999999998</v>
      </c>
      <c r="N721" t="s">
        <v>8</v>
      </c>
      <c r="O721" t="s">
        <v>10</v>
      </c>
      <c r="P721" t="s">
        <v>11</v>
      </c>
    </row>
    <row r="722" spans="1:16" x14ac:dyDescent="0.3">
      <c r="A722" s="2">
        <v>10721</v>
      </c>
      <c r="B722" s="2">
        <v>573</v>
      </c>
      <c r="C722" s="2">
        <v>2070</v>
      </c>
      <c r="D722" s="2">
        <v>309</v>
      </c>
      <c r="E722" s="4">
        <v>45634</v>
      </c>
      <c r="F722" s="4">
        <v>45640</v>
      </c>
      <c r="G722" s="2">
        <f t="shared" si="11"/>
        <v>6</v>
      </c>
      <c r="H722" s="2">
        <v>94</v>
      </c>
      <c r="I722" t="s">
        <v>39</v>
      </c>
      <c r="J722" t="s">
        <v>22</v>
      </c>
      <c r="K722" s="2">
        <v>22.6</v>
      </c>
      <c r="L722" s="3">
        <v>196.67</v>
      </c>
      <c r="M722" s="3">
        <f>orders_1[[#This Row],[products.Base_Price]]*orders_1[[#This Row],[Quantity]]</f>
        <v>18486.98</v>
      </c>
      <c r="N722" t="s">
        <v>24</v>
      </c>
      <c r="O722" t="s">
        <v>25</v>
      </c>
      <c r="P722" t="s">
        <v>16</v>
      </c>
    </row>
    <row r="723" spans="1:16" x14ac:dyDescent="0.3">
      <c r="A723" s="2">
        <v>10722</v>
      </c>
      <c r="B723" s="2">
        <v>595</v>
      </c>
      <c r="C723" s="2">
        <v>2078</v>
      </c>
      <c r="D723" s="2">
        <v>301</v>
      </c>
      <c r="E723" s="4">
        <v>45334</v>
      </c>
      <c r="F723" s="4">
        <v>45340</v>
      </c>
      <c r="G723" s="2">
        <f t="shared" si="11"/>
        <v>6</v>
      </c>
      <c r="H723" s="2">
        <v>90</v>
      </c>
      <c r="I723" t="s">
        <v>36</v>
      </c>
      <c r="J723" t="s">
        <v>21</v>
      </c>
      <c r="K723" s="2">
        <v>14.85</v>
      </c>
      <c r="L723" s="3">
        <v>517.03</v>
      </c>
      <c r="M723" s="3">
        <f>orders_1[[#This Row],[products.Base_Price]]*orders_1[[#This Row],[Quantity]]</f>
        <v>46532.7</v>
      </c>
      <c r="N723" t="s">
        <v>8</v>
      </c>
      <c r="O723" t="s">
        <v>10</v>
      </c>
      <c r="P723" t="s">
        <v>11</v>
      </c>
    </row>
    <row r="724" spans="1:16" x14ac:dyDescent="0.3">
      <c r="A724" s="2">
        <v>10723</v>
      </c>
      <c r="B724" s="2">
        <v>755</v>
      </c>
      <c r="C724" s="2">
        <v>2057</v>
      </c>
      <c r="D724" s="2">
        <v>302</v>
      </c>
      <c r="E724" s="4">
        <v>45549</v>
      </c>
      <c r="F724" s="4">
        <v>45559</v>
      </c>
      <c r="G724" s="2">
        <f t="shared" si="11"/>
        <v>10</v>
      </c>
      <c r="H724" s="2">
        <v>5</v>
      </c>
      <c r="I724" t="s">
        <v>42</v>
      </c>
      <c r="J724" t="s">
        <v>22</v>
      </c>
      <c r="K724" s="2">
        <v>34.299999999999997</v>
      </c>
      <c r="L724" s="3">
        <v>40.43</v>
      </c>
      <c r="M724" s="3">
        <f>orders_1[[#This Row],[products.Base_Price]]*orders_1[[#This Row],[Quantity]]</f>
        <v>202.15</v>
      </c>
      <c r="N724" t="s">
        <v>12</v>
      </c>
      <c r="O724" t="s">
        <v>14</v>
      </c>
      <c r="P724" t="s">
        <v>11</v>
      </c>
    </row>
    <row r="725" spans="1:16" x14ac:dyDescent="0.3">
      <c r="A725" s="2">
        <v>10724</v>
      </c>
      <c r="B725" s="2">
        <v>577</v>
      </c>
      <c r="C725" s="2">
        <v>2039</v>
      </c>
      <c r="D725" s="2">
        <v>303</v>
      </c>
      <c r="E725" s="4">
        <v>45352</v>
      </c>
      <c r="F725" s="4">
        <v>45358</v>
      </c>
      <c r="G725" s="2">
        <f t="shared" si="11"/>
        <v>6</v>
      </c>
      <c r="H725" s="2">
        <v>89</v>
      </c>
      <c r="I725" t="s">
        <v>36</v>
      </c>
      <c r="J725" t="s">
        <v>27</v>
      </c>
      <c r="K725" s="2">
        <v>2.69</v>
      </c>
      <c r="L725" s="3">
        <v>350.51</v>
      </c>
      <c r="M725" s="3">
        <f>orders_1[[#This Row],[products.Base_Price]]*orders_1[[#This Row],[Quantity]]</f>
        <v>31195.39</v>
      </c>
      <c r="N725" t="s">
        <v>15</v>
      </c>
      <c r="O725" t="s">
        <v>10</v>
      </c>
      <c r="P725" t="s">
        <v>16</v>
      </c>
    </row>
    <row r="726" spans="1:16" x14ac:dyDescent="0.3">
      <c r="A726" s="2">
        <v>10725</v>
      </c>
      <c r="B726" s="2">
        <v>738</v>
      </c>
      <c r="C726" s="2">
        <v>2046</v>
      </c>
      <c r="D726" s="2">
        <v>307</v>
      </c>
      <c r="E726" s="4">
        <v>45462</v>
      </c>
      <c r="F726" s="4">
        <v>45470</v>
      </c>
      <c r="G726" s="2">
        <f t="shared" si="11"/>
        <v>8</v>
      </c>
      <c r="H726" s="2">
        <v>96</v>
      </c>
      <c r="I726" t="s">
        <v>78</v>
      </c>
      <c r="J726" t="s">
        <v>27</v>
      </c>
      <c r="K726" s="2">
        <v>38.130000000000003</v>
      </c>
      <c r="L726" s="3">
        <v>649.34</v>
      </c>
      <c r="M726" s="3">
        <f>orders_1[[#This Row],[products.Base_Price]]*orders_1[[#This Row],[Quantity]]</f>
        <v>62336.639999999999</v>
      </c>
      <c r="N726" t="s">
        <v>17</v>
      </c>
      <c r="O726" t="s">
        <v>10</v>
      </c>
      <c r="P726" t="s">
        <v>11</v>
      </c>
    </row>
    <row r="727" spans="1:16" x14ac:dyDescent="0.3">
      <c r="A727" s="2">
        <v>10726</v>
      </c>
      <c r="B727" s="2">
        <v>585</v>
      </c>
      <c r="C727" s="2">
        <v>2037</v>
      </c>
      <c r="D727" s="2">
        <v>319</v>
      </c>
      <c r="E727" s="4">
        <v>45408</v>
      </c>
      <c r="F727" s="4">
        <v>45409</v>
      </c>
      <c r="G727" s="2">
        <f t="shared" si="11"/>
        <v>1</v>
      </c>
      <c r="H727" s="2">
        <v>3</v>
      </c>
      <c r="I727" t="s">
        <v>36</v>
      </c>
      <c r="J727" t="s">
        <v>21</v>
      </c>
      <c r="K727" s="2">
        <v>29.23</v>
      </c>
      <c r="L727" s="3">
        <v>491.44</v>
      </c>
      <c r="M727" s="3">
        <f>orders_1[[#This Row],[products.Base_Price]]*orders_1[[#This Row],[Quantity]]</f>
        <v>1474.32</v>
      </c>
      <c r="N727" t="s">
        <v>20</v>
      </c>
      <c r="O727" t="s">
        <v>18</v>
      </c>
      <c r="P727" t="s">
        <v>11</v>
      </c>
    </row>
    <row r="728" spans="1:16" x14ac:dyDescent="0.3">
      <c r="A728" s="2">
        <v>10727</v>
      </c>
      <c r="B728" s="2">
        <v>732</v>
      </c>
      <c r="C728" s="2">
        <v>2100</v>
      </c>
      <c r="D728" s="2">
        <v>320</v>
      </c>
      <c r="E728" s="4">
        <v>45599</v>
      </c>
      <c r="F728" s="4">
        <v>45606</v>
      </c>
      <c r="G728" s="2">
        <f t="shared" si="11"/>
        <v>7</v>
      </c>
      <c r="H728" s="2">
        <v>30</v>
      </c>
      <c r="I728" t="s">
        <v>78</v>
      </c>
      <c r="J728" t="s">
        <v>27</v>
      </c>
      <c r="K728" s="2">
        <v>2.2799999999999998</v>
      </c>
      <c r="L728" s="3">
        <v>813.8</v>
      </c>
      <c r="M728" s="3">
        <f>orders_1[[#This Row],[products.Base_Price]]*orders_1[[#This Row],[Quantity]]</f>
        <v>24414</v>
      </c>
      <c r="N728" t="s">
        <v>15</v>
      </c>
      <c r="O728" t="s">
        <v>25</v>
      </c>
      <c r="P728" t="s">
        <v>11</v>
      </c>
    </row>
    <row r="729" spans="1:16" x14ac:dyDescent="0.3">
      <c r="A729" s="2">
        <v>10728</v>
      </c>
      <c r="B729" s="2">
        <v>757</v>
      </c>
      <c r="C729" s="2">
        <v>2016</v>
      </c>
      <c r="D729" s="2">
        <v>309</v>
      </c>
      <c r="E729" s="4">
        <v>45301</v>
      </c>
      <c r="F729" s="4">
        <v>45309</v>
      </c>
      <c r="G729" s="2">
        <f t="shared" si="11"/>
        <v>8</v>
      </c>
      <c r="H729" s="2">
        <v>98</v>
      </c>
      <c r="I729" t="s">
        <v>78</v>
      </c>
      <c r="J729" t="s">
        <v>13</v>
      </c>
      <c r="K729" s="2">
        <v>12.52</v>
      </c>
      <c r="L729" s="3">
        <v>709.8</v>
      </c>
      <c r="M729" s="3">
        <f>orders_1[[#This Row],[products.Base_Price]]*orders_1[[#This Row],[Quantity]]</f>
        <v>69560.399999999994</v>
      </c>
      <c r="N729" t="s">
        <v>24</v>
      </c>
      <c r="O729" t="s">
        <v>25</v>
      </c>
      <c r="P729" t="s">
        <v>16</v>
      </c>
    </row>
    <row r="730" spans="1:16" x14ac:dyDescent="0.3">
      <c r="A730" s="2">
        <v>10729</v>
      </c>
      <c r="B730" s="2">
        <v>679</v>
      </c>
      <c r="C730" s="2">
        <v>2007</v>
      </c>
      <c r="D730" s="2">
        <v>307</v>
      </c>
      <c r="E730" s="4">
        <v>45326</v>
      </c>
      <c r="F730" s="4">
        <v>45330</v>
      </c>
      <c r="G730" s="2">
        <f t="shared" si="11"/>
        <v>4</v>
      </c>
      <c r="H730" s="2">
        <v>13</v>
      </c>
      <c r="I730" t="s">
        <v>39</v>
      </c>
      <c r="J730" t="s">
        <v>21</v>
      </c>
      <c r="K730" s="2">
        <v>48.07</v>
      </c>
      <c r="L730" s="3">
        <v>759.78</v>
      </c>
      <c r="M730" s="3">
        <f>orders_1[[#This Row],[products.Base_Price]]*orders_1[[#This Row],[Quantity]]</f>
        <v>9877.14</v>
      </c>
      <c r="N730" t="s">
        <v>17</v>
      </c>
      <c r="O730" t="s">
        <v>10</v>
      </c>
      <c r="P730" t="s">
        <v>11</v>
      </c>
    </row>
    <row r="731" spans="1:16" x14ac:dyDescent="0.3">
      <c r="A731" s="2">
        <v>10730</v>
      </c>
      <c r="B731" s="2">
        <v>507</v>
      </c>
      <c r="C731" s="2">
        <v>2044</v>
      </c>
      <c r="D731" s="2">
        <v>320</v>
      </c>
      <c r="E731" s="4">
        <v>45433</v>
      </c>
      <c r="F731" s="4">
        <v>45436</v>
      </c>
      <c r="G731" s="2">
        <f t="shared" si="11"/>
        <v>3</v>
      </c>
      <c r="H731" s="2">
        <v>85</v>
      </c>
      <c r="I731" t="s">
        <v>78</v>
      </c>
      <c r="J731" t="s">
        <v>21</v>
      </c>
      <c r="K731" s="2">
        <v>11.44</v>
      </c>
      <c r="L731" s="3">
        <v>939.99</v>
      </c>
      <c r="M731" s="3">
        <f>orders_1[[#This Row],[products.Base_Price]]*orders_1[[#This Row],[Quantity]]</f>
        <v>79899.149999999994</v>
      </c>
      <c r="N731" t="s">
        <v>15</v>
      </c>
      <c r="O731" t="s">
        <v>25</v>
      </c>
      <c r="P731" t="s">
        <v>11</v>
      </c>
    </row>
    <row r="732" spans="1:16" x14ac:dyDescent="0.3">
      <c r="A732" s="2">
        <v>10731</v>
      </c>
      <c r="B732" s="2">
        <v>619</v>
      </c>
      <c r="C732" s="2">
        <v>2056</v>
      </c>
      <c r="D732" s="2">
        <v>304</v>
      </c>
      <c r="E732" s="4">
        <v>45599</v>
      </c>
      <c r="F732" s="4">
        <v>45604</v>
      </c>
      <c r="G732" s="2">
        <f t="shared" si="11"/>
        <v>5</v>
      </c>
      <c r="H732" s="2">
        <v>94</v>
      </c>
      <c r="I732" t="s">
        <v>39</v>
      </c>
      <c r="J732" t="s">
        <v>9</v>
      </c>
      <c r="K732" s="2">
        <v>18.559999999999999</v>
      </c>
      <c r="L732" s="3">
        <v>564.01</v>
      </c>
      <c r="M732" s="3">
        <f>orders_1[[#This Row],[products.Base_Price]]*orders_1[[#This Row],[Quantity]]</f>
        <v>53016.94</v>
      </c>
      <c r="N732" t="s">
        <v>17</v>
      </c>
      <c r="O732" t="s">
        <v>18</v>
      </c>
      <c r="P732" t="s">
        <v>19</v>
      </c>
    </row>
    <row r="733" spans="1:16" x14ac:dyDescent="0.3">
      <c r="A733" s="2">
        <v>10732</v>
      </c>
      <c r="B733" s="2">
        <v>569</v>
      </c>
      <c r="C733" s="2">
        <v>2021</v>
      </c>
      <c r="D733" s="2">
        <v>318</v>
      </c>
      <c r="E733" s="4">
        <v>45401</v>
      </c>
      <c r="F733" s="4">
        <v>45405</v>
      </c>
      <c r="G733" s="2">
        <f t="shared" si="11"/>
        <v>4</v>
      </c>
      <c r="H733" s="2">
        <v>57</v>
      </c>
      <c r="I733" t="s">
        <v>36</v>
      </c>
      <c r="J733" t="s">
        <v>9</v>
      </c>
      <c r="K733" s="2">
        <v>18.77</v>
      </c>
      <c r="L733" s="3">
        <v>259.72000000000003</v>
      </c>
      <c r="M733" s="3">
        <f>orders_1[[#This Row],[products.Base_Price]]*orders_1[[#This Row],[Quantity]]</f>
        <v>14804.04</v>
      </c>
      <c r="N733" t="s">
        <v>17</v>
      </c>
      <c r="O733" t="s">
        <v>10</v>
      </c>
      <c r="P733" t="s">
        <v>19</v>
      </c>
    </row>
    <row r="734" spans="1:16" x14ac:dyDescent="0.3">
      <c r="A734" s="2">
        <v>10733</v>
      </c>
      <c r="B734" s="2">
        <v>624</v>
      </c>
      <c r="C734" s="2">
        <v>2063</v>
      </c>
      <c r="D734" s="2">
        <v>315</v>
      </c>
      <c r="E734" s="4">
        <v>45594</v>
      </c>
      <c r="F734" s="4">
        <v>45598</v>
      </c>
      <c r="G734" s="2">
        <f t="shared" si="11"/>
        <v>4</v>
      </c>
      <c r="H734" s="2">
        <v>70</v>
      </c>
      <c r="I734" t="s">
        <v>36</v>
      </c>
      <c r="J734" t="s">
        <v>9</v>
      </c>
      <c r="K734" s="2">
        <v>13.23</v>
      </c>
      <c r="L734" s="3">
        <v>151.69999999999999</v>
      </c>
      <c r="M734" s="3">
        <f>orders_1[[#This Row],[products.Base_Price]]*orders_1[[#This Row],[Quantity]]</f>
        <v>10619</v>
      </c>
      <c r="N734" t="s">
        <v>15</v>
      </c>
      <c r="O734" t="s">
        <v>25</v>
      </c>
      <c r="P734" t="s">
        <v>19</v>
      </c>
    </row>
    <row r="735" spans="1:16" x14ac:dyDescent="0.3">
      <c r="A735" s="2">
        <v>10734</v>
      </c>
      <c r="B735" s="2">
        <v>843</v>
      </c>
      <c r="C735" s="2">
        <v>2030</v>
      </c>
      <c r="D735" s="2">
        <v>317</v>
      </c>
      <c r="E735" s="4">
        <v>45604</v>
      </c>
      <c r="F735" s="4">
        <v>45613</v>
      </c>
      <c r="G735" s="2">
        <f t="shared" si="11"/>
        <v>9</v>
      </c>
      <c r="H735" s="2">
        <v>62</v>
      </c>
      <c r="I735" t="s">
        <v>39</v>
      </c>
      <c r="J735" t="s">
        <v>13</v>
      </c>
      <c r="K735" s="2">
        <v>27.52</v>
      </c>
      <c r="L735" s="3">
        <v>537.03</v>
      </c>
      <c r="M735" s="3">
        <f>orders_1[[#This Row],[products.Base_Price]]*orders_1[[#This Row],[Quantity]]</f>
        <v>33295.86</v>
      </c>
      <c r="N735" t="s">
        <v>20</v>
      </c>
      <c r="O735" t="s">
        <v>25</v>
      </c>
      <c r="P735" t="s">
        <v>19</v>
      </c>
    </row>
    <row r="736" spans="1:16" x14ac:dyDescent="0.3">
      <c r="A736" s="2">
        <v>10735</v>
      </c>
      <c r="B736" s="2">
        <v>690</v>
      </c>
      <c r="C736" s="2">
        <v>2078</v>
      </c>
      <c r="D736" s="2">
        <v>317</v>
      </c>
      <c r="E736" s="4">
        <v>45473</v>
      </c>
      <c r="F736" s="4">
        <v>45474</v>
      </c>
      <c r="G736" s="2">
        <f t="shared" si="11"/>
        <v>1</v>
      </c>
      <c r="H736" s="2">
        <v>28</v>
      </c>
      <c r="I736" t="s">
        <v>78</v>
      </c>
      <c r="J736" t="s">
        <v>21</v>
      </c>
      <c r="K736" s="2">
        <v>14.85</v>
      </c>
      <c r="L736" s="3">
        <v>517.03</v>
      </c>
      <c r="M736" s="3">
        <f>orders_1[[#This Row],[products.Base_Price]]*orders_1[[#This Row],[Quantity]]</f>
        <v>14476.84</v>
      </c>
      <c r="N736" t="s">
        <v>20</v>
      </c>
      <c r="O736" t="s">
        <v>25</v>
      </c>
      <c r="P736" t="s">
        <v>19</v>
      </c>
    </row>
    <row r="737" spans="1:16" x14ac:dyDescent="0.3">
      <c r="A737" s="2">
        <v>10736</v>
      </c>
      <c r="B737" s="2">
        <v>620</v>
      </c>
      <c r="C737" s="2">
        <v>2094</v>
      </c>
      <c r="D737" s="2">
        <v>317</v>
      </c>
      <c r="E737" s="4">
        <v>45571</v>
      </c>
      <c r="F737" s="4">
        <v>45581</v>
      </c>
      <c r="G737" s="2">
        <f t="shared" si="11"/>
        <v>10</v>
      </c>
      <c r="H737" s="2">
        <v>67</v>
      </c>
      <c r="I737" t="s">
        <v>78</v>
      </c>
      <c r="J737" t="s">
        <v>27</v>
      </c>
      <c r="K737" s="2">
        <v>22.56</v>
      </c>
      <c r="L737" s="3">
        <v>393.53</v>
      </c>
      <c r="M737" s="3">
        <f>orders_1[[#This Row],[products.Base_Price]]*orders_1[[#This Row],[Quantity]]</f>
        <v>26366.51</v>
      </c>
      <c r="N737" t="s">
        <v>20</v>
      </c>
      <c r="O737" t="s">
        <v>25</v>
      </c>
      <c r="P737" t="s">
        <v>19</v>
      </c>
    </row>
    <row r="738" spans="1:16" x14ac:dyDescent="0.3">
      <c r="A738" s="2">
        <v>10737</v>
      </c>
      <c r="B738" s="2">
        <v>605</v>
      </c>
      <c r="C738" s="2">
        <v>2060</v>
      </c>
      <c r="D738" s="2">
        <v>319</v>
      </c>
      <c r="E738" s="4">
        <v>45548</v>
      </c>
      <c r="F738" s="4">
        <v>45558</v>
      </c>
      <c r="G738" s="2">
        <f t="shared" si="11"/>
        <v>10</v>
      </c>
      <c r="H738" s="2">
        <v>97</v>
      </c>
      <c r="I738" t="s">
        <v>78</v>
      </c>
      <c r="J738" t="s">
        <v>21</v>
      </c>
      <c r="K738" s="2">
        <v>3.65</v>
      </c>
      <c r="L738" s="3">
        <v>173.1</v>
      </c>
      <c r="M738" s="3">
        <f>orders_1[[#This Row],[products.Base_Price]]*orders_1[[#This Row],[Quantity]]</f>
        <v>16790.7</v>
      </c>
      <c r="N738" t="s">
        <v>20</v>
      </c>
      <c r="O738" t="s">
        <v>18</v>
      </c>
      <c r="P738" t="s">
        <v>11</v>
      </c>
    </row>
    <row r="739" spans="1:16" x14ac:dyDescent="0.3">
      <c r="A739" s="2">
        <v>10738</v>
      </c>
      <c r="B739" s="2">
        <v>503</v>
      </c>
      <c r="C739" s="2">
        <v>2026</v>
      </c>
      <c r="D739" s="2">
        <v>306</v>
      </c>
      <c r="E739" s="4">
        <v>45651</v>
      </c>
      <c r="F739" s="4">
        <v>45660</v>
      </c>
      <c r="G739" s="2">
        <f t="shared" si="11"/>
        <v>9</v>
      </c>
      <c r="H739" s="2">
        <v>93</v>
      </c>
      <c r="I739" t="s">
        <v>78</v>
      </c>
      <c r="J739" t="s">
        <v>22</v>
      </c>
      <c r="K739" s="2">
        <v>23.02</v>
      </c>
      <c r="L739" s="3">
        <v>858.57</v>
      </c>
      <c r="M739" s="3">
        <f>orders_1[[#This Row],[products.Base_Price]]*orders_1[[#This Row],[Quantity]]</f>
        <v>79847.010000000009</v>
      </c>
      <c r="N739" t="s">
        <v>8</v>
      </c>
      <c r="O739" t="s">
        <v>10</v>
      </c>
      <c r="P739" t="s">
        <v>16</v>
      </c>
    </row>
    <row r="740" spans="1:16" x14ac:dyDescent="0.3">
      <c r="A740" s="2">
        <v>10739</v>
      </c>
      <c r="B740" s="2">
        <v>724</v>
      </c>
      <c r="C740" s="2">
        <v>2091</v>
      </c>
      <c r="D740" s="2">
        <v>302</v>
      </c>
      <c r="E740" s="4">
        <v>45491</v>
      </c>
      <c r="F740" s="4">
        <v>45494</v>
      </c>
      <c r="G740" s="2">
        <f t="shared" si="11"/>
        <v>3</v>
      </c>
      <c r="H740" s="2">
        <v>31</v>
      </c>
      <c r="I740" t="s">
        <v>39</v>
      </c>
      <c r="J740" t="s">
        <v>21</v>
      </c>
      <c r="K740" s="2">
        <v>10.41</v>
      </c>
      <c r="L740" s="3">
        <v>271.61</v>
      </c>
      <c r="M740" s="3">
        <f>orders_1[[#This Row],[products.Base_Price]]*orders_1[[#This Row],[Quantity]]</f>
        <v>8419.91</v>
      </c>
      <c r="N740" t="s">
        <v>12</v>
      </c>
      <c r="O740" t="s">
        <v>14</v>
      </c>
      <c r="P740" t="s">
        <v>11</v>
      </c>
    </row>
    <row r="741" spans="1:16" x14ac:dyDescent="0.3">
      <c r="A741" s="2">
        <v>10740</v>
      </c>
      <c r="B741" s="2">
        <v>500</v>
      </c>
      <c r="C741" s="2">
        <v>2055</v>
      </c>
      <c r="D741" s="2">
        <v>320</v>
      </c>
      <c r="E741" s="4">
        <v>45554</v>
      </c>
      <c r="F741" s="4">
        <v>45563</v>
      </c>
      <c r="G741" s="2">
        <f t="shared" si="11"/>
        <v>9</v>
      </c>
      <c r="H741" s="2">
        <v>87</v>
      </c>
      <c r="I741" t="s">
        <v>36</v>
      </c>
      <c r="J741" t="s">
        <v>27</v>
      </c>
      <c r="K741" s="2">
        <v>26.24</v>
      </c>
      <c r="L741" s="3">
        <v>312.67</v>
      </c>
      <c r="M741" s="3">
        <f>orders_1[[#This Row],[products.Base_Price]]*orders_1[[#This Row],[Quantity]]</f>
        <v>27202.29</v>
      </c>
      <c r="N741" t="s">
        <v>15</v>
      </c>
      <c r="O741" t="s">
        <v>25</v>
      </c>
      <c r="P741" t="s">
        <v>11</v>
      </c>
    </row>
    <row r="742" spans="1:16" x14ac:dyDescent="0.3">
      <c r="A742" s="2">
        <v>10741</v>
      </c>
      <c r="B742" s="2">
        <v>531</v>
      </c>
      <c r="C742" s="2">
        <v>2077</v>
      </c>
      <c r="D742" s="2">
        <v>307</v>
      </c>
      <c r="E742" s="4">
        <v>45448</v>
      </c>
      <c r="F742" s="4">
        <v>45452</v>
      </c>
      <c r="G742" s="2">
        <f t="shared" si="11"/>
        <v>4</v>
      </c>
      <c r="H742" s="2">
        <v>94</v>
      </c>
      <c r="I742" t="s">
        <v>42</v>
      </c>
      <c r="J742" t="s">
        <v>9</v>
      </c>
      <c r="K742" s="2">
        <v>28.18</v>
      </c>
      <c r="L742" s="3">
        <v>857.59</v>
      </c>
      <c r="M742" s="3">
        <f>orders_1[[#This Row],[products.Base_Price]]*orders_1[[#This Row],[Quantity]]</f>
        <v>80613.460000000006</v>
      </c>
      <c r="N742" t="s">
        <v>17</v>
      </c>
      <c r="O742" t="s">
        <v>10</v>
      </c>
      <c r="P742" t="s">
        <v>11</v>
      </c>
    </row>
    <row r="743" spans="1:16" x14ac:dyDescent="0.3">
      <c r="A743" s="2">
        <v>10742</v>
      </c>
      <c r="B743" s="2">
        <v>615</v>
      </c>
      <c r="C743" s="2">
        <v>2079</v>
      </c>
      <c r="D743" s="2">
        <v>301</v>
      </c>
      <c r="E743" s="4">
        <v>45652</v>
      </c>
      <c r="F743" s="4">
        <v>45655</v>
      </c>
      <c r="G743" s="2">
        <f t="shared" si="11"/>
        <v>3</v>
      </c>
      <c r="H743" s="2">
        <v>15</v>
      </c>
      <c r="I743" t="s">
        <v>36</v>
      </c>
      <c r="J743" t="s">
        <v>22</v>
      </c>
      <c r="K743" s="2">
        <v>12.3</v>
      </c>
      <c r="L743" s="3">
        <v>99.7</v>
      </c>
      <c r="M743" s="3">
        <f>orders_1[[#This Row],[products.Base_Price]]*orders_1[[#This Row],[Quantity]]</f>
        <v>1495.5</v>
      </c>
      <c r="N743" t="s">
        <v>8</v>
      </c>
      <c r="O743" t="s">
        <v>10</v>
      </c>
      <c r="P743" t="s">
        <v>11</v>
      </c>
    </row>
    <row r="744" spans="1:16" x14ac:dyDescent="0.3">
      <c r="A744" s="2">
        <v>10743</v>
      </c>
      <c r="B744" s="2">
        <v>721</v>
      </c>
      <c r="C744" s="2">
        <v>2012</v>
      </c>
      <c r="D744" s="2">
        <v>306</v>
      </c>
      <c r="E744" s="4">
        <v>45326</v>
      </c>
      <c r="F744" s="4">
        <v>45331</v>
      </c>
      <c r="G744" s="2">
        <f t="shared" si="11"/>
        <v>5</v>
      </c>
      <c r="H744" s="2">
        <v>68</v>
      </c>
      <c r="I744" t="s">
        <v>78</v>
      </c>
      <c r="J744" t="s">
        <v>21</v>
      </c>
      <c r="K744" s="2">
        <v>34.93</v>
      </c>
      <c r="L744" s="3">
        <v>327.92</v>
      </c>
      <c r="M744" s="3">
        <f>orders_1[[#This Row],[products.Base_Price]]*orders_1[[#This Row],[Quantity]]</f>
        <v>22298.560000000001</v>
      </c>
      <c r="N744" t="s">
        <v>8</v>
      </c>
      <c r="O744" t="s">
        <v>10</v>
      </c>
      <c r="P744" t="s">
        <v>16</v>
      </c>
    </row>
    <row r="745" spans="1:16" x14ac:dyDescent="0.3">
      <c r="A745" s="2">
        <v>10744</v>
      </c>
      <c r="B745" s="2">
        <v>652</v>
      </c>
      <c r="C745" s="2">
        <v>2092</v>
      </c>
      <c r="D745" s="2">
        <v>314</v>
      </c>
      <c r="E745" s="4">
        <v>45355</v>
      </c>
      <c r="F745" s="4">
        <v>45356</v>
      </c>
      <c r="G745" s="2">
        <f t="shared" si="11"/>
        <v>1</v>
      </c>
      <c r="H745" s="2">
        <v>2</v>
      </c>
      <c r="I745" t="s">
        <v>36</v>
      </c>
      <c r="J745" t="s">
        <v>22</v>
      </c>
      <c r="K745" s="2">
        <v>30.97</v>
      </c>
      <c r="L745" s="3">
        <v>521.23</v>
      </c>
      <c r="M745" s="3">
        <f>orders_1[[#This Row],[products.Base_Price]]*orders_1[[#This Row],[Quantity]]</f>
        <v>1042.46</v>
      </c>
      <c r="N745" t="s">
        <v>17</v>
      </c>
      <c r="O745" t="s">
        <v>14</v>
      </c>
      <c r="P745" t="s">
        <v>19</v>
      </c>
    </row>
    <row r="746" spans="1:16" x14ac:dyDescent="0.3">
      <c r="A746" s="2">
        <v>10745</v>
      </c>
      <c r="B746" s="2">
        <v>537</v>
      </c>
      <c r="C746" s="2">
        <v>2099</v>
      </c>
      <c r="D746" s="2">
        <v>302</v>
      </c>
      <c r="E746" s="4">
        <v>45538</v>
      </c>
      <c r="F746" s="4">
        <v>45541</v>
      </c>
      <c r="G746" s="2">
        <f t="shared" si="11"/>
        <v>3</v>
      </c>
      <c r="H746" s="2">
        <v>88</v>
      </c>
      <c r="I746" t="s">
        <v>39</v>
      </c>
      <c r="J746" t="s">
        <v>21</v>
      </c>
      <c r="K746" s="2">
        <v>31.62</v>
      </c>
      <c r="L746" s="3">
        <v>652.77</v>
      </c>
      <c r="M746" s="3">
        <f>orders_1[[#This Row],[products.Base_Price]]*orders_1[[#This Row],[Quantity]]</f>
        <v>57443.759999999995</v>
      </c>
      <c r="N746" t="s">
        <v>12</v>
      </c>
      <c r="O746" t="s">
        <v>14</v>
      </c>
      <c r="P746" t="s">
        <v>11</v>
      </c>
    </row>
    <row r="747" spans="1:16" x14ac:dyDescent="0.3">
      <c r="A747" s="2">
        <v>10746</v>
      </c>
      <c r="B747" s="2">
        <v>651</v>
      </c>
      <c r="C747" s="2">
        <v>2012</v>
      </c>
      <c r="D747" s="2">
        <v>311</v>
      </c>
      <c r="E747" s="4">
        <v>45600</v>
      </c>
      <c r="F747" s="4">
        <v>45608</v>
      </c>
      <c r="G747" s="2">
        <f t="shared" si="11"/>
        <v>8</v>
      </c>
      <c r="H747" s="2">
        <v>27</v>
      </c>
      <c r="I747" t="s">
        <v>39</v>
      </c>
      <c r="J747" t="s">
        <v>21</v>
      </c>
      <c r="K747" s="2">
        <v>34.93</v>
      </c>
      <c r="L747" s="3">
        <v>327.92</v>
      </c>
      <c r="M747" s="3">
        <f>orders_1[[#This Row],[products.Base_Price]]*orders_1[[#This Row],[Quantity]]</f>
        <v>8853.84</v>
      </c>
      <c r="N747" t="s">
        <v>26</v>
      </c>
      <c r="O747" t="s">
        <v>10</v>
      </c>
      <c r="P747" t="s">
        <v>11</v>
      </c>
    </row>
    <row r="748" spans="1:16" x14ac:dyDescent="0.3">
      <c r="A748" s="2">
        <v>10747</v>
      </c>
      <c r="B748" s="2">
        <v>778</v>
      </c>
      <c r="C748" s="2">
        <v>2070</v>
      </c>
      <c r="D748" s="2">
        <v>319</v>
      </c>
      <c r="E748" s="4">
        <v>45611</v>
      </c>
      <c r="F748" s="4">
        <v>45613</v>
      </c>
      <c r="G748" s="2">
        <f t="shared" si="11"/>
        <v>2</v>
      </c>
      <c r="H748" s="2">
        <v>98</v>
      </c>
      <c r="I748" t="s">
        <v>78</v>
      </c>
      <c r="J748" t="s">
        <v>22</v>
      </c>
      <c r="K748" s="2">
        <v>22.6</v>
      </c>
      <c r="L748" s="3">
        <v>196.67</v>
      </c>
      <c r="M748" s="3">
        <f>orders_1[[#This Row],[products.Base_Price]]*orders_1[[#This Row],[Quantity]]</f>
        <v>19273.66</v>
      </c>
      <c r="N748" t="s">
        <v>20</v>
      </c>
      <c r="O748" t="s">
        <v>18</v>
      </c>
      <c r="P748" t="s">
        <v>11</v>
      </c>
    </row>
    <row r="749" spans="1:16" x14ac:dyDescent="0.3">
      <c r="A749" s="2">
        <v>10748</v>
      </c>
      <c r="B749" s="2">
        <v>792</v>
      </c>
      <c r="C749" s="2">
        <v>2035</v>
      </c>
      <c r="D749" s="2">
        <v>319</v>
      </c>
      <c r="E749" s="4">
        <v>45610</v>
      </c>
      <c r="F749" s="4">
        <v>45618</v>
      </c>
      <c r="G749" s="2">
        <f t="shared" si="11"/>
        <v>8</v>
      </c>
      <c r="H749" s="2">
        <v>70</v>
      </c>
      <c r="I749" t="s">
        <v>36</v>
      </c>
      <c r="J749" t="s">
        <v>27</v>
      </c>
      <c r="K749" s="2">
        <v>18.55</v>
      </c>
      <c r="L749" s="3">
        <v>636.37</v>
      </c>
      <c r="M749" s="3">
        <f>orders_1[[#This Row],[products.Base_Price]]*orders_1[[#This Row],[Quantity]]</f>
        <v>44545.9</v>
      </c>
      <c r="N749" t="s">
        <v>20</v>
      </c>
      <c r="O749" t="s">
        <v>18</v>
      </c>
      <c r="P749" t="s">
        <v>11</v>
      </c>
    </row>
    <row r="750" spans="1:16" x14ac:dyDescent="0.3">
      <c r="A750" s="2">
        <v>10749</v>
      </c>
      <c r="B750" s="2">
        <v>509</v>
      </c>
      <c r="C750" s="2">
        <v>2080</v>
      </c>
      <c r="D750" s="2">
        <v>319</v>
      </c>
      <c r="E750" s="4">
        <v>45602</v>
      </c>
      <c r="F750" s="4">
        <v>45610</v>
      </c>
      <c r="G750" s="2">
        <f t="shared" si="11"/>
        <v>8</v>
      </c>
      <c r="H750" s="2">
        <v>96</v>
      </c>
      <c r="I750" t="s">
        <v>78</v>
      </c>
      <c r="J750" t="s">
        <v>9</v>
      </c>
      <c r="K750" s="2">
        <v>29.56</v>
      </c>
      <c r="L750" s="3">
        <v>143.84</v>
      </c>
      <c r="M750" s="3">
        <f>orders_1[[#This Row],[products.Base_Price]]*orders_1[[#This Row],[Quantity]]</f>
        <v>13808.64</v>
      </c>
      <c r="N750" t="s">
        <v>20</v>
      </c>
      <c r="O750" t="s">
        <v>18</v>
      </c>
      <c r="P750" t="s">
        <v>11</v>
      </c>
    </row>
    <row r="751" spans="1:16" x14ac:dyDescent="0.3">
      <c r="A751" s="2">
        <v>10750</v>
      </c>
      <c r="B751" s="2">
        <v>900</v>
      </c>
      <c r="C751" s="2">
        <v>2087</v>
      </c>
      <c r="D751" s="2">
        <v>315</v>
      </c>
      <c r="E751" s="4">
        <v>45535</v>
      </c>
      <c r="F751" s="4">
        <v>45542</v>
      </c>
      <c r="G751" s="2">
        <f t="shared" si="11"/>
        <v>7</v>
      </c>
      <c r="H751" s="2">
        <v>84</v>
      </c>
      <c r="I751" t="s">
        <v>39</v>
      </c>
      <c r="J751" t="s">
        <v>9</v>
      </c>
      <c r="K751" s="2">
        <v>35.82</v>
      </c>
      <c r="L751" s="3">
        <v>47.38</v>
      </c>
      <c r="M751" s="3">
        <f>orders_1[[#This Row],[products.Base_Price]]*orders_1[[#This Row],[Quantity]]</f>
        <v>3979.92</v>
      </c>
      <c r="N751" t="s">
        <v>15</v>
      </c>
      <c r="O751" t="s">
        <v>25</v>
      </c>
      <c r="P751" t="s">
        <v>19</v>
      </c>
    </row>
    <row r="752" spans="1:16" x14ac:dyDescent="0.3">
      <c r="A752" s="2">
        <v>10751</v>
      </c>
      <c r="B752" s="2">
        <v>713</v>
      </c>
      <c r="C752" s="2">
        <v>2082</v>
      </c>
      <c r="D752" s="2">
        <v>318</v>
      </c>
      <c r="E752" s="4">
        <v>45456</v>
      </c>
      <c r="F752" s="4">
        <v>45466</v>
      </c>
      <c r="G752" s="2">
        <f t="shared" si="11"/>
        <v>10</v>
      </c>
      <c r="H752" s="2">
        <v>10</v>
      </c>
      <c r="I752" t="s">
        <v>78</v>
      </c>
      <c r="J752" t="s">
        <v>22</v>
      </c>
      <c r="K752" s="2">
        <v>41.79</v>
      </c>
      <c r="L752" s="3">
        <v>352.17</v>
      </c>
      <c r="M752" s="3">
        <f>orders_1[[#This Row],[products.Base_Price]]*orders_1[[#This Row],[Quantity]]</f>
        <v>3521.7000000000003</v>
      </c>
      <c r="N752" t="s">
        <v>17</v>
      </c>
      <c r="O752" t="s">
        <v>10</v>
      </c>
      <c r="P752" t="s">
        <v>19</v>
      </c>
    </row>
    <row r="753" spans="1:16" x14ac:dyDescent="0.3">
      <c r="A753" s="2">
        <v>10752</v>
      </c>
      <c r="B753" s="2">
        <v>805</v>
      </c>
      <c r="C753" s="2">
        <v>2027</v>
      </c>
      <c r="D753" s="2">
        <v>313</v>
      </c>
      <c r="E753" s="4">
        <v>45649</v>
      </c>
      <c r="F753" s="4">
        <v>45658</v>
      </c>
      <c r="G753" s="2">
        <f t="shared" si="11"/>
        <v>9</v>
      </c>
      <c r="H753" s="2">
        <v>99</v>
      </c>
      <c r="I753" t="s">
        <v>42</v>
      </c>
      <c r="J753" t="s">
        <v>13</v>
      </c>
      <c r="K753" s="2">
        <v>45.95</v>
      </c>
      <c r="L753" s="3">
        <v>454.58</v>
      </c>
      <c r="M753" s="3">
        <f>orders_1[[#This Row],[products.Base_Price]]*orders_1[[#This Row],[Quantity]]</f>
        <v>45003.42</v>
      </c>
      <c r="N753" t="s">
        <v>15</v>
      </c>
      <c r="O753" t="s">
        <v>25</v>
      </c>
      <c r="P753" t="s">
        <v>16</v>
      </c>
    </row>
    <row r="754" spans="1:16" x14ac:dyDescent="0.3">
      <c r="A754" s="2">
        <v>10753</v>
      </c>
      <c r="B754" s="2">
        <v>899</v>
      </c>
      <c r="C754" s="2">
        <v>2052</v>
      </c>
      <c r="D754" s="2">
        <v>303</v>
      </c>
      <c r="E754" s="4">
        <v>45449</v>
      </c>
      <c r="F754" s="4">
        <v>45454</v>
      </c>
      <c r="G754" s="2">
        <f t="shared" si="11"/>
        <v>5</v>
      </c>
      <c r="H754" s="2">
        <v>71</v>
      </c>
      <c r="I754" t="s">
        <v>36</v>
      </c>
      <c r="J754" t="s">
        <v>27</v>
      </c>
      <c r="K754" s="2">
        <v>47.35</v>
      </c>
      <c r="L754" s="3">
        <v>665.2</v>
      </c>
      <c r="M754" s="3">
        <f>orders_1[[#This Row],[products.Base_Price]]*orders_1[[#This Row],[Quantity]]</f>
        <v>47229.200000000004</v>
      </c>
      <c r="N754" t="s">
        <v>15</v>
      </c>
      <c r="O754" t="s">
        <v>10</v>
      </c>
      <c r="P754" t="s">
        <v>16</v>
      </c>
    </row>
    <row r="755" spans="1:16" x14ac:dyDescent="0.3">
      <c r="A755" s="2">
        <v>10754</v>
      </c>
      <c r="B755" s="2">
        <v>544</v>
      </c>
      <c r="C755" s="2">
        <v>2031</v>
      </c>
      <c r="D755" s="2">
        <v>318</v>
      </c>
      <c r="E755" s="4">
        <v>45442</v>
      </c>
      <c r="F755" s="4">
        <v>45447</v>
      </c>
      <c r="G755" s="2">
        <f t="shared" si="11"/>
        <v>5</v>
      </c>
      <c r="H755" s="2">
        <v>18</v>
      </c>
      <c r="I755" t="s">
        <v>39</v>
      </c>
      <c r="J755" t="s">
        <v>27</v>
      </c>
      <c r="K755" s="2">
        <v>24.61</v>
      </c>
      <c r="L755" s="3">
        <v>342.86</v>
      </c>
      <c r="M755" s="3">
        <f>orders_1[[#This Row],[products.Base_Price]]*orders_1[[#This Row],[Quantity]]</f>
        <v>6171.4800000000005</v>
      </c>
      <c r="N755" t="s">
        <v>17</v>
      </c>
      <c r="O755" t="s">
        <v>10</v>
      </c>
      <c r="P755" t="s">
        <v>19</v>
      </c>
    </row>
    <row r="756" spans="1:16" x14ac:dyDescent="0.3">
      <c r="A756" s="2">
        <v>10755</v>
      </c>
      <c r="B756" s="2">
        <v>687</v>
      </c>
      <c r="C756" s="2">
        <v>2083</v>
      </c>
      <c r="D756" s="2">
        <v>314</v>
      </c>
      <c r="E756" s="4">
        <v>45312</v>
      </c>
      <c r="F756" s="4">
        <v>45315</v>
      </c>
      <c r="G756" s="2">
        <f t="shared" si="11"/>
        <v>3</v>
      </c>
      <c r="H756" s="2">
        <v>79</v>
      </c>
      <c r="I756" t="s">
        <v>42</v>
      </c>
      <c r="J756" t="s">
        <v>22</v>
      </c>
      <c r="K756" s="2">
        <v>13.79</v>
      </c>
      <c r="L756" s="3">
        <v>843.82</v>
      </c>
      <c r="M756" s="3">
        <f>orders_1[[#This Row],[products.Base_Price]]*orders_1[[#This Row],[Quantity]]</f>
        <v>66661.78</v>
      </c>
      <c r="N756" t="s">
        <v>17</v>
      </c>
      <c r="O756" t="s">
        <v>14</v>
      </c>
      <c r="P756" t="s">
        <v>19</v>
      </c>
    </row>
    <row r="757" spans="1:16" x14ac:dyDescent="0.3">
      <c r="A757" s="2">
        <v>10756</v>
      </c>
      <c r="B757" s="2">
        <v>512</v>
      </c>
      <c r="C757" s="2">
        <v>2071</v>
      </c>
      <c r="D757" s="2">
        <v>312</v>
      </c>
      <c r="E757" s="4">
        <v>45444</v>
      </c>
      <c r="F757" s="4">
        <v>45454</v>
      </c>
      <c r="G757" s="2">
        <f t="shared" si="11"/>
        <v>10</v>
      </c>
      <c r="H757" s="2">
        <v>83</v>
      </c>
      <c r="I757" t="s">
        <v>39</v>
      </c>
      <c r="J757" t="s">
        <v>27</v>
      </c>
      <c r="K757" s="2">
        <v>47.19</v>
      </c>
      <c r="L757" s="3">
        <v>711.14</v>
      </c>
      <c r="M757" s="3">
        <f>orders_1[[#This Row],[products.Base_Price]]*orders_1[[#This Row],[Quantity]]</f>
        <v>59024.619999999995</v>
      </c>
      <c r="N757" t="s">
        <v>15</v>
      </c>
      <c r="O757" t="s">
        <v>10</v>
      </c>
      <c r="P757" t="s">
        <v>11</v>
      </c>
    </row>
    <row r="758" spans="1:16" x14ac:dyDescent="0.3">
      <c r="A758" s="2">
        <v>10757</v>
      </c>
      <c r="B758" s="2">
        <v>757</v>
      </c>
      <c r="C758" s="2">
        <v>2017</v>
      </c>
      <c r="D758" s="2">
        <v>308</v>
      </c>
      <c r="E758" s="4">
        <v>45399</v>
      </c>
      <c r="F758" s="4">
        <v>45402</v>
      </c>
      <c r="G758" s="2">
        <f t="shared" si="11"/>
        <v>3</v>
      </c>
      <c r="H758" s="2">
        <v>21</v>
      </c>
      <c r="I758" t="s">
        <v>39</v>
      </c>
      <c r="J758" t="s">
        <v>22</v>
      </c>
      <c r="K758" s="2">
        <v>38.24</v>
      </c>
      <c r="L758" s="3">
        <v>788.08</v>
      </c>
      <c r="M758" s="3">
        <f>orders_1[[#This Row],[products.Base_Price]]*orders_1[[#This Row],[Quantity]]</f>
        <v>16549.68</v>
      </c>
      <c r="N758" t="s">
        <v>23</v>
      </c>
      <c r="O758" t="s">
        <v>14</v>
      </c>
      <c r="P758" t="s">
        <v>19</v>
      </c>
    </row>
    <row r="759" spans="1:16" x14ac:dyDescent="0.3">
      <c r="A759" s="2">
        <v>10758</v>
      </c>
      <c r="B759" s="2">
        <v>737</v>
      </c>
      <c r="C759" s="2">
        <v>2084</v>
      </c>
      <c r="D759" s="2">
        <v>317</v>
      </c>
      <c r="E759" s="4">
        <v>45442</v>
      </c>
      <c r="F759" s="4">
        <v>45445</v>
      </c>
      <c r="G759" s="2">
        <f t="shared" si="11"/>
        <v>3</v>
      </c>
      <c r="H759" s="2">
        <v>74</v>
      </c>
      <c r="I759" t="s">
        <v>42</v>
      </c>
      <c r="J759" t="s">
        <v>21</v>
      </c>
      <c r="K759" s="2">
        <v>14.27</v>
      </c>
      <c r="L759" s="3">
        <v>223.58</v>
      </c>
      <c r="M759" s="3">
        <f>orders_1[[#This Row],[products.Base_Price]]*orders_1[[#This Row],[Quantity]]</f>
        <v>16544.920000000002</v>
      </c>
      <c r="N759" t="s">
        <v>20</v>
      </c>
      <c r="O759" t="s">
        <v>25</v>
      </c>
      <c r="P759" t="s">
        <v>19</v>
      </c>
    </row>
    <row r="760" spans="1:16" x14ac:dyDescent="0.3">
      <c r="A760" s="2">
        <v>10759</v>
      </c>
      <c r="B760" s="2">
        <v>518</v>
      </c>
      <c r="C760" s="2">
        <v>2022</v>
      </c>
      <c r="D760" s="2">
        <v>316</v>
      </c>
      <c r="E760" s="4">
        <v>45316</v>
      </c>
      <c r="F760" s="4">
        <v>45320</v>
      </c>
      <c r="G760" s="2">
        <f t="shared" si="11"/>
        <v>4</v>
      </c>
      <c r="H760" s="2">
        <v>14</v>
      </c>
      <c r="I760" t="s">
        <v>42</v>
      </c>
      <c r="J760" t="s">
        <v>13</v>
      </c>
      <c r="K760" s="2">
        <v>47.91</v>
      </c>
      <c r="L760" s="3">
        <v>756.92</v>
      </c>
      <c r="M760" s="3">
        <f>orders_1[[#This Row],[products.Base_Price]]*orders_1[[#This Row],[Quantity]]</f>
        <v>10596.88</v>
      </c>
      <c r="N760" t="s">
        <v>24</v>
      </c>
      <c r="O760" t="s">
        <v>25</v>
      </c>
      <c r="P760" t="s">
        <v>19</v>
      </c>
    </row>
    <row r="761" spans="1:16" x14ac:dyDescent="0.3">
      <c r="A761" s="2">
        <v>10760</v>
      </c>
      <c r="B761" s="2">
        <v>789</v>
      </c>
      <c r="C761" s="2">
        <v>2043</v>
      </c>
      <c r="D761" s="2">
        <v>304</v>
      </c>
      <c r="E761" s="4">
        <v>45328</v>
      </c>
      <c r="F761" s="4">
        <v>45334</v>
      </c>
      <c r="G761" s="2">
        <f t="shared" si="11"/>
        <v>6</v>
      </c>
      <c r="H761" s="2">
        <v>36</v>
      </c>
      <c r="I761" t="s">
        <v>42</v>
      </c>
      <c r="J761" t="s">
        <v>27</v>
      </c>
      <c r="K761" s="2">
        <v>14.98</v>
      </c>
      <c r="L761" s="3">
        <v>375.85</v>
      </c>
      <c r="M761" s="3">
        <f>orders_1[[#This Row],[products.Base_Price]]*orders_1[[#This Row],[Quantity]]</f>
        <v>13530.6</v>
      </c>
      <c r="N761" t="s">
        <v>17</v>
      </c>
      <c r="O761" t="s">
        <v>18</v>
      </c>
      <c r="P761" t="s">
        <v>19</v>
      </c>
    </row>
    <row r="762" spans="1:16" x14ac:dyDescent="0.3">
      <c r="A762" s="2">
        <v>10761</v>
      </c>
      <c r="B762" s="2">
        <v>622</v>
      </c>
      <c r="C762" s="2">
        <v>2064</v>
      </c>
      <c r="D762" s="2">
        <v>308</v>
      </c>
      <c r="E762" s="4">
        <v>45459</v>
      </c>
      <c r="F762" s="4">
        <v>45466</v>
      </c>
      <c r="G762" s="2">
        <f t="shared" si="11"/>
        <v>7</v>
      </c>
      <c r="H762" s="2">
        <v>62</v>
      </c>
      <c r="I762" t="s">
        <v>78</v>
      </c>
      <c r="J762" t="s">
        <v>21</v>
      </c>
      <c r="K762" s="2">
        <v>15.41</v>
      </c>
      <c r="L762" s="3">
        <v>203.79</v>
      </c>
      <c r="M762" s="3">
        <f>orders_1[[#This Row],[products.Base_Price]]*orders_1[[#This Row],[Quantity]]</f>
        <v>12634.98</v>
      </c>
      <c r="N762" t="s">
        <v>23</v>
      </c>
      <c r="O762" t="s">
        <v>14</v>
      </c>
      <c r="P762" t="s">
        <v>19</v>
      </c>
    </row>
    <row r="763" spans="1:16" x14ac:dyDescent="0.3">
      <c r="A763" s="2">
        <v>10762</v>
      </c>
      <c r="B763" s="2">
        <v>887</v>
      </c>
      <c r="C763" s="2">
        <v>2012</v>
      </c>
      <c r="D763" s="2">
        <v>301</v>
      </c>
      <c r="E763" s="4">
        <v>45560</v>
      </c>
      <c r="F763" s="4">
        <v>45564</v>
      </c>
      <c r="G763" s="2">
        <f t="shared" si="11"/>
        <v>4</v>
      </c>
      <c r="H763" s="2">
        <v>38</v>
      </c>
      <c r="I763" t="s">
        <v>36</v>
      </c>
      <c r="J763" t="s">
        <v>21</v>
      </c>
      <c r="K763" s="2">
        <v>34.93</v>
      </c>
      <c r="L763" s="3">
        <v>327.92</v>
      </c>
      <c r="M763" s="3">
        <f>orders_1[[#This Row],[products.Base_Price]]*orders_1[[#This Row],[Quantity]]</f>
        <v>12460.960000000001</v>
      </c>
      <c r="N763" t="s">
        <v>8</v>
      </c>
      <c r="O763" t="s">
        <v>10</v>
      </c>
      <c r="P763" t="s">
        <v>11</v>
      </c>
    </row>
    <row r="764" spans="1:16" x14ac:dyDescent="0.3">
      <c r="A764" s="2">
        <v>10763</v>
      </c>
      <c r="B764" s="2">
        <v>748</v>
      </c>
      <c r="C764" s="2">
        <v>2045</v>
      </c>
      <c r="D764" s="2">
        <v>307</v>
      </c>
      <c r="E764" s="4">
        <v>45631</v>
      </c>
      <c r="F764" s="4">
        <v>45639</v>
      </c>
      <c r="G764" s="2">
        <f t="shared" si="11"/>
        <v>8</v>
      </c>
      <c r="H764" s="2">
        <v>73</v>
      </c>
      <c r="I764" t="s">
        <v>36</v>
      </c>
      <c r="J764" t="s">
        <v>9</v>
      </c>
      <c r="K764" s="2">
        <v>41.3</v>
      </c>
      <c r="L764" s="3">
        <v>652.61</v>
      </c>
      <c r="M764" s="3">
        <f>orders_1[[#This Row],[products.Base_Price]]*orders_1[[#This Row],[Quantity]]</f>
        <v>47640.53</v>
      </c>
      <c r="N764" t="s">
        <v>17</v>
      </c>
      <c r="O764" t="s">
        <v>10</v>
      </c>
      <c r="P764" t="s">
        <v>11</v>
      </c>
    </row>
    <row r="765" spans="1:16" x14ac:dyDescent="0.3">
      <c r="A765" s="2">
        <v>10764</v>
      </c>
      <c r="B765" s="2">
        <v>883</v>
      </c>
      <c r="C765" s="2">
        <v>2060</v>
      </c>
      <c r="D765" s="2">
        <v>315</v>
      </c>
      <c r="E765" s="4">
        <v>45524</v>
      </c>
      <c r="F765" s="4">
        <v>45531</v>
      </c>
      <c r="G765" s="2">
        <f t="shared" si="11"/>
        <v>7</v>
      </c>
      <c r="H765" s="2">
        <v>82</v>
      </c>
      <c r="I765" t="s">
        <v>39</v>
      </c>
      <c r="J765" t="s">
        <v>21</v>
      </c>
      <c r="K765" s="2">
        <v>3.65</v>
      </c>
      <c r="L765" s="3">
        <v>173.1</v>
      </c>
      <c r="M765" s="3">
        <f>orders_1[[#This Row],[products.Base_Price]]*orders_1[[#This Row],[Quantity]]</f>
        <v>14194.199999999999</v>
      </c>
      <c r="N765" t="s">
        <v>15</v>
      </c>
      <c r="O765" t="s">
        <v>25</v>
      </c>
      <c r="P765" t="s">
        <v>19</v>
      </c>
    </row>
    <row r="766" spans="1:16" x14ac:dyDescent="0.3">
      <c r="A766" s="2">
        <v>10765</v>
      </c>
      <c r="B766" s="2">
        <v>619</v>
      </c>
      <c r="C766" s="2">
        <v>2036</v>
      </c>
      <c r="D766" s="2">
        <v>311</v>
      </c>
      <c r="E766" s="4">
        <v>45310</v>
      </c>
      <c r="F766" s="4">
        <v>45320</v>
      </c>
      <c r="G766" s="2">
        <f t="shared" si="11"/>
        <v>10</v>
      </c>
      <c r="H766" s="2">
        <v>68</v>
      </c>
      <c r="I766" t="s">
        <v>78</v>
      </c>
      <c r="J766" t="s">
        <v>22</v>
      </c>
      <c r="K766" s="2">
        <v>39.39</v>
      </c>
      <c r="L766" s="3">
        <v>745.86</v>
      </c>
      <c r="M766" s="3">
        <f>orders_1[[#This Row],[products.Base_Price]]*orders_1[[#This Row],[Quantity]]</f>
        <v>50718.48</v>
      </c>
      <c r="N766" t="s">
        <v>26</v>
      </c>
      <c r="O766" t="s">
        <v>10</v>
      </c>
      <c r="P766" t="s">
        <v>11</v>
      </c>
    </row>
    <row r="767" spans="1:16" x14ac:dyDescent="0.3">
      <c r="A767" s="2">
        <v>10766</v>
      </c>
      <c r="B767" s="2">
        <v>874</v>
      </c>
      <c r="C767" s="2">
        <v>2086</v>
      </c>
      <c r="D767" s="2">
        <v>304</v>
      </c>
      <c r="E767" s="4">
        <v>45359</v>
      </c>
      <c r="F767" s="4">
        <v>45369</v>
      </c>
      <c r="G767" s="2">
        <f t="shared" si="11"/>
        <v>10</v>
      </c>
      <c r="H767" s="2">
        <v>24</v>
      </c>
      <c r="I767" t="s">
        <v>39</v>
      </c>
      <c r="J767" t="s">
        <v>27</v>
      </c>
      <c r="K767" s="2">
        <v>27.73</v>
      </c>
      <c r="L767" s="3">
        <v>417.42</v>
      </c>
      <c r="M767" s="3">
        <f>orders_1[[#This Row],[products.Base_Price]]*orders_1[[#This Row],[Quantity]]</f>
        <v>10018.08</v>
      </c>
      <c r="N767" t="s">
        <v>17</v>
      </c>
      <c r="O767" t="s">
        <v>18</v>
      </c>
      <c r="P767" t="s">
        <v>19</v>
      </c>
    </row>
    <row r="768" spans="1:16" x14ac:dyDescent="0.3">
      <c r="A768" s="2">
        <v>10767</v>
      </c>
      <c r="B768" s="2">
        <v>816</v>
      </c>
      <c r="C768" s="2">
        <v>2003</v>
      </c>
      <c r="D768" s="2">
        <v>303</v>
      </c>
      <c r="E768" s="4">
        <v>45404</v>
      </c>
      <c r="F768" s="4">
        <v>45411</v>
      </c>
      <c r="G768" s="2">
        <f t="shared" si="11"/>
        <v>7</v>
      </c>
      <c r="H768" s="2">
        <v>89</v>
      </c>
      <c r="I768" t="s">
        <v>36</v>
      </c>
      <c r="J768" t="s">
        <v>13</v>
      </c>
      <c r="K768" s="2">
        <v>39.74</v>
      </c>
      <c r="L768" s="3">
        <v>864.17</v>
      </c>
      <c r="M768" s="3">
        <f>orders_1[[#This Row],[products.Base_Price]]*orders_1[[#This Row],[Quantity]]</f>
        <v>76911.12999999999</v>
      </c>
      <c r="N768" t="s">
        <v>15</v>
      </c>
      <c r="O768" t="s">
        <v>10</v>
      </c>
      <c r="P768" t="s">
        <v>16</v>
      </c>
    </row>
    <row r="769" spans="1:16" x14ac:dyDescent="0.3">
      <c r="A769" s="2">
        <v>10768</v>
      </c>
      <c r="B769" s="2">
        <v>599</v>
      </c>
      <c r="C769" s="2">
        <v>2051</v>
      </c>
      <c r="D769" s="2">
        <v>320</v>
      </c>
      <c r="E769" s="4">
        <v>45576</v>
      </c>
      <c r="F769" s="4">
        <v>45586</v>
      </c>
      <c r="G769" s="2">
        <f t="shared" si="11"/>
        <v>10</v>
      </c>
      <c r="H769" s="2">
        <v>48</v>
      </c>
      <c r="I769" t="s">
        <v>42</v>
      </c>
      <c r="J769" t="s">
        <v>9</v>
      </c>
      <c r="K769" s="2">
        <v>47.82</v>
      </c>
      <c r="L769" s="3">
        <v>376.19</v>
      </c>
      <c r="M769" s="3">
        <f>orders_1[[#This Row],[products.Base_Price]]*orders_1[[#This Row],[Quantity]]</f>
        <v>18057.12</v>
      </c>
      <c r="N769" t="s">
        <v>15</v>
      </c>
      <c r="O769" t="s">
        <v>25</v>
      </c>
      <c r="P769" t="s">
        <v>11</v>
      </c>
    </row>
    <row r="770" spans="1:16" x14ac:dyDescent="0.3">
      <c r="A770" s="2">
        <v>10769</v>
      </c>
      <c r="B770" s="2">
        <v>737</v>
      </c>
      <c r="C770" s="2">
        <v>2022</v>
      </c>
      <c r="D770" s="2">
        <v>314</v>
      </c>
      <c r="E770" s="4">
        <v>45435</v>
      </c>
      <c r="F770" s="4">
        <v>45439</v>
      </c>
      <c r="G770" s="2">
        <f t="shared" ref="G770:G833" si="12">F770-E770</f>
        <v>4</v>
      </c>
      <c r="H770" s="2">
        <v>81</v>
      </c>
      <c r="I770" t="s">
        <v>78</v>
      </c>
      <c r="J770" t="s">
        <v>13</v>
      </c>
      <c r="K770" s="2">
        <v>47.91</v>
      </c>
      <c r="L770" s="3">
        <v>756.92</v>
      </c>
      <c r="M770" s="3">
        <f>orders_1[[#This Row],[products.Base_Price]]*orders_1[[#This Row],[Quantity]]</f>
        <v>61310.52</v>
      </c>
      <c r="N770" t="s">
        <v>17</v>
      </c>
      <c r="O770" t="s">
        <v>14</v>
      </c>
      <c r="P770" t="s">
        <v>19</v>
      </c>
    </row>
    <row r="771" spans="1:16" x14ac:dyDescent="0.3">
      <c r="A771" s="2">
        <v>10770</v>
      </c>
      <c r="B771" s="2">
        <v>893</v>
      </c>
      <c r="C771" s="2">
        <v>2096</v>
      </c>
      <c r="D771" s="2">
        <v>319</v>
      </c>
      <c r="E771" s="4">
        <v>45321</v>
      </c>
      <c r="F771" s="4">
        <v>45323</v>
      </c>
      <c r="G771" s="2">
        <f t="shared" si="12"/>
        <v>2</v>
      </c>
      <c r="H771" s="2">
        <v>58</v>
      </c>
      <c r="I771" t="s">
        <v>78</v>
      </c>
      <c r="J771" t="s">
        <v>22</v>
      </c>
      <c r="K771" s="2">
        <v>20.04</v>
      </c>
      <c r="L771" s="3">
        <v>70.19</v>
      </c>
      <c r="M771" s="3">
        <f>orders_1[[#This Row],[products.Base_Price]]*orders_1[[#This Row],[Quantity]]</f>
        <v>4071.02</v>
      </c>
      <c r="N771" t="s">
        <v>20</v>
      </c>
      <c r="O771" t="s">
        <v>18</v>
      </c>
      <c r="P771" t="s">
        <v>11</v>
      </c>
    </row>
    <row r="772" spans="1:16" x14ac:dyDescent="0.3">
      <c r="A772" s="2">
        <v>10771</v>
      </c>
      <c r="B772" s="2">
        <v>846</v>
      </c>
      <c r="C772" s="2">
        <v>2023</v>
      </c>
      <c r="D772" s="2">
        <v>310</v>
      </c>
      <c r="E772" s="4">
        <v>45451</v>
      </c>
      <c r="F772" s="4">
        <v>45454</v>
      </c>
      <c r="G772" s="2">
        <f t="shared" si="12"/>
        <v>3</v>
      </c>
      <c r="H772" s="2">
        <v>94</v>
      </c>
      <c r="I772" t="s">
        <v>36</v>
      </c>
      <c r="J772" t="s">
        <v>13</v>
      </c>
      <c r="K772" s="2">
        <v>39.520000000000003</v>
      </c>
      <c r="L772" s="3">
        <v>618.29999999999995</v>
      </c>
      <c r="M772" s="3">
        <f>orders_1[[#This Row],[products.Base_Price]]*orders_1[[#This Row],[Quantity]]</f>
        <v>58120.2</v>
      </c>
      <c r="N772" t="s">
        <v>26</v>
      </c>
      <c r="O772" t="s">
        <v>25</v>
      </c>
      <c r="P772" t="s">
        <v>11</v>
      </c>
    </row>
    <row r="773" spans="1:16" x14ac:dyDescent="0.3">
      <c r="A773" s="2">
        <v>10772</v>
      </c>
      <c r="B773" s="2">
        <v>708</v>
      </c>
      <c r="C773" s="2">
        <v>2056</v>
      </c>
      <c r="D773" s="2">
        <v>309</v>
      </c>
      <c r="E773" s="4">
        <v>45303</v>
      </c>
      <c r="F773" s="4">
        <v>45309</v>
      </c>
      <c r="G773" s="2">
        <f t="shared" si="12"/>
        <v>6</v>
      </c>
      <c r="H773" s="2">
        <v>50</v>
      </c>
      <c r="I773" t="s">
        <v>39</v>
      </c>
      <c r="J773" t="s">
        <v>9</v>
      </c>
      <c r="K773" s="2">
        <v>18.559999999999999</v>
      </c>
      <c r="L773" s="3">
        <v>564.01</v>
      </c>
      <c r="M773" s="3">
        <f>orders_1[[#This Row],[products.Base_Price]]*orders_1[[#This Row],[Quantity]]</f>
        <v>28200.5</v>
      </c>
      <c r="N773" t="s">
        <v>24</v>
      </c>
      <c r="O773" t="s">
        <v>25</v>
      </c>
      <c r="P773" t="s">
        <v>16</v>
      </c>
    </row>
    <row r="774" spans="1:16" x14ac:dyDescent="0.3">
      <c r="A774" s="2">
        <v>10773</v>
      </c>
      <c r="B774" s="2">
        <v>864</v>
      </c>
      <c r="C774" s="2">
        <v>2025</v>
      </c>
      <c r="D774" s="2">
        <v>313</v>
      </c>
      <c r="E774" s="4">
        <v>45572</v>
      </c>
      <c r="F774" s="4">
        <v>45575</v>
      </c>
      <c r="G774" s="2">
        <f t="shared" si="12"/>
        <v>3</v>
      </c>
      <c r="H774" s="2">
        <v>60</v>
      </c>
      <c r="I774" t="s">
        <v>39</v>
      </c>
      <c r="J774" t="s">
        <v>13</v>
      </c>
      <c r="K774" s="2">
        <v>3.39</v>
      </c>
      <c r="L774" s="3">
        <v>303.87</v>
      </c>
      <c r="M774" s="3">
        <f>orders_1[[#This Row],[products.Base_Price]]*orders_1[[#This Row],[Quantity]]</f>
        <v>18232.2</v>
      </c>
      <c r="N774" t="s">
        <v>15</v>
      </c>
      <c r="O774" t="s">
        <v>25</v>
      </c>
      <c r="P774" t="s">
        <v>16</v>
      </c>
    </row>
    <row r="775" spans="1:16" x14ac:dyDescent="0.3">
      <c r="A775" s="2">
        <v>10774</v>
      </c>
      <c r="B775" s="2">
        <v>568</v>
      </c>
      <c r="C775" s="2">
        <v>2083</v>
      </c>
      <c r="D775" s="2">
        <v>313</v>
      </c>
      <c r="E775" s="4">
        <v>45589</v>
      </c>
      <c r="F775" s="4">
        <v>45598</v>
      </c>
      <c r="G775" s="2">
        <f t="shared" si="12"/>
        <v>9</v>
      </c>
      <c r="H775" s="2">
        <v>75</v>
      </c>
      <c r="I775" t="s">
        <v>39</v>
      </c>
      <c r="J775" t="s">
        <v>22</v>
      </c>
      <c r="K775" s="2">
        <v>13.79</v>
      </c>
      <c r="L775" s="3">
        <v>843.82</v>
      </c>
      <c r="M775" s="3">
        <f>orders_1[[#This Row],[products.Base_Price]]*orders_1[[#This Row],[Quantity]]</f>
        <v>63286.500000000007</v>
      </c>
      <c r="N775" t="s">
        <v>15</v>
      </c>
      <c r="O775" t="s">
        <v>25</v>
      </c>
      <c r="P775" t="s">
        <v>16</v>
      </c>
    </row>
    <row r="776" spans="1:16" x14ac:dyDescent="0.3">
      <c r="A776" s="2">
        <v>10775</v>
      </c>
      <c r="B776" s="2">
        <v>626</v>
      </c>
      <c r="C776" s="2">
        <v>2031</v>
      </c>
      <c r="D776" s="2">
        <v>314</v>
      </c>
      <c r="E776" s="4">
        <v>45344</v>
      </c>
      <c r="F776" s="4">
        <v>45347</v>
      </c>
      <c r="G776" s="2">
        <f t="shared" si="12"/>
        <v>3</v>
      </c>
      <c r="H776" s="2">
        <v>42</v>
      </c>
      <c r="I776" t="s">
        <v>39</v>
      </c>
      <c r="J776" t="s">
        <v>27</v>
      </c>
      <c r="K776" s="2">
        <v>24.61</v>
      </c>
      <c r="L776" s="3">
        <v>342.86</v>
      </c>
      <c r="M776" s="3">
        <f>orders_1[[#This Row],[products.Base_Price]]*orders_1[[#This Row],[Quantity]]</f>
        <v>14400.12</v>
      </c>
      <c r="N776" t="s">
        <v>17</v>
      </c>
      <c r="O776" t="s">
        <v>14</v>
      </c>
      <c r="P776" t="s">
        <v>19</v>
      </c>
    </row>
    <row r="777" spans="1:16" x14ac:dyDescent="0.3">
      <c r="A777" s="2">
        <v>10776</v>
      </c>
      <c r="B777" s="2">
        <v>602</v>
      </c>
      <c r="C777" s="2">
        <v>2089</v>
      </c>
      <c r="D777" s="2">
        <v>316</v>
      </c>
      <c r="E777" s="4">
        <v>45397</v>
      </c>
      <c r="F777" s="4">
        <v>45401</v>
      </c>
      <c r="G777" s="2">
        <f t="shared" si="12"/>
        <v>4</v>
      </c>
      <c r="H777" s="2">
        <v>11</v>
      </c>
      <c r="I777" t="s">
        <v>42</v>
      </c>
      <c r="J777" t="s">
        <v>22</v>
      </c>
      <c r="K777" s="2">
        <v>19.170000000000002</v>
      </c>
      <c r="L777" s="3">
        <v>513.33000000000004</v>
      </c>
      <c r="M777" s="3">
        <f>orders_1[[#This Row],[products.Base_Price]]*orders_1[[#This Row],[Quantity]]</f>
        <v>5646.63</v>
      </c>
      <c r="N777" t="s">
        <v>24</v>
      </c>
      <c r="O777" t="s">
        <v>25</v>
      </c>
      <c r="P777" t="s">
        <v>19</v>
      </c>
    </row>
    <row r="778" spans="1:16" x14ac:dyDescent="0.3">
      <c r="A778" s="2">
        <v>10777</v>
      </c>
      <c r="B778" s="2">
        <v>847</v>
      </c>
      <c r="C778" s="2">
        <v>2099</v>
      </c>
      <c r="D778" s="2">
        <v>311</v>
      </c>
      <c r="E778" s="4">
        <v>45625</v>
      </c>
      <c r="F778" s="4">
        <v>45635</v>
      </c>
      <c r="G778" s="2">
        <f t="shared" si="12"/>
        <v>10</v>
      </c>
      <c r="H778" s="2">
        <v>8</v>
      </c>
      <c r="I778" t="s">
        <v>78</v>
      </c>
      <c r="J778" t="s">
        <v>21</v>
      </c>
      <c r="K778" s="2">
        <v>31.62</v>
      </c>
      <c r="L778" s="3">
        <v>652.77</v>
      </c>
      <c r="M778" s="3">
        <f>orders_1[[#This Row],[products.Base_Price]]*orders_1[[#This Row],[Quantity]]</f>
        <v>5222.16</v>
      </c>
      <c r="N778" t="s">
        <v>26</v>
      </c>
      <c r="O778" t="s">
        <v>10</v>
      </c>
      <c r="P778" t="s">
        <v>11</v>
      </c>
    </row>
    <row r="779" spans="1:16" x14ac:dyDescent="0.3">
      <c r="A779" s="2">
        <v>10778</v>
      </c>
      <c r="B779" s="2">
        <v>512</v>
      </c>
      <c r="C779" s="2">
        <v>2086</v>
      </c>
      <c r="D779" s="2">
        <v>305</v>
      </c>
      <c r="E779" s="4">
        <v>45401</v>
      </c>
      <c r="F779" s="4">
        <v>45403</v>
      </c>
      <c r="G779" s="2">
        <f t="shared" si="12"/>
        <v>2</v>
      </c>
      <c r="H779" s="2">
        <v>59</v>
      </c>
      <c r="I779" t="s">
        <v>42</v>
      </c>
      <c r="J779" t="s">
        <v>27</v>
      </c>
      <c r="K779" s="2">
        <v>27.73</v>
      </c>
      <c r="L779" s="3">
        <v>417.42</v>
      </c>
      <c r="M779" s="3">
        <f>orders_1[[#This Row],[products.Base_Price]]*orders_1[[#This Row],[Quantity]]</f>
        <v>24627.780000000002</v>
      </c>
      <c r="N779" t="s">
        <v>20</v>
      </c>
      <c r="O779" t="s">
        <v>10</v>
      </c>
      <c r="P779" t="s">
        <v>19</v>
      </c>
    </row>
    <row r="780" spans="1:16" x14ac:dyDescent="0.3">
      <c r="A780" s="2">
        <v>10779</v>
      </c>
      <c r="B780" s="2">
        <v>775</v>
      </c>
      <c r="C780" s="2">
        <v>2096</v>
      </c>
      <c r="D780" s="2">
        <v>306</v>
      </c>
      <c r="E780" s="4">
        <v>45530</v>
      </c>
      <c r="F780" s="4">
        <v>45531</v>
      </c>
      <c r="G780" s="2">
        <f t="shared" si="12"/>
        <v>1</v>
      </c>
      <c r="H780" s="2">
        <v>26</v>
      </c>
      <c r="I780" t="s">
        <v>36</v>
      </c>
      <c r="J780" t="s">
        <v>22</v>
      </c>
      <c r="K780" s="2">
        <v>20.04</v>
      </c>
      <c r="L780" s="3">
        <v>70.19</v>
      </c>
      <c r="M780" s="3">
        <f>orders_1[[#This Row],[products.Base_Price]]*orders_1[[#This Row],[Quantity]]</f>
        <v>1824.94</v>
      </c>
      <c r="N780" t="s">
        <v>8</v>
      </c>
      <c r="O780" t="s">
        <v>10</v>
      </c>
      <c r="P780" t="s">
        <v>16</v>
      </c>
    </row>
    <row r="781" spans="1:16" x14ac:dyDescent="0.3">
      <c r="A781" s="2">
        <v>10780</v>
      </c>
      <c r="B781" s="2">
        <v>831</v>
      </c>
      <c r="C781" s="2">
        <v>2051</v>
      </c>
      <c r="D781" s="2">
        <v>312</v>
      </c>
      <c r="E781" s="4">
        <v>45656</v>
      </c>
      <c r="F781" s="4">
        <v>45663</v>
      </c>
      <c r="G781" s="2">
        <f t="shared" si="12"/>
        <v>7</v>
      </c>
      <c r="H781" s="2">
        <v>25</v>
      </c>
      <c r="I781" t="s">
        <v>39</v>
      </c>
      <c r="J781" t="s">
        <v>9</v>
      </c>
      <c r="K781" s="2">
        <v>47.82</v>
      </c>
      <c r="L781" s="3">
        <v>376.19</v>
      </c>
      <c r="M781" s="3">
        <f>orders_1[[#This Row],[products.Base_Price]]*orders_1[[#This Row],[Quantity]]</f>
        <v>9404.75</v>
      </c>
      <c r="N781" t="s">
        <v>15</v>
      </c>
      <c r="O781" t="s">
        <v>10</v>
      </c>
      <c r="P781" t="s">
        <v>11</v>
      </c>
    </row>
    <row r="782" spans="1:16" x14ac:dyDescent="0.3">
      <c r="A782" s="2">
        <v>10781</v>
      </c>
      <c r="B782" s="2">
        <v>700</v>
      </c>
      <c r="C782" s="2">
        <v>2046</v>
      </c>
      <c r="D782" s="2">
        <v>313</v>
      </c>
      <c r="E782" s="4">
        <v>45394</v>
      </c>
      <c r="F782" s="4">
        <v>45399</v>
      </c>
      <c r="G782" s="2">
        <f t="shared" si="12"/>
        <v>5</v>
      </c>
      <c r="H782" s="2">
        <v>6</v>
      </c>
      <c r="I782" t="s">
        <v>42</v>
      </c>
      <c r="J782" t="s">
        <v>27</v>
      </c>
      <c r="K782" s="2">
        <v>38.130000000000003</v>
      </c>
      <c r="L782" s="3">
        <v>649.34</v>
      </c>
      <c r="M782" s="3">
        <f>orders_1[[#This Row],[products.Base_Price]]*orders_1[[#This Row],[Quantity]]</f>
        <v>3896.04</v>
      </c>
      <c r="N782" t="s">
        <v>15</v>
      </c>
      <c r="O782" t="s">
        <v>25</v>
      </c>
      <c r="P782" t="s">
        <v>16</v>
      </c>
    </row>
    <row r="783" spans="1:16" x14ac:dyDescent="0.3">
      <c r="A783" s="2">
        <v>10782</v>
      </c>
      <c r="B783" s="2">
        <v>571</v>
      </c>
      <c r="C783" s="2">
        <v>2003</v>
      </c>
      <c r="D783" s="2">
        <v>306</v>
      </c>
      <c r="E783" s="4">
        <v>45301</v>
      </c>
      <c r="F783" s="4">
        <v>45306</v>
      </c>
      <c r="G783" s="2">
        <f t="shared" si="12"/>
        <v>5</v>
      </c>
      <c r="H783" s="2">
        <v>85</v>
      </c>
      <c r="I783" t="s">
        <v>42</v>
      </c>
      <c r="J783" t="s">
        <v>13</v>
      </c>
      <c r="K783" s="2">
        <v>39.74</v>
      </c>
      <c r="L783" s="3">
        <v>864.17</v>
      </c>
      <c r="M783" s="3">
        <f>orders_1[[#This Row],[products.Base_Price]]*orders_1[[#This Row],[Quantity]]</f>
        <v>73454.45</v>
      </c>
      <c r="N783" t="s">
        <v>8</v>
      </c>
      <c r="O783" t="s">
        <v>10</v>
      </c>
      <c r="P783" t="s">
        <v>16</v>
      </c>
    </row>
    <row r="784" spans="1:16" x14ac:dyDescent="0.3">
      <c r="A784" s="2">
        <v>10783</v>
      </c>
      <c r="B784" s="2">
        <v>720</v>
      </c>
      <c r="C784" s="2">
        <v>2009</v>
      </c>
      <c r="D784" s="2">
        <v>317</v>
      </c>
      <c r="E784" s="4">
        <v>45477</v>
      </c>
      <c r="F784" s="4">
        <v>45485</v>
      </c>
      <c r="G784" s="2">
        <f t="shared" si="12"/>
        <v>8</v>
      </c>
      <c r="H784" s="2">
        <v>43</v>
      </c>
      <c r="I784" t="s">
        <v>36</v>
      </c>
      <c r="J784" t="s">
        <v>21</v>
      </c>
      <c r="K784" s="2">
        <v>16.82</v>
      </c>
      <c r="L784" s="3">
        <v>376.01</v>
      </c>
      <c r="M784" s="3">
        <f>orders_1[[#This Row],[products.Base_Price]]*orders_1[[#This Row],[Quantity]]</f>
        <v>16168.43</v>
      </c>
      <c r="N784" t="s">
        <v>20</v>
      </c>
      <c r="O784" t="s">
        <v>25</v>
      </c>
      <c r="P784" t="s">
        <v>19</v>
      </c>
    </row>
    <row r="785" spans="1:16" x14ac:dyDescent="0.3">
      <c r="A785" s="2">
        <v>10784</v>
      </c>
      <c r="B785" s="2">
        <v>859</v>
      </c>
      <c r="C785" s="2">
        <v>2054</v>
      </c>
      <c r="D785" s="2">
        <v>316</v>
      </c>
      <c r="E785" s="4">
        <v>45329</v>
      </c>
      <c r="F785" s="4">
        <v>45334</v>
      </c>
      <c r="G785" s="2">
        <f t="shared" si="12"/>
        <v>5</v>
      </c>
      <c r="H785" s="2">
        <v>35</v>
      </c>
      <c r="I785" t="s">
        <v>36</v>
      </c>
      <c r="J785" t="s">
        <v>9</v>
      </c>
      <c r="K785" s="2">
        <v>5.63</v>
      </c>
      <c r="L785" s="3">
        <v>304.22000000000003</v>
      </c>
      <c r="M785" s="3">
        <f>orders_1[[#This Row],[products.Base_Price]]*orders_1[[#This Row],[Quantity]]</f>
        <v>10647.7</v>
      </c>
      <c r="N785" t="s">
        <v>24</v>
      </c>
      <c r="O785" t="s">
        <v>25</v>
      </c>
      <c r="P785" t="s">
        <v>19</v>
      </c>
    </row>
    <row r="786" spans="1:16" x14ac:dyDescent="0.3">
      <c r="A786" s="2">
        <v>10785</v>
      </c>
      <c r="B786" s="2">
        <v>830</v>
      </c>
      <c r="C786" s="2">
        <v>2066</v>
      </c>
      <c r="D786" s="2">
        <v>306</v>
      </c>
      <c r="E786" s="4">
        <v>45635</v>
      </c>
      <c r="F786" s="4">
        <v>45640</v>
      </c>
      <c r="G786" s="2">
        <f t="shared" si="12"/>
        <v>5</v>
      </c>
      <c r="H786" s="2">
        <v>92</v>
      </c>
      <c r="I786" t="s">
        <v>39</v>
      </c>
      <c r="J786" t="s">
        <v>9</v>
      </c>
      <c r="K786" s="2">
        <v>43.64</v>
      </c>
      <c r="L786" s="3">
        <v>832.31</v>
      </c>
      <c r="M786" s="3">
        <f>orders_1[[#This Row],[products.Base_Price]]*orders_1[[#This Row],[Quantity]]</f>
        <v>76572.51999999999</v>
      </c>
      <c r="N786" t="s">
        <v>8</v>
      </c>
      <c r="O786" t="s">
        <v>10</v>
      </c>
      <c r="P786" t="s">
        <v>16</v>
      </c>
    </row>
    <row r="787" spans="1:16" x14ac:dyDescent="0.3">
      <c r="A787" s="2">
        <v>10786</v>
      </c>
      <c r="B787" s="2">
        <v>580</v>
      </c>
      <c r="C787" s="2">
        <v>2018</v>
      </c>
      <c r="D787" s="2">
        <v>316</v>
      </c>
      <c r="E787" s="4">
        <v>45648</v>
      </c>
      <c r="F787" s="4">
        <v>45653</v>
      </c>
      <c r="G787" s="2">
        <f t="shared" si="12"/>
        <v>5</v>
      </c>
      <c r="H787" s="2">
        <v>67</v>
      </c>
      <c r="I787" t="s">
        <v>42</v>
      </c>
      <c r="J787" t="s">
        <v>21</v>
      </c>
      <c r="K787" s="2">
        <v>16.739999999999998</v>
      </c>
      <c r="L787" s="3">
        <v>103.05</v>
      </c>
      <c r="M787" s="3">
        <f>orders_1[[#This Row],[products.Base_Price]]*orders_1[[#This Row],[Quantity]]</f>
        <v>6904.3499999999995</v>
      </c>
      <c r="N787" t="s">
        <v>24</v>
      </c>
      <c r="O787" t="s">
        <v>25</v>
      </c>
      <c r="P787" t="s">
        <v>19</v>
      </c>
    </row>
    <row r="788" spans="1:16" x14ac:dyDescent="0.3">
      <c r="A788" s="2">
        <v>10787</v>
      </c>
      <c r="B788" s="2">
        <v>576</v>
      </c>
      <c r="C788" s="2">
        <v>2048</v>
      </c>
      <c r="D788" s="2">
        <v>310</v>
      </c>
      <c r="E788" s="4">
        <v>45557</v>
      </c>
      <c r="F788" s="4">
        <v>45566</v>
      </c>
      <c r="G788" s="2">
        <f t="shared" si="12"/>
        <v>9</v>
      </c>
      <c r="H788" s="2">
        <v>86</v>
      </c>
      <c r="I788" t="s">
        <v>42</v>
      </c>
      <c r="J788" t="s">
        <v>22</v>
      </c>
      <c r="K788" s="2">
        <v>6.74</v>
      </c>
      <c r="L788" s="3">
        <v>864.57</v>
      </c>
      <c r="M788" s="3">
        <f>orders_1[[#This Row],[products.Base_Price]]*orders_1[[#This Row],[Quantity]]</f>
        <v>74353.02</v>
      </c>
      <c r="N788" t="s">
        <v>26</v>
      </c>
      <c r="O788" t="s">
        <v>25</v>
      </c>
      <c r="P788" t="s">
        <v>11</v>
      </c>
    </row>
    <row r="789" spans="1:16" x14ac:dyDescent="0.3">
      <c r="A789" s="2">
        <v>10788</v>
      </c>
      <c r="B789" s="2">
        <v>784</v>
      </c>
      <c r="C789" s="2">
        <v>2090</v>
      </c>
      <c r="D789" s="2">
        <v>316</v>
      </c>
      <c r="E789" s="4">
        <v>45301</v>
      </c>
      <c r="F789" s="4">
        <v>45303</v>
      </c>
      <c r="G789" s="2">
        <f t="shared" si="12"/>
        <v>2</v>
      </c>
      <c r="H789" s="2">
        <v>9</v>
      </c>
      <c r="I789" t="s">
        <v>39</v>
      </c>
      <c r="J789" t="s">
        <v>22</v>
      </c>
      <c r="K789" s="2">
        <v>38.729999999999997</v>
      </c>
      <c r="L789" s="3">
        <v>913.68</v>
      </c>
      <c r="M789" s="3">
        <f>orders_1[[#This Row],[products.Base_Price]]*orders_1[[#This Row],[Quantity]]</f>
        <v>8223.119999999999</v>
      </c>
      <c r="N789" t="s">
        <v>24</v>
      </c>
      <c r="O789" t="s">
        <v>25</v>
      </c>
      <c r="P789" t="s">
        <v>19</v>
      </c>
    </row>
    <row r="790" spans="1:16" x14ac:dyDescent="0.3">
      <c r="A790" s="2">
        <v>10789</v>
      </c>
      <c r="B790" s="2">
        <v>683</v>
      </c>
      <c r="C790" s="2">
        <v>2006</v>
      </c>
      <c r="D790" s="2">
        <v>311</v>
      </c>
      <c r="E790" s="4">
        <v>45354</v>
      </c>
      <c r="F790" s="4">
        <v>45359</v>
      </c>
      <c r="G790" s="2">
        <f t="shared" si="12"/>
        <v>5</v>
      </c>
      <c r="H790" s="2">
        <v>38</v>
      </c>
      <c r="I790" t="s">
        <v>36</v>
      </c>
      <c r="J790" t="s">
        <v>22</v>
      </c>
      <c r="K790" s="2">
        <v>41.47</v>
      </c>
      <c r="L790" s="3">
        <v>541.85</v>
      </c>
      <c r="M790" s="3">
        <f>orders_1[[#This Row],[products.Base_Price]]*orders_1[[#This Row],[Quantity]]</f>
        <v>20590.3</v>
      </c>
      <c r="N790" t="s">
        <v>26</v>
      </c>
      <c r="O790" t="s">
        <v>10</v>
      </c>
      <c r="P790" t="s">
        <v>11</v>
      </c>
    </row>
    <row r="791" spans="1:16" x14ac:dyDescent="0.3">
      <c r="A791" s="2">
        <v>10790</v>
      </c>
      <c r="B791" s="2">
        <v>677</v>
      </c>
      <c r="C791" s="2">
        <v>2006</v>
      </c>
      <c r="D791" s="2">
        <v>302</v>
      </c>
      <c r="E791" s="4">
        <v>45455</v>
      </c>
      <c r="F791" s="4">
        <v>45462</v>
      </c>
      <c r="G791" s="2">
        <f t="shared" si="12"/>
        <v>7</v>
      </c>
      <c r="H791" s="2">
        <v>51</v>
      </c>
      <c r="I791" t="s">
        <v>39</v>
      </c>
      <c r="J791" t="s">
        <v>22</v>
      </c>
      <c r="K791" s="2">
        <v>41.47</v>
      </c>
      <c r="L791" s="3">
        <v>541.85</v>
      </c>
      <c r="M791" s="3">
        <f>orders_1[[#This Row],[products.Base_Price]]*orders_1[[#This Row],[Quantity]]</f>
        <v>27634.350000000002</v>
      </c>
      <c r="N791" t="s">
        <v>12</v>
      </c>
      <c r="O791" t="s">
        <v>14</v>
      </c>
      <c r="P791" t="s">
        <v>11</v>
      </c>
    </row>
    <row r="792" spans="1:16" x14ac:dyDescent="0.3">
      <c r="A792" s="2">
        <v>10791</v>
      </c>
      <c r="B792" s="2">
        <v>770</v>
      </c>
      <c r="C792" s="2">
        <v>2042</v>
      </c>
      <c r="D792" s="2">
        <v>305</v>
      </c>
      <c r="E792" s="4">
        <v>45582</v>
      </c>
      <c r="F792" s="4">
        <v>45591</v>
      </c>
      <c r="G792" s="2">
        <f t="shared" si="12"/>
        <v>9</v>
      </c>
      <c r="H792" s="2">
        <v>52</v>
      </c>
      <c r="I792" t="s">
        <v>42</v>
      </c>
      <c r="J792" t="s">
        <v>27</v>
      </c>
      <c r="K792" s="2">
        <v>46.87</v>
      </c>
      <c r="L792" s="3">
        <v>313.88</v>
      </c>
      <c r="M792" s="3">
        <f>orders_1[[#This Row],[products.Base_Price]]*orders_1[[#This Row],[Quantity]]</f>
        <v>16321.76</v>
      </c>
      <c r="N792" t="s">
        <v>20</v>
      </c>
      <c r="O792" t="s">
        <v>10</v>
      </c>
      <c r="P792" t="s">
        <v>19</v>
      </c>
    </row>
    <row r="793" spans="1:16" x14ac:dyDescent="0.3">
      <c r="A793" s="2">
        <v>10792</v>
      </c>
      <c r="B793" s="2">
        <v>584</v>
      </c>
      <c r="C793" s="2">
        <v>2007</v>
      </c>
      <c r="D793" s="2">
        <v>302</v>
      </c>
      <c r="E793" s="4">
        <v>45513</v>
      </c>
      <c r="F793" s="4">
        <v>45520</v>
      </c>
      <c r="G793" s="2">
        <f t="shared" si="12"/>
        <v>7</v>
      </c>
      <c r="H793" s="2">
        <v>77</v>
      </c>
      <c r="I793" t="s">
        <v>78</v>
      </c>
      <c r="J793" t="s">
        <v>21</v>
      </c>
      <c r="K793" s="2">
        <v>48.07</v>
      </c>
      <c r="L793" s="3">
        <v>759.78</v>
      </c>
      <c r="M793" s="3">
        <f>orders_1[[#This Row],[products.Base_Price]]*orders_1[[#This Row],[Quantity]]</f>
        <v>58503.06</v>
      </c>
      <c r="N793" t="s">
        <v>12</v>
      </c>
      <c r="O793" t="s">
        <v>14</v>
      </c>
      <c r="P793" t="s">
        <v>11</v>
      </c>
    </row>
    <row r="794" spans="1:16" x14ac:dyDescent="0.3">
      <c r="A794" s="2">
        <v>10793</v>
      </c>
      <c r="B794" s="2">
        <v>589</v>
      </c>
      <c r="C794" s="2">
        <v>2035</v>
      </c>
      <c r="D794" s="2">
        <v>310</v>
      </c>
      <c r="E794" s="4">
        <v>45587</v>
      </c>
      <c r="F794" s="4">
        <v>45589</v>
      </c>
      <c r="G794" s="2">
        <f t="shared" si="12"/>
        <v>2</v>
      </c>
      <c r="H794" s="2">
        <v>90</v>
      </c>
      <c r="I794" t="s">
        <v>42</v>
      </c>
      <c r="J794" t="s">
        <v>27</v>
      </c>
      <c r="K794" s="2">
        <v>18.55</v>
      </c>
      <c r="L794" s="3">
        <v>636.37</v>
      </c>
      <c r="M794" s="3">
        <f>orders_1[[#This Row],[products.Base_Price]]*orders_1[[#This Row],[Quantity]]</f>
        <v>57273.3</v>
      </c>
      <c r="N794" t="s">
        <v>26</v>
      </c>
      <c r="O794" t="s">
        <v>25</v>
      </c>
      <c r="P794" t="s">
        <v>11</v>
      </c>
    </row>
    <row r="795" spans="1:16" x14ac:dyDescent="0.3">
      <c r="A795" s="2">
        <v>10794</v>
      </c>
      <c r="B795" s="2">
        <v>645</v>
      </c>
      <c r="C795" s="2">
        <v>2099</v>
      </c>
      <c r="D795" s="2">
        <v>304</v>
      </c>
      <c r="E795" s="4">
        <v>45320</v>
      </c>
      <c r="F795" s="4">
        <v>45322</v>
      </c>
      <c r="G795" s="2">
        <f t="shared" si="12"/>
        <v>2</v>
      </c>
      <c r="H795" s="2">
        <v>20</v>
      </c>
      <c r="I795" t="s">
        <v>39</v>
      </c>
      <c r="J795" t="s">
        <v>21</v>
      </c>
      <c r="K795" s="2">
        <v>31.62</v>
      </c>
      <c r="L795" s="3">
        <v>652.77</v>
      </c>
      <c r="M795" s="3">
        <f>orders_1[[#This Row],[products.Base_Price]]*orders_1[[#This Row],[Quantity]]</f>
        <v>13055.4</v>
      </c>
      <c r="N795" t="s">
        <v>17</v>
      </c>
      <c r="O795" t="s">
        <v>18</v>
      </c>
      <c r="P795" t="s">
        <v>19</v>
      </c>
    </row>
    <row r="796" spans="1:16" x14ac:dyDescent="0.3">
      <c r="A796" s="2">
        <v>10795</v>
      </c>
      <c r="B796" s="2">
        <v>898</v>
      </c>
      <c r="C796" s="2">
        <v>2055</v>
      </c>
      <c r="D796" s="2">
        <v>317</v>
      </c>
      <c r="E796" s="4">
        <v>45500</v>
      </c>
      <c r="F796" s="4">
        <v>45507</v>
      </c>
      <c r="G796" s="2">
        <f t="shared" si="12"/>
        <v>7</v>
      </c>
      <c r="H796" s="2">
        <v>58</v>
      </c>
      <c r="I796" t="s">
        <v>78</v>
      </c>
      <c r="J796" t="s">
        <v>27</v>
      </c>
      <c r="K796" s="2">
        <v>26.24</v>
      </c>
      <c r="L796" s="3">
        <v>312.67</v>
      </c>
      <c r="M796" s="3">
        <f>orders_1[[#This Row],[products.Base_Price]]*orders_1[[#This Row],[Quantity]]</f>
        <v>18134.86</v>
      </c>
      <c r="N796" t="s">
        <v>20</v>
      </c>
      <c r="O796" t="s">
        <v>25</v>
      </c>
      <c r="P796" t="s">
        <v>19</v>
      </c>
    </row>
    <row r="797" spans="1:16" x14ac:dyDescent="0.3">
      <c r="A797" s="2">
        <v>10796</v>
      </c>
      <c r="B797" s="2">
        <v>900</v>
      </c>
      <c r="C797" s="2">
        <v>2090</v>
      </c>
      <c r="D797" s="2">
        <v>304</v>
      </c>
      <c r="E797" s="4">
        <v>45295</v>
      </c>
      <c r="F797" s="4">
        <v>45302</v>
      </c>
      <c r="G797" s="2">
        <f t="shared" si="12"/>
        <v>7</v>
      </c>
      <c r="H797" s="2">
        <v>47</v>
      </c>
      <c r="I797" t="s">
        <v>36</v>
      </c>
      <c r="J797" t="s">
        <v>22</v>
      </c>
      <c r="K797" s="2">
        <v>38.729999999999997</v>
      </c>
      <c r="L797" s="3">
        <v>913.68</v>
      </c>
      <c r="M797" s="3">
        <f>orders_1[[#This Row],[products.Base_Price]]*orders_1[[#This Row],[Quantity]]</f>
        <v>42942.96</v>
      </c>
      <c r="N797" t="s">
        <v>17</v>
      </c>
      <c r="O797" t="s">
        <v>18</v>
      </c>
      <c r="P797" t="s">
        <v>19</v>
      </c>
    </row>
    <row r="798" spans="1:16" x14ac:dyDescent="0.3">
      <c r="A798" s="2">
        <v>10797</v>
      </c>
      <c r="B798" s="2">
        <v>723</v>
      </c>
      <c r="C798" s="2">
        <v>2026</v>
      </c>
      <c r="D798" s="2">
        <v>301</v>
      </c>
      <c r="E798" s="4">
        <v>45565</v>
      </c>
      <c r="F798" s="4">
        <v>45575</v>
      </c>
      <c r="G798" s="2">
        <f t="shared" si="12"/>
        <v>10</v>
      </c>
      <c r="H798" s="2">
        <v>70</v>
      </c>
      <c r="I798" t="s">
        <v>78</v>
      </c>
      <c r="J798" t="s">
        <v>22</v>
      </c>
      <c r="K798" s="2">
        <v>23.02</v>
      </c>
      <c r="L798" s="3">
        <v>858.57</v>
      </c>
      <c r="M798" s="3">
        <f>orders_1[[#This Row],[products.Base_Price]]*orders_1[[#This Row],[Quantity]]</f>
        <v>60099.9</v>
      </c>
      <c r="N798" t="s">
        <v>8</v>
      </c>
      <c r="O798" t="s">
        <v>10</v>
      </c>
      <c r="P798" t="s">
        <v>11</v>
      </c>
    </row>
    <row r="799" spans="1:16" x14ac:dyDescent="0.3">
      <c r="A799" s="2">
        <v>10798</v>
      </c>
      <c r="B799" s="2">
        <v>723</v>
      </c>
      <c r="C799" s="2">
        <v>2002</v>
      </c>
      <c r="D799" s="2">
        <v>312</v>
      </c>
      <c r="E799" s="4">
        <v>45328</v>
      </c>
      <c r="F799" s="4">
        <v>45332</v>
      </c>
      <c r="G799" s="2">
        <f t="shared" si="12"/>
        <v>4</v>
      </c>
      <c r="H799" s="2">
        <v>1</v>
      </c>
      <c r="I799" t="s">
        <v>36</v>
      </c>
      <c r="J799" t="s">
        <v>13</v>
      </c>
      <c r="K799" s="2">
        <v>30.78</v>
      </c>
      <c r="L799" s="3">
        <v>646.99</v>
      </c>
      <c r="M799" s="3">
        <f>orders_1[[#This Row],[products.Base_Price]]*orders_1[[#This Row],[Quantity]]</f>
        <v>646.99</v>
      </c>
      <c r="N799" t="s">
        <v>15</v>
      </c>
      <c r="O799" t="s">
        <v>10</v>
      </c>
      <c r="P799" t="s">
        <v>11</v>
      </c>
    </row>
    <row r="800" spans="1:16" x14ac:dyDescent="0.3">
      <c r="A800" s="2">
        <v>10799</v>
      </c>
      <c r="B800" s="2">
        <v>753</v>
      </c>
      <c r="C800" s="2">
        <v>2068</v>
      </c>
      <c r="D800" s="2">
        <v>306</v>
      </c>
      <c r="E800" s="4">
        <v>45506</v>
      </c>
      <c r="F800" s="4">
        <v>45508</v>
      </c>
      <c r="G800" s="2">
        <f t="shared" si="12"/>
        <v>2</v>
      </c>
      <c r="H800" s="2">
        <v>89</v>
      </c>
      <c r="I800" t="s">
        <v>78</v>
      </c>
      <c r="J800" t="s">
        <v>27</v>
      </c>
      <c r="K800" s="2">
        <v>47.08</v>
      </c>
      <c r="L800" s="3">
        <v>501.03</v>
      </c>
      <c r="M800" s="3">
        <f>orders_1[[#This Row],[products.Base_Price]]*orders_1[[#This Row],[Quantity]]</f>
        <v>44591.67</v>
      </c>
      <c r="N800" t="s">
        <v>8</v>
      </c>
      <c r="O800" t="s">
        <v>10</v>
      </c>
      <c r="P800" t="s">
        <v>16</v>
      </c>
    </row>
    <row r="801" spans="1:16" x14ac:dyDescent="0.3">
      <c r="A801" s="2">
        <v>10800</v>
      </c>
      <c r="B801" s="2">
        <v>553</v>
      </c>
      <c r="C801" s="2">
        <v>2089</v>
      </c>
      <c r="D801" s="2">
        <v>306</v>
      </c>
      <c r="E801" s="4">
        <v>45329</v>
      </c>
      <c r="F801" s="4">
        <v>45334</v>
      </c>
      <c r="G801" s="2">
        <f t="shared" si="12"/>
        <v>5</v>
      </c>
      <c r="H801" s="2">
        <v>13</v>
      </c>
      <c r="I801" t="s">
        <v>39</v>
      </c>
      <c r="J801" t="s">
        <v>22</v>
      </c>
      <c r="K801" s="2">
        <v>19.170000000000002</v>
      </c>
      <c r="L801" s="3">
        <v>513.33000000000004</v>
      </c>
      <c r="M801" s="3">
        <f>orders_1[[#This Row],[products.Base_Price]]*orders_1[[#This Row],[Quantity]]</f>
        <v>6673.2900000000009</v>
      </c>
      <c r="N801" t="s">
        <v>8</v>
      </c>
      <c r="O801" t="s">
        <v>10</v>
      </c>
      <c r="P801" t="s">
        <v>16</v>
      </c>
    </row>
    <row r="802" spans="1:16" x14ac:dyDescent="0.3">
      <c r="A802" s="2">
        <v>10801</v>
      </c>
      <c r="B802" s="2">
        <v>862</v>
      </c>
      <c r="C802" s="2">
        <v>2063</v>
      </c>
      <c r="D802" s="2">
        <v>307</v>
      </c>
      <c r="E802" s="4">
        <v>45444</v>
      </c>
      <c r="F802" s="4">
        <v>45451</v>
      </c>
      <c r="G802" s="2">
        <f t="shared" si="12"/>
        <v>7</v>
      </c>
      <c r="H802" s="2">
        <v>6</v>
      </c>
      <c r="I802" t="s">
        <v>36</v>
      </c>
      <c r="J802" t="s">
        <v>9</v>
      </c>
      <c r="K802" s="2">
        <v>13.23</v>
      </c>
      <c r="L802" s="3">
        <v>151.69999999999999</v>
      </c>
      <c r="M802" s="3">
        <f>orders_1[[#This Row],[products.Base_Price]]*orders_1[[#This Row],[Quantity]]</f>
        <v>910.19999999999993</v>
      </c>
      <c r="N802" t="s">
        <v>17</v>
      </c>
      <c r="O802" t="s">
        <v>10</v>
      </c>
      <c r="P802" t="s">
        <v>11</v>
      </c>
    </row>
    <row r="803" spans="1:16" x14ac:dyDescent="0.3">
      <c r="A803" s="2">
        <v>10802</v>
      </c>
      <c r="B803" s="2">
        <v>656</v>
      </c>
      <c r="C803" s="2">
        <v>2040</v>
      </c>
      <c r="D803" s="2">
        <v>309</v>
      </c>
      <c r="E803" s="4">
        <v>45652</v>
      </c>
      <c r="F803" s="4">
        <v>45660</v>
      </c>
      <c r="G803" s="2">
        <f t="shared" si="12"/>
        <v>8</v>
      </c>
      <c r="H803" s="2">
        <v>72</v>
      </c>
      <c r="I803" t="s">
        <v>39</v>
      </c>
      <c r="J803" t="s">
        <v>27</v>
      </c>
      <c r="K803" s="2">
        <v>3.71</v>
      </c>
      <c r="L803" s="3">
        <v>27.53</v>
      </c>
      <c r="M803" s="3">
        <f>orders_1[[#This Row],[products.Base_Price]]*orders_1[[#This Row],[Quantity]]</f>
        <v>1982.16</v>
      </c>
      <c r="N803" t="s">
        <v>24</v>
      </c>
      <c r="O803" t="s">
        <v>25</v>
      </c>
      <c r="P803" t="s">
        <v>16</v>
      </c>
    </row>
    <row r="804" spans="1:16" x14ac:dyDescent="0.3">
      <c r="A804" s="2">
        <v>10803</v>
      </c>
      <c r="B804" s="2">
        <v>632</v>
      </c>
      <c r="C804" s="2">
        <v>2030</v>
      </c>
      <c r="D804" s="2">
        <v>314</v>
      </c>
      <c r="E804" s="4">
        <v>45654</v>
      </c>
      <c r="F804" s="4">
        <v>45656</v>
      </c>
      <c r="G804" s="2">
        <f t="shared" si="12"/>
        <v>2</v>
      </c>
      <c r="H804" s="2">
        <v>53</v>
      </c>
      <c r="I804" t="s">
        <v>39</v>
      </c>
      <c r="J804" t="s">
        <v>13</v>
      </c>
      <c r="K804" s="2">
        <v>27.52</v>
      </c>
      <c r="L804" s="3">
        <v>537.03</v>
      </c>
      <c r="M804" s="3">
        <f>orders_1[[#This Row],[products.Base_Price]]*orders_1[[#This Row],[Quantity]]</f>
        <v>28462.59</v>
      </c>
      <c r="N804" t="s">
        <v>17</v>
      </c>
      <c r="O804" t="s">
        <v>14</v>
      </c>
      <c r="P804" t="s">
        <v>19</v>
      </c>
    </row>
    <row r="805" spans="1:16" x14ac:dyDescent="0.3">
      <c r="A805" s="2">
        <v>10804</v>
      </c>
      <c r="B805" s="2">
        <v>546</v>
      </c>
      <c r="C805" s="2">
        <v>2016</v>
      </c>
      <c r="D805" s="2">
        <v>313</v>
      </c>
      <c r="E805" s="4">
        <v>45571</v>
      </c>
      <c r="F805" s="4">
        <v>45574</v>
      </c>
      <c r="G805" s="2">
        <f t="shared" si="12"/>
        <v>3</v>
      </c>
      <c r="H805" s="2">
        <v>19</v>
      </c>
      <c r="I805" t="s">
        <v>36</v>
      </c>
      <c r="J805" t="s">
        <v>13</v>
      </c>
      <c r="K805" s="2">
        <v>12.52</v>
      </c>
      <c r="L805" s="3">
        <v>709.8</v>
      </c>
      <c r="M805" s="3">
        <f>orders_1[[#This Row],[products.Base_Price]]*orders_1[[#This Row],[Quantity]]</f>
        <v>13486.199999999999</v>
      </c>
      <c r="N805" t="s">
        <v>15</v>
      </c>
      <c r="O805" t="s">
        <v>25</v>
      </c>
      <c r="P805" t="s">
        <v>16</v>
      </c>
    </row>
    <row r="806" spans="1:16" x14ac:dyDescent="0.3">
      <c r="A806" s="2">
        <v>10805</v>
      </c>
      <c r="B806" s="2">
        <v>622</v>
      </c>
      <c r="C806" s="2">
        <v>2021</v>
      </c>
      <c r="D806" s="2">
        <v>317</v>
      </c>
      <c r="E806" s="4">
        <v>45426</v>
      </c>
      <c r="F806" s="4">
        <v>45428</v>
      </c>
      <c r="G806" s="2">
        <f t="shared" si="12"/>
        <v>2</v>
      </c>
      <c r="H806" s="2">
        <v>26</v>
      </c>
      <c r="I806" t="s">
        <v>36</v>
      </c>
      <c r="J806" t="s">
        <v>9</v>
      </c>
      <c r="K806" s="2">
        <v>18.77</v>
      </c>
      <c r="L806" s="3">
        <v>259.72000000000003</v>
      </c>
      <c r="M806" s="3">
        <f>orders_1[[#This Row],[products.Base_Price]]*orders_1[[#This Row],[Quantity]]</f>
        <v>6752.7200000000012</v>
      </c>
      <c r="N806" t="s">
        <v>20</v>
      </c>
      <c r="O806" t="s">
        <v>25</v>
      </c>
      <c r="P806" t="s">
        <v>19</v>
      </c>
    </row>
    <row r="807" spans="1:16" x14ac:dyDescent="0.3">
      <c r="A807" s="2">
        <v>10806</v>
      </c>
      <c r="B807" s="2">
        <v>801</v>
      </c>
      <c r="C807" s="2">
        <v>2048</v>
      </c>
      <c r="D807" s="2">
        <v>316</v>
      </c>
      <c r="E807" s="4">
        <v>45326</v>
      </c>
      <c r="F807" s="4">
        <v>45328</v>
      </c>
      <c r="G807" s="2">
        <f t="shared" si="12"/>
        <v>2</v>
      </c>
      <c r="H807" s="2">
        <v>42</v>
      </c>
      <c r="I807" t="s">
        <v>36</v>
      </c>
      <c r="J807" t="s">
        <v>22</v>
      </c>
      <c r="K807" s="2">
        <v>6.74</v>
      </c>
      <c r="L807" s="3">
        <v>864.57</v>
      </c>
      <c r="M807" s="3">
        <f>orders_1[[#This Row],[products.Base_Price]]*orders_1[[#This Row],[Quantity]]</f>
        <v>36311.94</v>
      </c>
      <c r="N807" t="s">
        <v>24</v>
      </c>
      <c r="O807" t="s">
        <v>25</v>
      </c>
      <c r="P807" t="s">
        <v>19</v>
      </c>
    </row>
    <row r="808" spans="1:16" x14ac:dyDescent="0.3">
      <c r="A808" s="2">
        <v>10807</v>
      </c>
      <c r="B808" s="2">
        <v>684</v>
      </c>
      <c r="C808" s="2">
        <v>2049</v>
      </c>
      <c r="D808" s="2">
        <v>320</v>
      </c>
      <c r="E808" s="4">
        <v>45549</v>
      </c>
      <c r="F808" s="4">
        <v>45558</v>
      </c>
      <c r="G808" s="2">
        <f t="shared" si="12"/>
        <v>9</v>
      </c>
      <c r="H808" s="2">
        <v>9</v>
      </c>
      <c r="I808" t="s">
        <v>42</v>
      </c>
      <c r="J808" t="s">
        <v>27</v>
      </c>
      <c r="K808" s="2">
        <v>17.52</v>
      </c>
      <c r="L808" s="3">
        <v>832.77</v>
      </c>
      <c r="M808" s="3">
        <f>orders_1[[#This Row],[products.Base_Price]]*orders_1[[#This Row],[Quantity]]</f>
        <v>7494.93</v>
      </c>
      <c r="N808" t="s">
        <v>15</v>
      </c>
      <c r="O808" t="s">
        <v>25</v>
      </c>
      <c r="P808" t="s">
        <v>11</v>
      </c>
    </row>
    <row r="809" spans="1:16" x14ac:dyDescent="0.3">
      <c r="A809" s="2">
        <v>10808</v>
      </c>
      <c r="B809" s="2">
        <v>552</v>
      </c>
      <c r="C809" s="2">
        <v>2099</v>
      </c>
      <c r="D809" s="2">
        <v>302</v>
      </c>
      <c r="E809" s="4">
        <v>45346</v>
      </c>
      <c r="F809" s="4">
        <v>45353</v>
      </c>
      <c r="G809" s="2">
        <f t="shared" si="12"/>
        <v>7</v>
      </c>
      <c r="H809" s="2">
        <v>87</v>
      </c>
      <c r="I809" t="s">
        <v>78</v>
      </c>
      <c r="J809" t="s">
        <v>21</v>
      </c>
      <c r="K809" s="2">
        <v>31.62</v>
      </c>
      <c r="L809" s="3">
        <v>652.77</v>
      </c>
      <c r="M809" s="3">
        <f>orders_1[[#This Row],[products.Base_Price]]*orders_1[[#This Row],[Quantity]]</f>
        <v>56790.99</v>
      </c>
      <c r="N809" t="s">
        <v>12</v>
      </c>
      <c r="O809" t="s">
        <v>14</v>
      </c>
      <c r="P809" t="s">
        <v>11</v>
      </c>
    </row>
    <row r="810" spans="1:16" x14ac:dyDescent="0.3">
      <c r="A810" s="2">
        <v>10809</v>
      </c>
      <c r="B810" s="2">
        <v>863</v>
      </c>
      <c r="C810" s="2">
        <v>2055</v>
      </c>
      <c r="D810" s="2">
        <v>316</v>
      </c>
      <c r="E810" s="4">
        <v>45652</v>
      </c>
      <c r="F810" s="4">
        <v>45661</v>
      </c>
      <c r="G810" s="2">
        <f t="shared" si="12"/>
        <v>9</v>
      </c>
      <c r="H810" s="2">
        <v>89</v>
      </c>
      <c r="I810" t="s">
        <v>36</v>
      </c>
      <c r="J810" t="s">
        <v>27</v>
      </c>
      <c r="K810" s="2">
        <v>26.24</v>
      </c>
      <c r="L810" s="3">
        <v>312.67</v>
      </c>
      <c r="M810" s="3">
        <f>orders_1[[#This Row],[products.Base_Price]]*orders_1[[#This Row],[Quantity]]</f>
        <v>27827.63</v>
      </c>
      <c r="N810" t="s">
        <v>24</v>
      </c>
      <c r="O810" t="s">
        <v>25</v>
      </c>
      <c r="P810" t="s">
        <v>19</v>
      </c>
    </row>
    <row r="811" spans="1:16" x14ac:dyDescent="0.3">
      <c r="A811" s="2">
        <v>10810</v>
      </c>
      <c r="B811" s="2">
        <v>685</v>
      </c>
      <c r="C811" s="2">
        <v>2038</v>
      </c>
      <c r="D811" s="2">
        <v>312</v>
      </c>
      <c r="E811" s="4">
        <v>45630</v>
      </c>
      <c r="F811" s="4">
        <v>45635</v>
      </c>
      <c r="G811" s="2">
        <f t="shared" si="12"/>
        <v>5</v>
      </c>
      <c r="H811" s="2">
        <v>33</v>
      </c>
      <c r="I811" t="s">
        <v>39</v>
      </c>
      <c r="J811" t="s">
        <v>27</v>
      </c>
      <c r="K811" s="2">
        <v>26.62</v>
      </c>
      <c r="L811" s="3">
        <v>680</v>
      </c>
      <c r="M811" s="3">
        <f>orders_1[[#This Row],[products.Base_Price]]*orders_1[[#This Row],[Quantity]]</f>
        <v>22440</v>
      </c>
      <c r="N811" t="s">
        <v>15</v>
      </c>
      <c r="O811" t="s">
        <v>10</v>
      </c>
      <c r="P811" t="s">
        <v>11</v>
      </c>
    </row>
    <row r="812" spans="1:16" x14ac:dyDescent="0.3">
      <c r="A812" s="2">
        <v>10811</v>
      </c>
      <c r="B812" s="2">
        <v>740</v>
      </c>
      <c r="C812" s="2">
        <v>2024</v>
      </c>
      <c r="D812" s="2">
        <v>314</v>
      </c>
      <c r="E812" s="4">
        <v>45593</v>
      </c>
      <c r="F812" s="4">
        <v>45598</v>
      </c>
      <c r="G812" s="2">
        <f t="shared" si="12"/>
        <v>5</v>
      </c>
      <c r="H812" s="2">
        <v>100</v>
      </c>
      <c r="I812" t="s">
        <v>78</v>
      </c>
      <c r="J812" t="s">
        <v>13</v>
      </c>
      <c r="K812" s="2">
        <v>21.16</v>
      </c>
      <c r="L812" s="3">
        <v>291.08</v>
      </c>
      <c r="M812" s="3">
        <f>orders_1[[#This Row],[products.Base_Price]]*orders_1[[#This Row],[Quantity]]</f>
        <v>29108</v>
      </c>
      <c r="N812" t="s">
        <v>17</v>
      </c>
      <c r="O812" t="s">
        <v>14</v>
      </c>
      <c r="P812" t="s">
        <v>19</v>
      </c>
    </row>
    <row r="813" spans="1:16" x14ac:dyDescent="0.3">
      <c r="A813" s="2">
        <v>10812</v>
      </c>
      <c r="B813" s="2">
        <v>528</v>
      </c>
      <c r="C813" s="2">
        <v>2032</v>
      </c>
      <c r="D813" s="2">
        <v>315</v>
      </c>
      <c r="E813" s="4">
        <v>45555</v>
      </c>
      <c r="F813" s="4">
        <v>45565</v>
      </c>
      <c r="G813" s="2">
        <f t="shared" si="12"/>
        <v>10</v>
      </c>
      <c r="H813" s="2">
        <v>41</v>
      </c>
      <c r="I813" t="s">
        <v>78</v>
      </c>
      <c r="J813" t="s">
        <v>9</v>
      </c>
      <c r="K813" s="2">
        <v>3.81</v>
      </c>
      <c r="L813" s="3">
        <v>682.41</v>
      </c>
      <c r="M813" s="3">
        <f>orders_1[[#This Row],[products.Base_Price]]*orders_1[[#This Row],[Quantity]]</f>
        <v>27978.809999999998</v>
      </c>
      <c r="N813" t="s">
        <v>15</v>
      </c>
      <c r="O813" t="s">
        <v>25</v>
      </c>
      <c r="P813" t="s">
        <v>19</v>
      </c>
    </row>
    <row r="814" spans="1:16" x14ac:dyDescent="0.3">
      <c r="A814" s="2">
        <v>10813</v>
      </c>
      <c r="B814" s="2">
        <v>854</v>
      </c>
      <c r="C814" s="2">
        <v>2041</v>
      </c>
      <c r="D814" s="2">
        <v>311</v>
      </c>
      <c r="E814" s="4">
        <v>45649</v>
      </c>
      <c r="F814" s="4">
        <v>45655</v>
      </c>
      <c r="G814" s="2">
        <f t="shared" si="12"/>
        <v>6</v>
      </c>
      <c r="H814" s="2">
        <v>48</v>
      </c>
      <c r="I814" t="s">
        <v>78</v>
      </c>
      <c r="J814" t="s">
        <v>22</v>
      </c>
      <c r="K814" s="2">
        <v>48.2</v>
      </c>
      <c r="L814" s="3">
        <v>792.77</v>
      </c>
      <c r="M814" s="3">
        <f>orders_1[[#This Row],[products.Base_Price]]*orders_1[[#This Row],[Quantity]]</f>
        <v>38052.959999999999</v>
      </c>
      <c r="N814" t="s">
        <v>26</v>
      </c>
      <c r="O814" t="s">
        <v>10</v>
      </c>
      <c r="P814" t="s">
        <v>11</v>
      </c>
    </row>
    <row r="815" spans="1:16" x14ac:dyDescent="0.3">
      <c r="A815" s="2">
        <v>10814</v>
      </c>
      <c r="B815" s="2">
        <v>899</v>
      </c>
      <c r="C815" s="2">
        <v>2056</v>
      </c>
      <c r="D815" s="2">
        <v>318</v>
      </c>
      <c r="E815" s="4">
        <v>45388</v>
      </c>
      <c r="F815" s="4">
        <v>45398</v>
      </c>
      <c r="G815" s="2">
        <f t="shared" si="12"/>
        <v>10</v>
      </c>
      <c r="H815" s="2">
        <v>38</v>
      </c>
      <c r="I815" t="s">
        <v>42</v>
      </c>
      <c r="J815" t="s">
        <v>9</v>
      </c>
      <c r="K815" s="2">
        <v>18.559999999999999</v>
      </c>
      <c r="L815" s="3">
        <v>564.01</v>
      </c>
      <c r="M815" s="3">
        <f>orders_1[[#This Row],[products.Base_Price]]*orders_1[[#This Row],[Quantity]]</f>
        <v>21432.38</v>
      </c>
      <c r="N815" t="s">
        <v>17</v>
      </c>
      <c r="O815" t="s">
        <v>10</v>
      </c>
      <c r="P815" t="s">
        <v>19</v>
      </c>
    </row>
    <row r="816" spans="1:16" x14ac:dyDescent="0.3">
      <c r="A816" s="2">
        <v>10815</v>
      </c>
      <c r="B816" s="2">
        <v>544</v>
      </c>
      <c r="C816" s="2">
        <v>2024</v>
      </c>
      <c r="D816" s="2">
        <v>304</v>
      </c>
      <c r="E816" s="4">
        <v>45406</v>
      </c>
      <c r="F816" s="4">
        <v>45407</v>
      </c>
      <c r="G816" s="2">
        <f t="shared" si="12"/>
        <v>1</v>
      </c>
      <c r="H816" s="2">
        <v>94</v>
      </c>
      <c r="I816" t="s">
        <v>39</v>
      </c>
      <c r="J816" t="s">
        <v>13</v>
      </c>
      <c r="K816" s="2">
        <v>21.16</v>
      </c>
      <c r="L816" s="3">
        <v>291.08</v>
      </c>
      <c r="M816" s="3">
        <f>orders_1[[#This Row],[products.Base_Price]]*orders_1[[#This Row],[Quantity]]</f>
        <v>27361.519999999997</v>
      </c>
      <c r="N816" t="s">
        <v>17</v>
      </c>
      <c r="O816" t="s">
        <v>18</v>
      </c>
      <c r="P816" t="s">
        <v>19</v>
      </c>
    </row>
    <row r="817" spans="1:16" x14ac:dyDescent="0.3">
      <c r="A817" s="2">
        <v>10816</v>
      </c>
      <c r="B817" s="2">
        <v>578</v>
      </c>
      <c r="C817" s="2">
        <v>2046</v>
      </c>
      <c r="D817" s="2">
        <v>306</v>
      </c>
      <c r="E817" s="4">
        <v>45421</v>
      </c>
      <c r="F817" s="4">
        <v>45427</v>
      </c>
      <c r="G817" s="2">
        <f t="shared" si="12"/>
        <v>6</v>
      </c>
      <c r="H817" s="2">
        <v>71</v>
      </c>
      <c r="I817" t="s">
        <v>39</v>
      </c>
      <c r="J817" t="s">
        <v>27</v>
      </c>
      <c r="K817" s="2">
        <v>38.130000000000003</v>
      </c>
      <c r="L817" s="3">
        <v>649.34</v>
      </c>
      <c r="M817" s="3">
        <f>orders_1[[#This Row],[products.Base_Price]]*orders_1[[#This Row],[Quantity]]</f>
        <v>46103.14</v>
      </c>
      <c r="N817" t="s">
        <v>8</v>
      </c>
      <c r="O817" t="s">
        <v>10</v>
      </c>
      <c r="P817" t="s">
        <v>16</v>
      </c>
    </row>
    <row r="818" spans="1:16" x14ac:dyDescent="0.3">
      <c r="A818" s="2">
        <v>10817</v>
      </c>
      <c r="B818" s="2">
        <v>873</v>
      </c>
      <c r="C818" s="2">
        <v>2054</v>
      </c>
      <c r="D818" s="2">
        <v>304</v>
      </c>
      <c r="E818" s="4">
        <v>45354</v>
      </c>
      <c r="F818" s="4">
        <v>45358</v>
      </c>
      <c r="G818" s="2">
        <f t="shared" si="12"/>
        <v>4</v>
      </c>
      <c r="H818" s="2">
        <v>6</v>
      </c>
      <c r="I818" t="s">
        <v>39</v>
      </c>
      <c r="J818" t="s">
        <v>9</v>
      </c>
      <c r="K818" s="2">
        <v>5.63</v>
      </c>
      <c r="L818" s="3">
        <v>304.22000000000003</v>
      </c>
      <c r="M818" s="3">
        <f>orders_1[[#This Row],[products.Base_Price]]*orders_1[[#This Row],[Quantity]]</f>
        <v>1825.3200000000002</v>
      </c>
      <c r="N818" t="s">
        <v>17</v>
      </c>
      <c r="O818" t="s">
        <v>18</v>
      </c>
      <c r="P818" t="s">
        <v>19</v>
      </c>
    </row>
    <row r="819" spans="1:16" x14ac:dyDescent="0.3">
      <c r="A819" s="2">
        <v>10818</v>
      </c>
      <c r="B819" s="2">
        <v>562</v>
      </c>
      <c r="C819" s="2">
        <v>2028</v>
      </c>
      <c r="D819" s="2">
        <v>319</v>
      </c>
      <c r="E819" s="4">
        <v>45420</v>
      </c>
      <c r="F819" s="4">
        <v>45429</v>
      </c>
      <c r="G819" s="2">
        <f t="shared" si="12"/>
        <v>9</v>
      </c>
      <c r="H819" s="2">
        <v>33</v>
      </c>
      <c r="I819" t="s">
        <v>36</v>
      </c>
      <c r="J819" t="s">
        <v>13</v>
      </c>
      <c r="K819" s="2">
        <v>30.34</v>
      </c>
      <c r="L819" s="3">
        <v>630.65</v>
      </c>
      <c r="M819" s="3">
        <f>orders_1[[#This Row],[products.Base_Price]]*orders_1[[#This Row],[Quantity]]</f>
        <v>20811.45</v>
      </c>
      <c r="N819" t="s">
        <v>20</v>
      </c>
      <c r="O819" t="s">
        <v>18</v>
      </c>
      <c r="P819" t="s">
        <v>11</v>
      </c>
    </row>
    <row r="820" spans="1:16" x14ac:dyDescent="0.3">
      <c r="A820" s="2">
        <v>10819</v>
      </c>
      <c r="B820" s="2">
        <v>562</v>
      </c>
      <c r="C820" s="2">
        <v>2084</v>
      </c>
      <c r="D820" s="2">
        <v>313</v>
      </c>
      <c r="E820" s="4">
        <v>45579</v>
      </c>
      <c r="F820" s="4">
        <v>45585</v>
      </c>
      <c r="G820" s="2">
        <f t="shared" si="12"/>
        <v>6</v>
      </c>
      <c r="H820" s="2">
        <v>19</v>
      </c>
      <c r="I820" t="s">
        <v>78</v>
      </c>
      <c r="J820" t="s">
        <v>21</v>
      </c>
      <c r="K820" s="2">
        <v>14.27</v>
      </c>
      <c r="L820" s="3">
        <v>223.58</v>
      </c>
      <c r="M820" s="3">
        <f>orders_1[[#This Row],[products.Base_Price]]*orders_1[[#This Row],[Quantity]]</f>
        <v>4248.0200000000004</v>
      </c>
      <c r="N820" t="s">
        <v>15</v>
      </c>
      <c r="O820" t="s">
        <v>25</v>
      </c>
      <c r="P820" t="s">
        <v>16</v>
      </c>
    </row>
    <row r="821" spans="1:16" x14ac:dyDescent="0.3">
      <c r="A821" s="2">
        <v>10820</v>
      </c>
      <c r="B821" s="2">
        <v>750</v>
      </c>
      <c r="C821" s="2">
        <v>2078</v>
      </c>
      <c r="D821" s="2">
        <v>301</v>
      </c>
      <c r="E821" s="4">
        <v>45490</v>
      </c>
      <c r="F821" s="4">
        <v>45491</v>
      </c>
      <c r="G821" s="2">
        <f t="shared" si="12"/>
        <v>1</v>
      </c>
      <c r="H821" s="2">
        <v>55</v>
      </c>
      <c r="I821" t="s">
        <v>36</v>
      </c>
      <c r="J821" t="s">
        <v>21</v>
      </c>
      <c r="K821" s="2">
        <v>14.85</v>
      </c>
      <c r="L821" s="3">
        <v>517.03</v>
      </c>
      <c r="M821" s="3">
        <f>orders_1[[#This Row],[products.Base_Price]]*orders_1[[#This Row],[Quantity]]</f>
        <v>28436.649999999998</v>
      </c>
      <c r="N821" t="s">
        <v>8</v>
      </c>
      <c r="O821" t="s">
        <v>10</v>
      </c>
      <c r="P821" t="s">
        <v>11</v>
      </c>
    </row>
    <row r="822" spans="1:16" x14ac:dyDescent="0.3">
      <c r="A822" s="2">
        <v>10821</v>
      </c>
      <c r="B822" s="2">
        <v>800</v>
      </c>
      <c r="C822" s="2">
        <v>2015</v>
      </c>
      <c r="D822" s="2">
        <v>319</v>
      </c>
      <c r="E822" s="4">
        <v>45442</v>
      </c>
      <c r="F822" s="4">
        <v>45452</v>
      </c>
      <c r="G822" s="2">
        <f t="shared" si="12"/>
        <v>10</v>
      </c>
      <c r="H822" s="2">
        <v>9</v>
      </c>
      <c r="I822" t="s">
        <v>36</v>
      </c>
      <c r="J822" t="s">
        <v>13</v>
      </c>
      <c r="K822" s="2">
        <v>35.520000000000003</v>
      </c>
      <c r="L822" s="3">
        <v>638.11</v>
      </c>
      <c r="M822" s="3">
        <f>orders_1[[#This Row],[products.Base_Price]]*orders_1[[#This Row],[Quantity]]</f>
        <v>5742.99</v>
      </c>
      <c r="N822" t="s">
        <v>20</v>
      </c>
      <c r="O822" t="s">
        <v>18</v>
      </c>
      <c r="P822" t="s">
        <v>11</v>
      </c>
    </row>
    <row r="823" spans="1:16" x14ac:dyDescent="0.3">
      <c r="A823" s="2">
        <v>10822</v>
      </c>
      <c r="B823" s="2">
        <v>585</v>
      </c>
      <c r="C823" s="2">
        <v>2047</v>
      </c>
      <c r="D823" s="2">
        <v>306</v>
      </c>
      <c r="E823" s="4">
        <v>45572</v>
      </c>
      <c r="F823" s="4">
        <v>45575</v>
      </c>
      <c r="G823" s="2">
        <f t="shared" si="12"/>
        <v>3</v>
      </c>
      <c r="H823" s="2">
        <v>84</v>
      </c>
      <c r="I823" t="s">
        <v>36</v>
      </c>
      <c r="J823" t="s">
        <v>27</v>
      </c>
      <c r="K823" s="2">
        <v>31.72</v>
      </c>
      <c r="L823" s="3">
        <v>210.46</v>
      </c>
      <c r="M823" s="3">
        <f>orders_1[[#This Row],[products.Base_Price]]*orders_1[[#This Row],[Quantity]]</f>
        <v>17678.64</v>
      </c>
      <c r="N823" t="s">
        <v>8</v>
      </c>
      <c r="O823" t="s">
        <v>10</v>
      </c>
      <c r="P823" t="s">
        <v>16</v>
      </c>
    </row>
    <row r="824" spans="1:16" x14ac:dyDescent="0.3">
      <c r="A824" s="2">
        <v>10823</v>
      </c>
      <c r="B824" s="2">
        <v>540</v>
      </c>
      <c r="C824" s="2">
        <v>2049</v>
      </c>
      <c r="D824" s="2">
        <v>302</v>
      </c>
      <c r="E824" s="4">
        <v>45499</v>
      </c>
      <c r="F824" s="4">
        <v>45508</v>
      </c>
      <c r="G824" s="2">
        <f t="shared" si="12"/>
        <v>9</v>
      </c>
      <c r="H824" s="2">
        <v>91</v>
      </c>
      <c r="I824" t="s">
        <v>39</v>
      </c>
      <c r="J824" t="s">
        <v>27</v>
      </c>
      <c r="K824" s="2">
        <v>17.52</v>
      </c>
      <c r="L824" s="3">
        <v>832.77</v>
      </c>
      <c r="M824" s="3">
        <f>orders_1[[#This Row],[products.Base_Price]]*orders_1[[#This Row],[Quantity]]</f>
        <v>75782.069999999992</v>
      </c>
      <c r="N824" t="s">
        <v>12</v>
      </c>
      <c r="O824" t="s">
        <v>14</v>
      </c>
      <c r="P824" t="s">
        <v>11</v>
      </c>
    </row>
    <row r="825" spans="1:16" x14ac:dyDescent="0.3">
      <c r="A825" s="2">
        <v>10824</v>
      </c>
      <c r="B825" s="2">
        <v>541</v>
      </c>
      <c r="C825" s="2">
        <v>2016</v>
      </c>
      <c r="D825" s="2">
        <v>309</v>
      </c>
      <c r="E825" s="4">
        <v>45316</v>
      </c>
      <c r="F825" s="4">
        <v>45317</v>
      </c>
      <c r="G825" s="2">
        <f t="shared" si="12"/>
        <v>1</v>
      </c>
      <c r="H825" s="2">
        <v>48</v>
      </c>
      <c r="I825" t="s">
        <v>78</v>
      </c>
      <c r="J825" t="s">
        <v>13</v>
      </c>
      <c r="K825" s="2">
        <v>12.52</v>
      </c>
      <c r="L825" s="3">
        <v>709.8</v>
      </c>
      <c r="M825" s="3">
        <f>orders_1[[#This Row],[products.Base_Price]]*orders_1[[#This Row],[Quantity]]</f>
        <v>34070.399999999994</v>
      </c>
      <c r="N825" t="s">
        <v>24</v>
      </c>
      <c r="O825" t="s">
        <v>25</v>
      </c>
      <c r="P825" t="s">
        <v>16</v>
      </c>
    </row>
    <row r="826" spans="1:16" x14ac:dyDescent="0.3">
      <c r="A826" s="2">
        <v>10825</v>
      </c>
      <c r="B826" s="2">
        <v>746</v>
      </c>
      <c r="C826" s="2">
        <v>2056</v>
      </c>
      <c r="D826" s="2">
        <v>306</v>
      </c>
      <c r="E826" s="4">
        <v>45564</v>
      </c>
      <c r="F826" s="4">
        <v>45570</v>
      </c>
      <c r="G826" s="2">
        <f t="shared" si="12"/>
        <v>6</v>
      </c>
      <c r="H826" s="2">
        <v>15</v>
      </c>
      <c r="I826" t="s">
        <v>36</v>
      </c>
      <c r="J826" t="s">
        <v>9</v>
      </c>
      <c r="K826" s="2">
        <v>18.559999999999999</v>
      </c>
      <c r="L826" s="3">
        <v>564.01</v>
      </c>
      <c r="M826" s="3">
        <f>orders_1[[#This Row],[products.Base_Price]]*orders_1[[#This Row],[Quantity]]</f>
        <v>8460.15</v>
      </c>
      <c r="N826" t="s">
        <v>8</v>
      </c>
      <c r="O826" t="s">
        <v>10</v>
      </c>
      <c r="P826" t="s">
        <v>16</v>
      </c>
    </row>
    <row r="827" spans="1:16" x14ac:dyDescent="0.3">
      <c r="A827" s="2">
        <v>10826</v>
      </c>
      <c r="B827" s="2">
        <v>882</v>
      </c>
      <c r="C827" s="2">
        <v>2004</v>
      </c>
      <c r="D827" s="2">
        <v>308</v>
      </c>
      <c r="E827" s="4">
        <v>45321</v>
      </c>
      <c r="F827" s="4">
        <v>45329</v>
      </c>
      <c r="G827" s="2">
        <f t="shared" si="12"/>
        <v>8</v>
      </c>
      <c r="H827" s="2">
        <v>39</v>
      </c>
      <c r="I827" t="s">
        <v>42</v>
      </c>
      <c r="J827" t="s">
        <v>9</v>
      </c>
      <c r="K827" s="2">
        <v>4.34</v>
      </c>
      <c r="L827" s="3">
        <v>52.14</v>
      </c>
      <c r="M827" s="3">
        <f>orders_1[[#This Row],[products.Base_Price]]*orders_1[[#This Row],[Quantity]]</f>
        <v>2033.46</v>
      </c>
      <c r="N827" t="s">
        <v>23</v>
      </c>
      <c r="O827" t="s">
        <v>14</v>
      </c>
      <c r="P827" t="s">
        <v>19</v>
      </c>
    </row>
    <row r="828" spans="1:16" x14ac:dyDescent="0.3">
      <c r="A828" s="2">
        <v>10827</v>
      </c>
      <c r="B828" s="2">
        <v>760</v>
      </c>
      <c r="C828" s="2">
        <v>2019</v>
      </c>
      <c r="D828" s="2">
        <v>304</v>
      </c>
      <c r="E828" s="4">
        <v>45512</v>
      </c>
      <c r="F828" s="4">
        <v>45518</v>
      </c>
      <c r="G828" s="2">
        <f t="shared" si="12"/>
        <v>6</v>
      </c>
      <c r="H828" s="2">
        <v>9</v>
      </c>
      <c r="I828" t="s">
        <v>42</v>
      </c>
      <c r="J828" t="s">
        <v>22</v>
      </c>
      <c r="K828" s="2">
        <v>27.65</v>
      </c>
      <c r="L828" s="3">
        <v>89.85</v>
      </c>
      <c r="M828" s="3">
        <f>orders_1[[#This Row],[products.Base_Price]]*orders_1[[#This Row],[Quantity]]</f>
        <v>808.65</v>
      </c>
      <c r="N828" t="s">
        <v>17</v>
      </c>
      <c r="O828" t="s">
        <v>18</v>
      </c>
      <c r="P828" t="s">
        <v>19</v>
      </c>
    </row>
    <row r="829" spans="1:16" x14ac:dyDescent="0.3">
      <c r="A829" s="2">
        <v>10828</v>
      </c>
      <c r="B829" s="2">
        <v>875</v>
      </c>
      <c r="C829" s="2">
        <v>2088</v>
      </c>
      <c r="D829" s="2">
        <v>314</v>
      </c>
      <c r="E829" s="4">
        <v>45585</v>
      </c>
      <c r="F829" s="4">
        <v>45586</v>
      </c>
      <c r="G829" s="2">
        <f t="shared" si="12"/>
        <v>1</v>
      </c>
      <c r="H829" s="2">
        <v>99</v>
      </c>
      <c r="I829" t="s">
        <v>36</v>
      </c>
      <c r="J829" t="s">
        <v>13</v>
      </c>
      <c r="K829" s="2">
        <v>27.71</v>
      </c>
      <c r="L829" s="3">
        <v>820.21</v>
      </c>
      <c r="M829" s="3">
        <f>orders_1[[#This Row],[products.Base_Price]]*orders_1[[#This Row],[Quantity]]</f>
        <v>81200.790000000008</v>
      </c>
      <c r="N829" t="s">
        <v>17</v>
      </c>
      <c r="O829" t="s">
        <v>14</v>
      </c>
      <c r="P829" t="s">
        <v>19</v>
      </c>
    </row>
    <row r="830" spans="1:16" x14ac:dyDescent="0.3">
      <c r="A830" s="2">
        <v>10829</v>
      </c>
      <c r="B830" s="2">
        <v>639</v>
      </c>
      <c r="C830" s="2">
        <v>2060</v>
      </c>
      <c r="D830" s="2">
        <v>302</v>
      </c>
      <c r="E830" s="4">
        <v>45392</v>
      </c>
      <c r="F830" s="4">
        <v>45398</v>
      </c>
      <c r="G830" s="2">
        <f t="shared" si="12"/>
        <v>6</v>
      </c>
      <c r="H830" s="2">
        <v>40</v>
      </c>
      <c r="I830" t="s">
        <v>36</v>
      </c>
      <c r="J830" t="s">
        <v>21</v>
      </c>
      <c r="K830" s="2">
        <v>3.65</v>
      </c>
      <c r="L830" s="3">
        <v>173.1</v>
      </c>
      <c r="M830" s="3">
        <f>orders_1[[#This Row],[products.Base_Price]]*orders_1[[#This Row],[Quantity]]</f>
        <v>6924</v>
      </c>
      <c r="N830" t="s">
        <v>12</v>
      </c>
      <c r="O830" t="s">
        <v>14</v>
      </c>
      <c r="P830" t="s">
        <v>11</v>
      </c>
    </row>
    <row r="831" spans="1:16" x14ac:dyDescent="0.3">
      <c r="A831" s="2">
        <v>10830</v>
      </c>
      <c r="B831" s="2">
        <v>559</v>
      </c>
      <c r="C831" s="2">
        <v>2016</v>
      </c>
      <c r="D831" s="2">
        <v>301</v>
      </c>
      <c r="E831" s="4">
        <v>45454</v>
      </c>
      <c r="F831" s="4">
        <v>45464</v>
      </c>
      <c r="G831" s="2">
        <f t="shared" si="12"/>
        <v>10</v>
      </c>
      <c r="H831" s="2">
        <v>82</v>
      </c>
      <c r="I831" t="s">
        <v>42</v>
      </c>
      <c r="J831" t="s">
        <v>13</v>
      </c>
      <c r="K831" s="2">
        <v>12.52</v>
      </c>
      <c r="L831" s="3">
        <v>709.8</v>
      </c>
      <c r="M831" s="3">
        <f>orders_1[[#This Row],[products.Base_Price]]*orders_1[[#This Row],[Quantity]]</f>
        <v>58203.6</v>
      </c>
      <c r="N831" t="s">
        <v>8</v>
      </c>
      <c r="O831" t="s">
        <v>10</v>
      </c>
      <c r="P831" t="s">
        <v>11</v>
      </c>
    </row>
    <row r="832" spans="1:16" x14ac:dyDescent="0.3">
      <c r="A832" s="2">
        <v>10831</v>
      </c>
      <c r="B832" s="2">
        <v>681</v>
      </c>
      <c r="C832" s="2">
        <v>2007</v>
      </c>
      <c r="D832" s="2">
        <v>309</v>
      </c>
      <c r="E832" s="4">
        <v>45310</v>
      </c>
      <c r="F832" s="4">
        <v>45315</v>
      </c>
      <c r="G832" s="2">
        <f t="shared" si="12"/>
        <v>5</v>
      </c>
      <c r="H832" s="2">
        <v>95</v>
      </c>
      <c r="I832" t="s">
        <v>39</v>
      </c>
      <c r="J832" t="s">
        <v>21</v>
      </c>
      <c r="K832" s="2">
        <v>48.07</v>
      </c>
      <c r="L832" s="3">
        <v>759.78</v>
      </c>
      <c r="M832" s="3">
        <f>orders_1[[#This Row],[products.Base_Price]]*orders_1[[#This Row],[Quantity]]</f>
        <v>72179.099999999991</v>
      </c>
      <c r="N832" t="s">
        <v>24</v>
      </c>
      <c r="O832" t="s">
        <v>25</v>
      </c>
      <c r="P832" t="s">
        <v>16</v>
      </c>
    </row>
    <row r="833" spans="1:16" x14ac:dyDescent="0.3">
      <c r="A833" s="2">
        <v>10832</v>
      </c>
      <c r="B833" s="2">
        <v>659</v>
      </c>
      <c r="C833" s="2">
        <v>2031</v>
      </c>
      <c r="D833" s="2">
        <v>309</v>
      </c>
      <c r="E833" s="4">
        <v>45354</v>
      </c>
      <c r="F833" s="4">
        <v>45356</v>
      </c>
      <c r="G833" s="2">
        <f t="shared" si="12"/>
        <v>2</v>
      </c>
      <c r="H833" s="2">
        <v>88</v>
      </c>
      <c r="I833" t="s">
        <v>42</v>
      </c>
      <c r="J833" t="s">
        <v>27</v>
      </c>
      <c r="K833" s="2">
        <v>24.61</v>
      </c>
      <c r="L833" s="3">
        <v>342.86</v>
      </c>
      <c r="M833" s="3">
        <f>orders_1[[#This Row],[products.Base_Price]]*orders_1[[#This Row],[Quantity]]</f>
        <v>30171.68</v>
      </c>
      <c r="N833" t="s">
        <v>24</v>
      </c>
      <c r="O833" t="s">
        <v>25</v>
      </c>
      <c r="P833" t="s">
        <v>16</v>
      </c>
    </row>
    <row r="834" spans="1:16" x14ac:dyDescent="0.3">
      <c r="A834" s="2">
        <v>10833</v>
      </c>
      <c r="B834" s="2">
        <v>878</v>
      </c>
      <c r="C834" s="2">
        <v>2081</v>
      </c>
      <c r="D834" s="2">
        <v>308</v>
      </c>
      <c r="E834" s="4">
        <v>45530</v>
      </c>
      <c r="F834" s="4">
        <v>45539</v>
      </c>
      <c r="G834" s="2">
        <f t="shared" ref="G834:G897" si="13">F834-E834</f>
        <v>9</v>
      </c>
      <c r="H834" s="2">
        <v>34</v>
      </c>
      <c r="I834" t="s">
        <v>36</v>
      </c>
      <c r="J834" t="s">
        <v>21</v>
      </c>
      <c r="K834" s="2">
        <v>20.72</v>
      </c>
      <c r="L834" s="3">
        <v>668.31</v>
      </c>
      <c r="M834" s="3">
        <f>orders_1[[#This Row],[products.Base_Price]]*orders_1[[#This Row],[Quantity]]</f>
        <v>22722.539999999997</v>
      </c>
      <c r="N834" t="s">
        <v>23</v>
      </c>
      <c r="O834" t="s">
        <v>14</v>
      </c>
      <c r="P834" t="s">
        <v>19</v>
      </c>
    </row>
    <row r="835" spans="1:16" x14ac:dyDescent="0.3">
      <c r="A835" s="2">
        <v>10834</v>
      </c>
      <c r="B835" s="2">
        <v>642</v>
      </c>
      <c r="C835" s="2">
        <v>2087</v>
      </c>
      <c r="D835" s="2">
        <v>309</v>
      </c>
      <c r="E835" s="4">
        <v>45612</v>
      </c>
      <c r="F835" s="4">
        <v>45615</v>
      </c>
      <c r="G835" s="2">
        <f t="shared" si="13"/>
        <v>3</v>
      </c>
      <c r="H835" s="2">
        <v>57</v>
      </c>
      <c r="I835" t="s">
        <v>39</v>
      </c>
      <c r="J835" t="s">
        <v>9</v>
      </c>
      <c r="K835" s="2">
        <v>35.82</v>
      </c>
      <c r="L835" s="3">
        <v>47.38</v>
      </c>
      <c r="M835" s="3">
        <f>orders_1[[#This Row],[products.Base_Price]]*orders_1[[#This Row],[Quantity]]</f>
        <v>2700.6600000000003</v>
      </c>
      <c r="N835" t="s">
        <v>24</v>
      </c>
      <c r="O835" t="s">
        <v>25</v>
      </c>
      <c r="P835" t="s">
        <v>16</v>
      </c>
    </row>
    <row r="836" spans="1:16" x14ac:dyDescent="0.3">
      <c r="A836" s="2">
        <v>10835</v>
      </c>
      <c r="B836" s="2">
        <v>757</v>
      </c>
      <c r="C836" s="2">
        <v>2035</v>
      </c>
      <c r="D836" s="2">
        <v>316</v>
      </c>
      <c r="E836" s="4">
        <v>45350</v>
      </c>
      <c r="F836" s="4">
        <v>45353</v>
      </c>
      <c r="G836" s="2">
        <f t="shared" si="13"/>
        <v>3</v>
      </c>
      <c r="H836" s="2">
        <v>52</v>
      </c>
      <c r="I836" t="s">
        <v>42</v>
      </c>
      <c r="J836" t="s">
        <v>27</v>
      </c>
      <c r="K836" s="2">
        <v>18.55</v>
      </c>
      <c r="L836" s="3">
        <v>636.37</v>
      </c>
      <c r="M836" s="3">
        <f>orders_1[[#This Row],[products.Base_Price]]*orders_1[[#This Row],[Quantity]]</f>
        <v>33091.24</v>
      </c>
      <c r="N836" t="s">
        <v>24</v>
      </c>
      <c r="O836" t="s">
        <v>25</v>
      </c>
      <c r="P836" t="s">
        <v>19</v>
      </c>
    </row>
    <row r="837" spans="1:16" x14ac:dyDescent="0.3">
      <c r="A837" s="2">
        <v>10836</v>
      </c>
      <c r="B837" s="2">
        <v>631</v>
      </c>
      <c r="C837" s="2">
        <v>2052</v>
      </c>
      <c r="D837" s="2">
        <v>306</v>
      </c>
      <c r="E837" s="4">
        <v>45599</v>
      </c>
      <c r="F837" s="4">
        <v>45601</v>
      </c>
      <c r="G837" s="2">
        <f t="shared" si="13"/>
        <v>2</v>
      </c>
      <c r="H837" s="2">
        <v>78</v>
      </c>
      <c r="I837" t="s">
        <v>42</v>
      </c>
      <c r="J837" t="s">
        <v>27</v>
      </c>
      <c r="K837" s="2">
        <v>47.35</v>
      </c>
      <c r="L837" s="3">
        <v>665.2</v>
      </c>
      <c r="M837" s="3">
        <f>orders_1[[#This Row],[products.Base_Price]]*orders_1[[#This Row],[Quantity]]</f>
        <v>51885.600000000006</v>
      </c>
      <c r="N837" t="s">
        <v>8</v>
      </c>
      <c r="O837" t="s">
        <v>10</v>
      </c>
      <c r="P837" t="s">
        <v>16</v>
      </c>
    </row>
    <row r="838" spans="1:16" x14ac:dyDescent="0.3">
      <c r="A838" s="2">
        <v>10837</v>
      </c>
      <c r="B838" s="2">
        <v>865</v>
      </c>
      <c r="C838" s="2">
        <v>2035</v>
      </c>
      <c r="D838" s="2">
        <v>309</v>
      </c>
      <c r="E838" s="4">
        <v>45413</v>
      </c>
      <c r="F838" s="4">
        <v>45415</v>
      </c>
      <c r="G838" s="2">
        <f t="shared" si="13"/>
        <v>2</v>
      </c>
      <c r="H838" s="2">
        <v>25</v>
      </c>
      <c r="I838" t="s">
        <v>36</v>
      </c>
      <c r="J838" t="s">
        <v>27</v>
      </c>
      <c r="K838" s="2">
        <v>18.55</v>
      </c>
      <c r="L838" s="3">
        <v>636.37</v>
      </c>
      <c r="M838" s="3">
        <f>orders_1[[#This Row],[products.Base_Price]]*orders_1[[#This Row],[Quantity]]</f>
        <v>15909.25</v>
      </c>
      <c r="N838" t="s">
        <v>24</v>
      </c>
      <c r="O838" t="s">
        <v>25</v>
      </c>
      <c r="P838" t="s">
        <v>16</v>
      </c>
    </row>
    <row r="839" spans="1:16" x14ac:dyDescent="0.3">
      <c r="A839" s="2">
        <v>10838</v>
      </c>
      <c r="B839" s="2">
        <v>757</v>
      </c>
      <c r="C839" s="2">
        <v>2093</v>
      </c>
      <c r="D839" s="2">
        <v>310</v>
      </c>
      <c r="E839" s="4">
        <v>45623</v>
      </c>
      <c r="F839" s="4">
        <v>45624</v>
      </c>
      <c r="G839" s="2">
        <f t="shared" si="13"/>
        <v>1</v>
      </c>
      <c r="H839" s="2">
        <v>65</v>
      </c>
      <c r="I839" t="s">
        <v>39</v>
      </c>
      <c r="J839" t="s">
        <v>9</v>
      </c>
      <c r="K839" s="2">
        <v>25.73</v>
      </c>
      <c r="L839" s="3">
        <v>537.69000000000005</v>
      </c>
      <c r="M839" s="3">
        <f>orders_1[[#This Row],[products.Base_Price]]*orders_1[[#This Row],[Quantity]]</f>
        <v>34949.850000000006</v>
      </c>
      <c r="N839" t="s">
        <v>26</v>
      </c>
      <c r="O839" t="s">
        <v>25</v>
      </c>
      <c r="P839" t="s">
        <v>11</v>
      </c>
    </row>
    <row r="840" spans="1:16" x14ac:dyDescent="0.3">
      <c r="A840" s="2">
        <v>10839</v>
      </c>
      <c r="B840" s="2">
        <v>794</v>
      </c>
      <c r="C840" s="2">
        <v>2078</v>
      </c>
      <c r="D840" s="2">
        <v>302</v>
      </c>
      <c r="E840" s="4">
        <v>45621</v>
      </c>
      <c r="F840" s="4">
        <v>45625</v>
      </c>
      <c r="G840" s="2">
        <f t="shared" si="13"/>
        <v>4</v>
      </c>
      <c r="H840" s="2">
        <v>81</v>
      </c>
      <c r="I840" t="s">
        <v>42</v>
      </c>
      <c r="J840" t="s">
        <v>21</v>
      </c>
      <c r="K840" s="2">
        <v>14.85</v>
      </c>
      <c r="L840" s="3">
        <v>517.03</v>
      </c>
      <c r="M840" s="3">
        <f>orders_1[[#This Row],[products.Base_Price]]*orders_1[[#This Row],[Quantity]]</f>
        <v>41879.43</v>
      </c>
      <c r="N840" t="s">
        <v>12</v>
      </c>
      <c r="O840" t="s">
        <v>14</v>
      </c>
      <c r="P840" t="s">
        <v>11</v>
      </c>
    </row>
    <row r="841" spans="1:16" x14ac:dyDescent="0.3">
      <c r="A841" s="2">
        <v>10840</v>
      </c>
      <c r="B841" s="2">
        <v>533</v>
      </c>
      <c r="C841" s="2">
        <v>2089</v>
      </c>
      <c r="D841" s="2">
        <v>315</v>
      </c>
      <c r="E841" s="4">
        <v>45399</v>
      </c>
      <c r="F841" s="4">
        <v>45406</v>
      </c>
      <c r="G841" s="2">
        <f t="shared" si="13"/>
        <v>7</v>
      </c>
      <c r="H841" s="2">
        <v>2</v>
      </c>
      <c r="I841" t="s">
        <v>36</v>
      </c>
      <c r="J841" t="s">
        <v>22</v>
      </c>
      <c r="K841" s="2">
        <v>19.170000000000002</v>
      </c>
      <c r="L841" s="3">
        <v>513.33000000000004</v>
      </c>
      <c r="M841" s="3">
        <f>orders_1[[#This Row],[products.Base_Price]]*orders_1[[#This Row],[Quantity]]</f>
        <v>1026.6600000000001</v>
      </c>
      <c r="N841" t="s">
        <v>15</v>
      </c>
      <c r="O841" t="s">
        <v>25</v>
      </c>
      <c r="P841" t="s">
        <v>19</v>
      </c>
    </row>
    <row r="842" spans="1:16" x14ac:dyDescent="0.3">
      <c r="A842" s="2">
        <v>10841</v>
      </c>
      <c r="B842" s="2">
        <v>533</v>
      </c>
      <c r="C842" s="2">
        <v>2082</v>
      </c>
      <c r="D842" s="2">
        <v>306</v>
      </c>
      <c r="E842" s="4">
        <v>45583</v>
      </c>
      <c r="F842" s="4">
        <v>45590</v>
      </c>
      <c r="G842" s="2">
        <f t="shared" si="13"/>
        <v>7</v>
      </c>
      <c r="H842" s="2">
        <v>44</v>
      </c>
      <c r="I842" t="s">
        <v>36</v>
      </c>
      <c r="J842" t="s">
        <v>22</v>
      </c>
      <c r="K842" s="2">
        <v>41.79</v>
      </c>
      <c r="L842" s="3">
        <v>352.17</v>
      </c>
      <c r="M842" s="3">
        <f>orders_1[[#This Row],[products.Base_Price]]*orders_1[[#This Row],[Quantity]]</f>
        <v>15495.480000000001</v>
      </c>
      <c r="N842" t="s">
        <v>8</v>
      </c>
      <c r="O842" t="s">
        <v>10</v>
      </c>
      <c r="P842" t="s">
        <v>16</v>
      </c>
    </row>
    <row r="843" spans="1:16" x14ac:dyDescent="0.3">
      <c r="A843" s="2">
        <v>10842</v>
      </c>
      <c r="B843" s="2">
        <v>692</v>
      </c>
      <c r="C843" s="2">
        <v>2068</v>
      </c>
      <c r="D843" s="2">
        <v>306</v>
      </c>
      <c r="E843" s="4">
        <v>45542</v>
      </c>
      <c r="F843" s="4">
        <v>45544</v>
      </c>
      <c r="G843" s="2">
        <f t="shared" si="13"/>
        <v>2</v>
      </c>
      <c r="H843" s="2">
        <v>31</v>
      </c>
      <c r="I843" t="s">
        <v>78</v>
      </c>
      <c r="J843" t="s">
        <v>27</v>
      </c>
      <c r="K843" s="2">
        <v>47.08</v>
      </c>
      <c r="L843" s="3">
        <v>501.03</v>
      </c>
      <c r="M843" s="3">
        <f>orders_1[[#This Row],[products.Base_Price]]*orders_1[[#This Row],[Quantity]]</f>
        <v>15531.929999999998</v>
      </c>
      <c r="N843" t="s">
        <v>8</v>
      </c>
      <c r="O843" t="s">
        <v>10</v>
      </c>
      <c r="P843" t="s">
        <v>16</v>
      </c>
    </row>
    <row r="844" spans="1:16" x14ac:dyDescent="0.3">
      <c r="A844" s="2">
        <v>10843</v>
      </c>
      <c r="B844" s="2">
        <v>702</v>
      </c>
      <c r="C844" s="2">
        <v>2014</v>
      </c>
      <c r="D844" s="2">
        <v>308</v>
      </c>
      <c r="E844" s="4">
        <v>45470</v>
      </c>
      <c r="F844" s="4">
        <v>45477</v>
      </c>
      <c r="G844" s="2">
        <f t="shared" si="13"/>
        <v>7</v>
      </c>
      <c r="H844" s="2">
        <v>17</v>
      </c>
      <c r="I844" t="s">
        <v>36</v>
      </c>
      <c r="J844" t="s">
        <v>27</v>
      </c>
      <c r="K844" s="2">
        <v>12.2</v>
      </c>
      <c r="L844" s="3">
        <v>652.53</v>
      </c>
      <c r="M844" s="3">
        <f>orders_1[[#This Row],[products.Base_Price]]*orders_1[[#This Row],[Quantity]]</f>
        <v>11093.01</v>
      </c>
      <c r="N844" t="s">
        <v>23</v>
      </c>
      <c r="O844" t="s">
        <v>14</v>
      </c>
      <c r="P844" t="s">
        <v>19</v>
      </c>
    </row>
    <row r="845" spans="1:16" x14ac:dyDescent="0.3">
      <c r="A845" s="2">
        <v>10844</v>
      </c>
      <c r="B845" s="2">
        <v>749</v>
      </c>
      <c r="C845" s="2">
        <v>2064</v>
      </c>
      <c r="D845" s="2">
        <v>302</v>
      </c>
      <c r="E845" s="4">
        <v>45475</v>
      </c>
      <c r="F845" s="4">
        <v>45483</v>
      </c>
      <c r="G845" s="2">
        <f t="shared" si="13"/>
        <v>8</v>
      </c>
      <c r="H845" s="2">
        <v>87</v>
      </c>
      <c r="I845" t="s">
        <v>39</v>
      </c>
      <c r="J845" t="s">
        <v>21</v>
      </c>
      <c r="K845" s="2">
        <v>15.41</v>
      </c>
      <c r="L845" s="3">
        <v>203.79</v>
      </c>
      <c r="M845" s="3">
        <f>orders_1[[#This Row],[products.Base_Price]]*orders_1[[#This Row],[Quantity]]</f>
        <v>17729.73</v>
      </c>
      <c r="N845" t="s">
        <v>12</v>
      </c>
      <c r="O845" t="s">
        <v>14</v>
      </c>
      <c r="P845" t="s">
        <v>11</v>
      </c>
    </row>
    <row r="846" spans="1:16" x14ac:dyDescent="0.3">
      <c r="A846" s="2">
        <v>10845</v>
      </c>
      <c r="B846" s="2">
        <v>892</v>
      </c>
      <c r="C846" s="2">
        <v>2064</v>
      </c>
      <c r="D846" s="2">
        <v>314</v>
      </c>
      <c r="E846" s="4">
        <v>45333</v>
      </c>
      <c r="F846" s="4">
        <v>45340</v>
      </c>
      <c r="G846" s="2">
        <f t="shared" si="13"/>
        <v>7</v>
      </c>
      <c r="H846" s="2">
        <v>34</v>
      </c>
      <c r="I846" t="s">
        <v>39</v>
      </c>
      <c r="J846" t="s">
        <v>21</v>
      </c>
      <c r="K846" s="2">
        <v>15.41</v>
      </c>
      <c r="L846" s="3">
        <v>203.79</v>
      </c>
      <c r="M846" s="3">
        <f>orders_1[[#This Row],[products.Base_Price]]*orders_1[[#This Row],[Quantity]]</f>
        <v>6928.86</v>
      </c>
      <c r="N846" t="s">
        <v>17</v>
      </c>
      <c r="O846" t="s">
        <v>14</v>
      </c>
      <c r="P846" t="s">
        <v>19</v>
      </c>
    </row>
    <row r="847" spans="1:16" x14ac:dyDescent="0.3">
      <c r="A847" s="2">
        <v>10846</v>
      </c>
      <c r="B847" s="2">
        <v>510</v>
      </c>
      <c r="C847" s="2">
        <v>2011</v>
      </c>
      <c r="D847" s="2">
        <v>319</v>
      </c>
      <c r="E847" s="4">
        <v>45479</v>
      </c>
      <c r="F847" s="4">
        <v>45485</v>
      </c>
      <c r="G847" s="2">
        <f t="shared" si="13"/>
        <v>6</v>
      </c>
      <c r="H847" s="2">
        <v>58</v>
      </c>
      <c r="I847" t="s">
        <v>39</v>
      </c>
      <c r="J847" t="s">
        <v>21</v>
      </c>
      <c r="K847" s="2">
        <v>12.75</v>
      </c>
      <c r="L847" s="3">
        <v>987.99</v>
      </c>
      <c r="M847" s="3">
        <f>orders_1[[#This Row],[products.Base_Price]]*orders_1[[#This Row],[Quantity]]</f>
        <v>57303.42</v>
      </c>
      <c r="N847" t="s">
        <v>20</v>
      </c>
      <c r="O847" t="s">
        <v>18</v>
      </c>
      <c r="P847" t="s">
        <v>11</v>
      </c>
    </row>
    <row r="848" spans="1:16" x14ac:dyDescent="0.3">
      <c r="A848" s="2">
        <v>10847</v>
      </c>
      <c r="B848" s="2">
        <v>814</v>
      </c>
      <c r="C848" s="2">
        <v>2010</v>
      </c>
      <c r="D848" s="2">
        <v>317</v>
      </c>
      <c r="E848" s="4">
        <v>45311</v>
      </c>
      <c r="F848" s="4">
        <v>45315</v>
      </c>
      <c r="G848" s="2">
        <f t="shared" si="13"/>
        <v>4</v>
      </c>
      <c r="H848" s="2">
        <v>11</v>
      </c>
      <c r="I848" t="s">
        <v>42</v>
      </c>
      <c r="J848" t="s">
        <v>13</v>
      </c>
      <c r="K848" s="2">
        <v>9.58</v>
      </c>
      <c r="L848" s="3">
        <v>440.93</v>
      </c>
      <c r="M848" s="3">
        <f>orders_1[[#This Row],[products.Base_Price]]*orders_1[[#This Row],[Quantity]]</f>
        <v>4850.2300000000005</v>
      </c>
      <c r="N848" t="s">
        <v>20</v>
      </c>
      <c r="O848" t="s">
        <v>25</v>
      </c>
      <c r="P848" t="s">
        <v>19</v>
      </c>
    </row>
    <row r="849" spans="1:16" x14ac:dyDescent="0.3">
      <c r="A849" s="2">
        <v>10848</v>
      </c>
      <c r="B849" s="2">
        <v>584</v>
      </c>
      <c r="C849" s="2">
        <v>2027</v>
      </c>
      <c r="D849" s="2">
        <v>307</v>
      </c>
      <c r="E849" s="4">
        <v>45524</v>
      </c>
      <c r="F849" s="4">
        <v>45533</v>
      </c>
      <c r="G849" s="2">
        <f t="shared" si="13"/>
        <v>9</v>
      </c>
      <c r="H849" s="2">
        <v>83</v>
      </c>
      <c r="I849" t="s">
        <v>39</v>
      </c>
      <c r="J849" t="s">
        <v>13</v>
      </c>
      <c r="K849" s="2">
        <v>45.95</v>
      </c>
      <c r="L849" s="3">
        <v>454.58</v>
      </c>
      <c r="M849" s="3">
        <f>orders_1[[#This Row],[products.Base_Price]]*orders_1[[#This Row],[Quantity]]</f>
        <v>37730.14</v>
      </c>
      <c r="N849" t="s">
        <v>17</v>
      </c>
      <c r="O849" t="s">
        <v>10</v>
      </c>
      <c r="P849" t="s">
        <v>11</v>
      </c>
    </row>
    <row r="850" spans="1:16" x14ac:dyDescent="0.3">
      <c r="A850" s="2">
        <v>10849</v>
      </c>
      <c r="B850" s="2">
        <v>595</v>
      </c>
      <c r="C850" s="2">
        <v>2040</v>
      </c>
      <c r="D850" s="2">
        <v>316</v>
      </c>
      <c r="E850" s="4">
        <v>45655</v>
      </c>
      <c r="F850" s="4">
        <v>45657</v>
      </c>
      <c r="G850" s="2">
        <f t="shared" si="13"/>
        <v>2</v>
      </c>
      <c r="H850" s="2">
        <v>46</v>
      </c>
      <c r="I850" t="s">
        <v>78</v>
      </c>
      <c r="J850" t="s">
        <v>27</v>
      </c>
      <c r="K850" s="2">
        <v>3.71</v>
      </c>
      <c r="L850" s="3">
        <v>27.53</v>
      </c>
      <c r="M850" s="3">
        <f>orders_1[[#This Row],[products.Base_Price]]*orders_1[[#This Row],[Quantity]]</f>
        <v>1266.3800000000001</v>
      </c>
      <c r="N850" t="s">
        <v>24</v>
      </c>
      <c r="O850" t="s">
        <v>25</v>
      </c>
      <c r="P850" t="s">
        <v>19</v>
      </c>
    </row>
    <row r="851" spans="1:16" x14ac:dyDescent="0.3">
      <c r="A851" s="2">
        <v>10850</v>
      </c>
      <c r="B851" s="2">
        <v>535</v>
      </c>
      <c r="C851" s="2">
        <v>2064</v>
      </c>
      <c r="D851" s="2">
        <v>311</v>
      </c>
      <c r="E851" s="4">
        <v>45478</v>
      </c>
      <c r="F851" s="4">
        <v>45482</v>
      </c>
      <c r="G851" s="2">
        <f t="shared" si="13"/>
        <v>4</v>
      </c>
      <c r="H851" s="2">
        <v>96</v>
      </c>
      <c r="I851" t="s">
        <v>39</v>
      </c>
      <c r="J851" t="s">
        <v>21</v>
      </c>
      <c r="K851" s="2">
        <v>15.41</v>
      </c>
      <c r="L851" s="3">
        <v>203.79</v>
      </c>
      <c r="M851" s="3">
        <f>orders_1[[#This Row],[products.Base_Price]]*orders_1[[#This Row],[Quantity]]</f>
        <v>19563.84</v>
      </c>
      <c r="N851" t="s">
        <v>26</v>
      </c>
      <c r="O851" t="s">
        <v>10</v>
      </c>
      <c r="P851" t="s">
        <v>11</v>
      </c>
    </row>
    <row r="852" spans="1:16" x14ac:dyDescent="0.3">
      <c r="A852" s="2">
        <v>10851</v>
      </c>
      <c r="B852" s="2">
        <v>740</v>
      </c>
      <c r="C852" s="2">
        <v>2008</v>
      </c>
      <c r="D852" s="2">
        <v>315</v>
      </c>
      <c r="E852" s="4">
        <v>45602</v>
      </c>
      <c r="F852" s="4">
        <v>45604</v>
      </c>
      <c r="G852" s="2">
        <f t="shared" si="13"/>
        <v>2</v>
      </c>
      <c r="H852" s="2">
        <v>75</v>
      </c>
      <c r="I852" t="s">
        <v>36</v>
      </c>
      <c r="J852" t="s">
        <v>21</v>
      </c>
      <c r="K852" s="2">
        <v>8.5</v>
      </c>
      <c r="L852" s="3">
        <v>899.21</v>
      </c>
      <c r="M852" s="3">
        <f>orders_1[[#This Row],[products.Base_Price]]*orders_1[[#This Row],[Quantity]]</f>
        <v>67440.75</v>
      </c>
      <c r="N852" t="s">
        <v>15</v>
      </c>
      <c r="O852" t="s">
        <v>25</v>
      </c>
      <c r="P852" t="s">
        <v>19</v>
      </c>
    </row>
    <row r="853" spans="1:16" x14ac:dyDescent="0.3">
      <c r="A853" s="2">
        <v>10852</v>
      </c>
      <c r="B853" s="2">
        <v>653</v>
      </c>
      <c r="C853" s="2">
        <v>2074</v>
      </c>
      <c r="D853" s="2">
        <v>303</v>
      </c>
      <c r="E853" s="4">
        <v>45506</v>
      </c>
      <c r="F853" s="4">
        <v>45509</v>
      </c>
      <c r="G853" s="2">
        <f t="shared" si="13"/>
        <v>3</v>
      </c>
      <c r="H853" s="2">
        <v>54</v>
      </c>
      <c r="I853" t="s">
        <v>36</v>
      </c>
      <c r="J853" t="s">
        <v>13</v>
      </c>
      <c r="K853" s="2">
        <v>41.45</v>
      </c>
      <c r="L853" s="3">
        <v>650.42999999999995</v>
      </c>
      <c r="M853" s="3">
        <f>orders_1[[#This Row],[products.Base_Price]]*orders_1[[#This Row],[Quantity]]</f>
        <v>35123.219999999994</v>
      </c>
      <c r="N853" t="s">
        <v>15</v>
      </c>
      <c r="O853" t="s">
        <v>10</v>
      </c>
      <c r="P853" t="s">
        <v>16</v>
      </c>
    </row>
    <row r="854" spans="1:16" x14ac:dyDescent="0.3">
      <c r="A854" s="2">
        <v>10853</v>
      </c>
      <c r="B854" s="2">
        <v>695</v>
      </c>
      <c r="C854" s="2">
        <v>2014</v>
      </c>
      <c r="D854" s="2">
        <v>313</v>
      </c>
      <c r="E854" s="4">
        <v>45449</v>
      </c>
      <c r="F854" s="4">
        <v>45453</v>
      </c>
      <c r="G854" s="2">
        <f t="shared" si="13"/>
        <v>4</v>
      </c>
      <c r="H854" s="2">
        <v>28</v>
      </c>
      <c r="I854" t="s">
        <v>36</v>
      </c>
      <c r="J854" t="s">
        <v>27</v>
      </c>
      <c r="K854" s="2">
        <v>12.2</v>
      </c>
      <c r="L854" s="3">
        <v>652.53</v>
      </c>
      <c r="M854" s="3">
        <f>orders_1[[#This Row],[products.Base_Price]]*orders_1[[#This Row],[Quantity]]</f>
        <v>18270.84</v>
      </c>
      <c r="N854" t="s">
        <v>15</v>
      </c>
      <c r="O854" t="s">
        <v>25</v>
      </c>
      <c r="P854" t="s">
        <v>16</v>
      </c>
    </row>
    <row r="855" spans="1:16" x14ac:dyDescent="0.3">
      <c r="A855" s="2">
        <v>10854</v>
      </c>
      <c r="B855" s="2">
        <v>886</v>
      </c>
      <c r="C855" s="2">
        <v>2083</v>
      </c>
      <c r="D855" s="2">
        <v>301</v>
      </c>
      <c r="E855" s="4">
        <v>45611</v>
      </c>
      <c r="F855" s="4">
        <v>45620</v>
      </c>
      <c r="G855" s="2">
        <f t="shared" si="13"/>
        <v>9</v>
      </c>
      <c r="H855" s="2">
        <v>65</v>
      </c>
      <c r="I855" t="s">
        <v>78</v>
      </c>
      <c r="J855" t="s">
        <v>22</v>
      </c>
      <c r="K855" s="2">
        <v>13.79</v>
      </c>
      <c r="L855" s="3">
        <v>843.82</v>
      </c>
      <c r="M855" s="3">
        <f>orders_1[[#This Row],[products.Base_Price]]*orders_1[[#This Row],[Quantity]]</f>
        <v>54848.3</v>
      </c>
      <c r="N855" t="s">
        <v>8</v>
      </c>
      <c r="O855" t="s">
        <v>10</v>
      </c>
      <c r="P855" t="s">
        <v>11</v>
      </c>
    </row>
    <row r="856" spans="1:16" x14ac:dyDescent="0.3">
      <c r="A856" s="2">
        <v>10855</v>
      </c>
      <c r="B856" s="2">
        <v>509</v>
      </c>
      <c r="C856" s="2">
        <v>2097</v>
      </c>
      <c r="D856" s="2">
        <v>315</v>
      </c>
      <c r="E856" s="4">
        <v>45344</v>
      </c>
      <c r="F856" s="4">
        <v>45353</v>
      </c>
      <c r="G856" s="2">
        <f t="shared" si="13"/>
        <v>9</v>
      </c>
      <c r="H856" s="2">
        <v>38</v>
      </c>
      <c r="I856" t="s">
        <v>39</v>
      </c>
      <c r="J856" t="s">
        <v>27</v>
      </c>
      <c r="K856" s="2">
        <v>30.63</v>
      </c>
      <c r="L856" s="3">
        <v>828.74</v>
      </c>
      <c r="M856" s="3">
        <f>orders_1[[#This Row],[products.Base_Price]]*orders_1[[#This Row],[Quantity]]</f>
        <v>31492.12</v>
      </c>
      <c r="N856" t="s">
        <v>15</v>
      </c>
      <c r="O856" t="s">
        <v>25</v>
      </c>
      <c r="P856" t="s">
        <v>19</v>
      </c>
    </row>
    <row r="857" spans="1:16" x14ac:dyDescent="0.3">
      <c r="A857" s="2">
        <v>10856</v>
      </c>
      <c r="B857" s="2">
        <v>629</v>
      </c>
      <c r="C857" s="2">
        <v>2017</v>
      </c>
      <c r="D857" s="2">
        <v>310</v>
      </c>
      <c r="E857" s="4">
        <v>45614</v>
      </c>
      <c r="F857" s="4">
        <v>45624</v>
      </c>
      <c r="G857" s="2">
        <f t="shared" si="13"/>
        <v>10</v>
      </c>
      <c r="H857" s="2">
        <v>97</v>
      </c>
      <c r="I857" t="s">
        <v>42</v>
      </c>
      <c r="J857" t="s">
        <v>22</v>
      </c>
      <c r="K857" s="2">
        <v>38.24</v>
      </c>
      <c r="L857" s="3">
        <v>788.08</v>
      </c>
      <c r="M857" s="3">
        <f>orders_1[[#This Row],[products.Base_Price]]*orders_1[[#This Row],[Quantity]]</f>
        <v>76443.760000000009</v>
      </c>
      <c r="N857" t="s">
        <v>26</v>
      </c>
      <c r="O857" t="s">
        <v>25</v>
      </c>
      <c r="P857" t="s">
        <v>11</v>
      </c>
    </row>
    <row r="858" spans="1:16" x14ac:dyDescent="0.3">
      <c r="A858" s="2">
        <v>10857</v>
      </c>
      <c r="B858" s="2">
        <v>748</v>
      </c>
      <c r="C858" s="2">
        <v>2017</v>
      </c>
      <c r="D858" s="2">
        <v>301</v>
      </c>
      <c r="E858" s="4">
        <v>45408</v>
      </c>
      <c r="F858" s="4">
        <v>45417</v>
      </c>
      <c r="G858" s="2">
        <f t="shared" si="13"/>
        <v>9</v>
      </c>
      <c r="H858" s="2">
        <v>3</v>
      </c>
      <c r="I858" t="s">
        <v>78</v>
      </c>
      <c r="J858" t="s">
        <v>22</v>
      </c>
      <c r="K858" s="2">
        <v>38.24</v>
      </c>
      <c r="L858" s="3">
        <v>788.08</v>
      </c>
      <c r="M858" s="3">
        <f>orders_1[[#This Row],[products.Base_Price]]*orders_1[[#This Row],[Quantity]]</f>
        <v>2364.2400000000002</v>
      </c>
      <c r="N858" t="s">
        <v>8</v>
      </c>
      <c r="O858" t="s">
        <v>10</v>
      </c>
      <c r="P858" t="s">
        <v>11</v>
      </c>
    </row>
    <row r="859" spans="1:16" x14ac:dyDescent="0.3">
      <c r="A859" s="2">
        <v>10858</v>
      </c>
      <c r="B859" s="2">
        <v>579</v>
      </c>
      <c r="C859" s="2">
        <v>2053</v>
      </c>
      <c r="D859" s="2">
        <v>313</v>
      </c>
      <c r="E859" s="4">
        <v>45642</v>
      </c>
      <c r="F859" s="4">
        <v>45646</v>
      </c>
      <c r="G859" s="2">
        <f t="shared" si="13"/>
        <v>4</v>
      </c>
      <c r="H859" s="2">
        <v>46</v>
      </c>
      <c r="I859" t="s">
        <v>78</v>
      </c>
      <c r="J859" t="s">
        <v>22</v>
      </c>
      <c r="K859" s="2">
        <v>34.54</v>
      </c>
      <c r="L859" s="3">
        <v>162.21</v>
      </c>
      <c r="M859" s="3">
        <f>orders_1[[#This Row],[products.Base_Price]]*orders_1[[#This Row],[Quantity]]</f>
        <v>7461.6600000000008</v>
      </c>
      <c r="N859" t="s">
        <v>15</v>
      </c>
      <c r="O859" t="s">
        <v>25</v>
      </c>
      <c r="P859" t="s">
        <v>16</v>
      </c>
    </row>
    <row r="860" spans="1:16" x14ac:dyDescent="0.3">
      <c r="A860" s="2">
        <v>10859</v>
      </c>
      <c r="B860" s="2">
        <v>651</v>
      </c>
      <c r="C860" s="2">
        <v>2071</v>
      </c>
      <c r="D860" s="2">
        <v>302</v>
      </c>
      <c r="E860" s="4">
        <v>45343</v>
      </c>
      <c r="F860" s="4">
        <v>45346</v>
      </c>
      <c r="G860" s="2">
        <f t="shared" si="13"/>
        <v>3</v>
      </c>
      <c r="H860" s="2">
        <v>44</v>
      </c>
      <c r="I860" t="s">
        <v>78</v>
      </c>
      <c r="J860" t="s">
        <v>27</v>
      </c>
      <c r="K860" s="2">
        <v>47.19</v>
      </c>
      <c r="L860" s="3">
        <v>711.14</v>
      </c>
      <c r="M860" s="3">
        <f>orders_1[[#This Row],[products.Base_Price]]*orders_1[[#This Row],[Quantity]]</f>
        <v>31290.16</v>
      </c>
      <c r="N860" t="s">
        <v>12</v>
      </c>
      <c r="O860" t="s">
        <v>14</v>
      </c>
      <c r="P860" t="s">
        <v>11</v>
      </c>
    </row>
    <row r="861" spans="1:16" x14ac:dyDescent="0.3">
      <c r="A861" s="2">
        <v>10860</v>
      </c>
      <c r="B861" s="2">
        <v>585</v>
      </c>
      <c r="C861" s="2">
        <v>2049</v>
      </c>
      <c r="D861" s="2">
        <v>315</v>
      </c>
      <c r="E861" s="4">
        <v>45591</v>
      </c>
      <c r="F861" s="4">
        <v>45601</v>
      </c>
      <c r="G861" s="2">
        <f t="shared" si="13"/>
        <v>10</v>
      </c>
      <c r="H861" s="2">
        <v>23</v>
      </c>
      <c r="I861" t="s">
        <v>42</v>
      </c>
      <c r="J861" t="s">
        <v>27</v>
      </c>
      <c r="K861" s="2">
        <v>17.52</v>
      </c>
      <c r="L861" s="3">
        <v>832.77</v>
      </c>
      <c r="M861" s="3">
        <f>orders_1[[#This Row],[products.Base_Price]]*orders_1[[#This Row],[Quantity]]</f>
        <v>19153.71</v>
      </c>
      <c r="N861" t="s">
        <v>15</v>
      </c>
      <c r="O861" t="s">
        <v>25</v>
      </c>
      <c r="P861" t="s">
        <v>19</v>
      </c>
    </row>
    <row r="862" spans="1:16" x14ac:dyDescent="0.3">
      <c r="A862" s="2">
        <v>10861</v>
      </c>
      <c r="B862" s="2">
        <v>540</v>
      </c>
      <c r="C862" s="2">
        <v>2059</v>
      </c>
      <c r="D862" s="2">
        <v>305</v>
      </c>
      <c r="E862" s="4">
        <v>45346</v>
      </c>
      <c r="F862" s="4">
        <v>45356</v>
      </c>
      <c r="G862" s="2">
        <f t="shared" si="13"/>
        <v>10</v>
      </c>
      <c r="H862" s="2">
        <v>76</v>
      </c>
      <c r="I862" t="s">
        <v>42</v>
      </c>
      <c r="J862" t="s">
        <v>9</v>
      </c>
      <c r="K862" s="2">
        <v>17.760000000000002</v>
      </c>
      <c r="L862" s="3">
        <v>279.55</v>
      </c>
      <c r="M862" s="3">
        <f>orders_1[[#This Row],[products.Base_Price]]*orders_1[[#This Row],[Quantity]]</f>
        <v>21245.8</v>
      </c>
      <c r="N862" t="s">
        <v>20</v>
      </c>
      <c r="O862" t="s">
        <v>10</v>
      </c>
      <c r="P862" t="s">
        <v>19</v>
      </c>
    </row>
    <row r="863" spans="1:16" x14ac:dyDescent="0.3">
      <c r="A863" s="2">
        <v>10862</v>
      </c>
      <c r="B863" s="2">
        <v>823</v>
      </c>
      <c r="C863" s="2">
        <v>2030</v>
      </c>
      <c r="D863" s="2">
        <v>312</v>
      </c>
      <c r="E863" s="4">
        <v>45615</v>
      </c>
      <c r="F863" s="4">
        <v>45619</v>
      </c>
      <c r="G863" s="2">
        <f t="shared" si="13"/>
        <v>4</v>
      </c>
      <c r="H863" s="2">
        <v>4</v>
      </c>
      <c r="I863" t="s">
        <v>78</v>
      </c>
      <c r="J863" t="s">
        <v>13</v>
      </c>
      <c r="K863" s="2">
        <v>27.52</v>
      </c>
      <c r="L863" s="3">
        <v>537.03</v>
      </c>
      <c r="M863" s="3">
        <f>orders_1[[#This Row],[products.Base_Price]]*orders_1[[#This Row],[Quantity]]</f>
        <v>2148.12</v>
      </c>
      <c r="N863" t="s">
        <v>15</v>
      </c>
      <c r="O863" t="s">
        <v>10</v>
      </c>
      <c r="P863" t="s">
        <v>11</v>
      </c>
    </row>
    <row r="864" spans="1:16" x14ac:dyDescent="0.3">
      <c r="A864" s="2">
        <v>10863</v>
      </c>
      <c r="B864" s="2">
        <v>547</v>
      </c>
      <c r="C864" s="2">
        <v>2087</v>
      </c>
      <c r="D864" s="2">
        <v>319</v>
      </c>
      <c r="E864" s="4">
        <v>45577</v>
      </c>
      <c r="F864" s="4">
        <v>45585</v>
      </c>
      <c r="G864" s="2">
        <f t="shared" si="13"/>
        <v>8</v>
      </c>
      <c r="H864" s="2">
        <v>48</v>
      </c>
      <c r="I864" t="s">
        <v>39</v>
      </c>
      <c r="J864" t="s">
        <v>9</v>
      </c>
      <c r="K864" s="2">
        <v>35.82</v>
      </c>
      <c r="L864" s="3">
        <v>47.38</v>
      </c>
      <c r="M864" s="3">
        <f>orders_1[[#This Row],[products.Base_Price]]*orders_1[[#This Row],[Quantity]]</f>
        <v>2274.2400000000002</v>
      </c>
      <c r="N864" t="s">
        <v>20</v>
      </c>
      <c r="O864" t="s">
        <v>18</v>
      </c>
      <c r="P864" t="s">
        <v>11</v>
      </c>
    </row>
    <row r="865" spans="1:16" x14ac:dyDescent="0.3">
      <c r="A865" s="2">
        <v>10864</v>
      </c>
      <c r="B865" s="2">
        <v>658</v>
      </c>
      <c r="C865" s="2">
        <v>2085</v>
      </c>
      <c r="D865" s="2">
        <v>313</v>
      </c>
      <c r="E865" s="4">
        <v>45367</v>
      </c>
      <c r="F865" s="4">
        <v>45374</v>
      </c>
      <c r="G865" s="2">
        <f t="shared" si="13"/>
        <v>7</v>
      </c>
      <c r="H865" s="2">
        <v>78</v>
      </c>
      <c r="I865" t="s">
        <v>36</v>
      </c>
      <c r="J865" t="s">
        <v>22</v>
      </c>
      <c r="K865" s="2">
        <v>47.56</v>
      </c>
      <c r="L865" s="3">
        <v>131.63</v>
      </c>
      <c r="M865" s="3">
        <f>orders_1[[#This Row],[products.Base_Price]]*orders_1[[#This Row],[Quantity]]</f>
        <v>10267.14</v>
      </c>
      <c r="N865" t="s">
        <v>15</v>
      </c>
      <c r="O865" t="s">
        <v>25</v>
      </c>
      <c r="P865" t="s">
        <v>16</v>
      </c>
    </row>
    <row r="866" spans="1:16" x14ac:dyDescent="0.3">
      <c r="A866" s="2">
        <v>10865</v>
      </c>
      <c r="B866" s="2">
        <v>705</v>
      </c>
      <c r="C866" s="2">
        <v>2061</v>
      </c>
      <c r="D866" s="2">
        <v>304</v>
      </c>
      <c r="E866" s="4">
        <v>45656</v>
      </c>
      <c r="F866" s="4">
        <v>45661</v>
      </c>
      <c r="G866" s="2">
        <f t="shared" si="13"/>
        <v>5</v>
      </c>
      <c r="H866" s="2">
        <v>11</v>
      </c>
      <c r="I866" t="s">
        <v>39</v>
      </c>
      <c r="J866" t="s">
        <v>13</v>
      </c>
      <c r="K866" s="2">
        <v>46.64</v>
      </c>
      <c r="L866" s="3">
        <v>620.16999999999996</v>
      </c>
      <c r="M866" s="3">
        <f>orders_1[[#This Row],[products.Base_Price]]*orders_1[[#This Row],[Quantity]]</f>
        <v>6821.87</v>
      </c>
      <c r="N866" t="s">
        <v>17</v>
      </c>
      <c r="O866" t="s">
        <v>18</v>
      </c>
      <c r="P866" t="s">
        <v>19</v>
      </c>
    </row>
    <row r="867" spans="1:16" x14ac:dyDescent="0.3">
      <c r="A867" s="2">
        <v>10866</v>
      </c>
      <c r="B867" s="2">
        <v>589</v>
      </c>
      <c r="C867" s="2">
        <v>2042</v>
      </c>
      <c r="D867" s="2">
        <v>318</v>
      </c>
      <c r="E867" s="4">
        <v>45551</v>
      </c>
      <c r="F867" s="4">
        <v>45553</v>
      </c>
      <c r="G867" s="2">
        <f t="shared" si="13"/>
        <v>2</v>
      </c>
      <c r="H867" s="2">
        <v>34</v>
      </c>
      <c r="I867" t="s">
        <v>42</v>
      </c>
      <c r="J867" t="s">
        <v>27</v>
      </c>
      <c r="K867" s="2">
        <v>46.87</v>
      </c>
      <c r="L867" s="3">
        <v>313.88</v>
      </c>
      <c r="M867" s="3">
        <f>orders_1[[#This Row],[products.Base_Price]]*orders_1[[#This Row],[Quantity]]</f>
        <v>10671.92</v>
      </c>
      <c r="N867" t="s">
        <v>17</v>
      </c>
      <c r="O867" t="s">
        <v>10</v>
      </c>
      <c r="P867" t="s">
        <v>19</v>
      </c>
    </row>
    <row r="868" spans="1:16" x14ac:dyDescent="0.3">
      <c r="A868" s="2">
        <v>10867</v>
      </c>
      <c r="B868" s="2">
        <v>675</v>
      </c>
      <c r="C868" s="2">
        <v>2017</v>
      </c>
      <c r="D868" s="2">
        <v>313</v>
      </c>
      <c r="E868" s="4">
        <v>45426</v>
      </c>
      <c r="F868" s="4">
        <v>45436</v>
      </c>
      <c r="G868" s="2">
        <f t="shared" si="13"/>
        <v>10</v>
      </c>
      <c r="H868" s="2">
        <v>43</v>
      </c>
      <c r="I868" t="s">
        <v>39</v>
      </c>
      <c r="J868" t="s">
        <v>22</v>
      </c>
      <c r="K868" s="2">
        <v>38.24</v>
      </c>
      <c r="L868" s="3">
        <v>788.08</v>
      </c>
      <c r="M868" s="3">
        <f>orders_1[[#This Row],[products.Base_Price]]*orders_1[[#This Row],[Quantity]]</f>
        <v>33887.440000000002</v>
      </c>
      <c r="N868" t="s">
        <v>15</v>
      </c>
      <c r="O868" t="s">
        <v>25</v>
      </c>
      <c r="P868" t="s">
        <v>16</v>
      </c>
    </row>
    <row r="869" spans="1:16" x14ac:dyDescent="0.3">
      <c r="A869" s="2">
        <v>10868</v>
      </c>
      <c r="B869" s="2">
        <v>873</v>
      </c>
      <c r="C869" s="2">
        <v>2043</v>
      </c>
      <c r="D869" s="2">
        <v>309</v>
      </c>
      <c r="E869" s="4">
        <v>45562</v>
      </c>
      <c r="F869" s="4">
        <v>45571</v>
      </c>
      <c r="G869" s="2">
        <f t="shared" si="13"/>
        <v>9</v>
      </c>
      <c r="H869" s="2">
        <v>19</v>
      </c>
      <c r="I869" t="s">
        <v>39</v>
      </c>
      <c r="J869" t="s">
        <v>27</v>
      </c>
      <c r="K869" s="2">
        <v>14.98</v>
      </c>
      <c r="L869" s="3">
        <v>375.85</v>
      </c>
      <c r="M869" s="3">
        <f>orders_1[[#This Row],[products.Base_Price]]*orders_1[[#This Row],[Quantity]]</f>
        <v>7141.1500000000005</v>
      </c>
      <c r="N869" t="s">
        <v>24</v>
      </c>
      <c r="O869" t="s">
        <v>25</v>
      </c>
      <c r="P869" t="s">
        <v>16</v>
      </c>
    </row>
    <row r="870" spans="1:16" x14ac:dyDescent="0.3">
      <c r="A870" s="2">
        <v>10869</v>
      </c>
      <c r="B870" s="2">
        <v>746</v>
      </c>
      <c r="C870" s="2">
        <v>2081</v>
      </c>
      <c r="D870" s="2">
        <v>309</v>
      </c>
      <c r="E870" s="4">
        <v>45307</v>
      </c>
      <c r="F870" s="4">
        <v>45310</v>
      </c>
      <c r="G870" s="2">
        <f t="shared" si="13"/>
        <v>3</v>
      </c>
      <c r="H870" s="2">
        <v>29</v>
      </c>
      <c r="I870" t="s">
        <v>78</v>
      </c>
      <c r="J870" t="s">
        <v>21</v>
      </c>
      <c r="K870" s="2">
        <v>20.72</v>
      </c>
      <c r="L870" s="3">
        <v>668.31</v>
      </c>
      <c r="M870" s="3">
        <f>orders_1[[#This Row],[products.Base_Price]]*orders_1[[#This Row],[Quantity]]</f>
        <v>19380.989999999998</v>
      </c>
      <c r="N870" t="s">
        <v>24</v>
      </c>
      <c r="O870" t="s">
        <v>25</v>
      </c>
      <c r="P870" t="s">
        <v>16</v>
      </c>
    </row>
    <row r="871" spans="1:16" x14ac:dyDescent="0.3">
      <c r="A871" s="2">
        <v>10870</v>
      </c>
      <c r="B871" s="2">
        <v>870</v>
      </c>
      <c r="C871" s="2">
        <v>2089</v>
      </c>
      <c r="D871" s="2">
        <v>317</v>
      </c>
      <c r="E871" s="4">
        <v>45558</v>
      </c>
      <c r="F871" s="4">
        <v>45563</v>
      </c>
      <c r="G871" s="2">
        <f t="shared" si="13"/>
        <v>5</v>
      </c>
      <c r="H871" s="2">
        <v>71</v>
      </c>
      <c r="I871" t="s">
        <v>42</v>
      </c>
      <c r="J871" t="s">
        <v>22</v>
      </c>
      <c r="K871" s="2">
        <v>19.170000000000002</v>
      </c>
      <c r="L871" s="3">
        <v>513.33000000000004</v>
      </c>
      <c r="M871" s="3">
        <f>orders_1[[#This Row],[products.Base_Price]]*orders_1[[#This Row],[Quantity]]</f>
        <v>36446.43</v>
      </c>
      <c r="N871" t="s">
        <v>20</v>
      </c>
      <c r="O871" t="s">
        <v>25</v>
      </c>
      <c r="P871" t="s">
        <v>19</v>
      </c>
    </row>
    <row r="872" spans="1:16" x14ac:dyDescent="0.3">
      <c r="A872" s="2">
        <v>10871</v>
      </c>
      <c r="B872" s="2">
        <v>830</v>
      </c>
      <c r="C872" s="2">
        <v>2027</v>
      </c>
      <c r="D872" s="2">
        <v>306</v>
      </c>
      <c r="E872" s="4">
        <v>45306</v>
      </c>
      <c r="F872" s="4">
        <v>45312</v>
      </c>
      <c r="G872" s="2">
        <f t="shared" si="13"/>
        <v>6</v>
      </c>
      <c r="H872" s="2">
        <v>33</v>
      </c>
      <c r="I872" t="s">
        <v>78</v>
      </c>
      <c r="J872" t="s">
        <v>13</v>
      </c>
      <c r="K872" s="2">
        <v>45.95</v>
      </c>
      <c r="L872" s="3">
        <v>454.58</v>
      </c>
      <c r="M872" s="3">
        <f>orders_1[[#This Row],[products.Base_Price]]*orders_1[[#This Row],[Quantity]]</f>
        <v>15001.14</v>
      </c>
      <c r="N872" t="s">
        <v>8</v>
      </c>
      <c r="O872" t="s">
        <v>10</v>
      </c>
      <c r="P872" t="s">
        <v>16</v>
      </c>
    </row>
    <row r="873" spans="1:16" x14ac:dyDescent="0.3">
      <c r="A873" s="2">
        <v>10872</v>
      </c>
      <c r="B873" s="2">
        <v>509</v>
      </c>
      <c r="C873" s="2">
        <v>2061</v>
      </c>
      <c r="D873" s="2">
        <v>310</v>
      </c>
      <c r="E873" s="4">
        <v>45368</v>
      </c>
      <c r="F873" s="4">
        <v>45369</v>
      </c>
      <c r="G873" s="2">
        <f t="shared" si="13"/>
        <v>1</v>
      </c>
      <c r="H873" s="2">
        <v>25</v>
      </c>
      <c r="I873" t="s">
        <v>36</v>
      </c>
      <c r="J873" t="s">
        <v>13</v>
      </c>
      <c r="K873" s="2">
        <v>46.64</v>
      </c>
      <c r="L873" s="3">
        <v>620.16999999999996</v>
      </c>
      <c r="M873" s="3">
        <f>orders_1[[#This Row],[products.Base_Price]]*orders_1[[#This Row],[Quantity]]</f>
        <v>15504.249999999998</v>
      </c>
      <c r="N873" t="s">
        <v>26</v>
      </c>
      <c r="O873" t="s">
        <v>25</v>
      </c>
      <c r="P873" t="s">
        <v>11</v>
      </c>
    </row>
    <row r="874" spans="1:16" x14ac:dyDescent="0.3">
      <c r="A874" s="2">
        <v>10873</v>
      </c>
      <c r="B874" s="2">
        <v>715</v>
      </c>
      <c r="C874" s="2">
        <v>2073</v>
      </c>
      <c r="D874" s="2">
        <v>317</v>
      </c>
      <c r="E874" s="4">
        <v>45465</v>
      </c>
      <c r="F874" s="4">
        <v>45474</v>
      </c>
      <c r="G874" s="2">
        <f t="shared" si="13"/>
        <v>9</v>
      </c>
      <c r="H874" s="2">
        <v>36</v>
      </c>
      <c r="I874" t="s">
        <v>78</v>
      </c>
      <c r="J874" t="s">
        <v>9</v>
      </c>
      <c r="K874" s="2">
        <v>11.78</v>
      </c>
      <c r="L874" s="3">
        <v>416.74</v>
      </c>
      <c r="M874" s="3">
        <f>orders_1[[#This Row],[products.Base_Price]]*orders_1[[#This Row],[Quantity]]</f>
        <v>15002.64</v>
      </c>
      <c r="N874" t="s">
        <v>20</v>
      </c>
      <c r="O874" t="s">
        <v>25</v>
      </c>
      <c r="P874" t="s">
        <v>19</v>
      </c>
    </row>
    <row r="875" spans="1:16" x14ac:dyDescent="0.3">
      <c r="A875" s="2">
        <v>10874</v>
      </c>
      <c r="B875" s="2">
        <v>800</v>
      </c>
      <c r="C875" s="2">
        <v>2059</v>
      </c>
      <c r="D875" s="2">
        <v>305</v>
      </c>
      <c r="E875" s="4">
        <v>45578</v>
      </c>
      <c r="F875" s="4">
        <v>45581</v>
      </c>
      <c r="G875" s="2">
        <f t="shared" si="13"/>
        <v>3</v>
      </c>
      <c r="H875" s="2">
        <v>76</v>
      </c>
      <c r="I875" t="s">
        <v>39</v>
      </c>
      <c r="J875" t="s">
        <v>9</v>
      </c>
      <c r="K875" s="2">
        <v>17.760000000000002</v>
      </c>
      <c r="L875" s="3">
        <v>279.55</v>
      </c>
      <c r="M875" s="3">
        <f>orders_1[[#This Row],[products.Base_Price]]*orders_1[[#This Row],[Quantity]]</f>
        <v>21245.8</v>
      </c>
      <c r="N875" t="s">
        <v>20</v>
      </c>
      <c r="O875" t="s">
        <v>10</v>
      </c>
      <c r="P875" t="s">
        <v>19</v>
      </c>
    </row>
    <row r="876" spans="1:16" x14ac:dyDescent="0.3">
      <c r="A876" s="2">
        <v>10875</v>
      </c>
      <c r="B876" s="2">
        <v>795</v>
      </c>
      <c r="C876" s="2">
        <v>2001</v>
      </c>
      <c r="D876" s="2">
        <v>315</v>
      </c>
      <c r="E876" s="4">
        <v>45480</v>
      </c>
      <c r="F876" s="4">
        <v>45483</v>
      </c>
      <c r="G876" s="2">
        <f t="shared" si="13"/>
        <v>3</v>
      </c>
      <c r="H876" s="2">
        <v>99</v>
      </c>
      <c r="I876" t="s">
        <v>36</v>
      </c>
      <c r="J876" t="s">
        <v>9</v>
      </c>
      <c r="K876" s="2">
        <v>49.85</v>
      </c>
      <c r="L876" s="3">
        <v>471.41</v>
      </c>
      <c r="M876" s="3">
        <f>orders_1[[#This Row],[products.Base_Price]]*orders_1[[#This Row],[Quantity]]</f>
        <v>46669.590000000004</v>
      </c>
      <c r="N876" t="s">
        <v>15</v>
      </c>
      <c r="O876" t="s">
        <v>25</v>
      </c>
      <c r="P876" t="s">
        <v>19</v>
      </c>
    </row>
    <row r="877" spans="1:16" x14ac:dyDescent="0.3">
      <c r="A877" s="2">
        <v>10876</v>
      </c>
      <c r="B877" s="2">
        <v>730</v>
      </c>
      <c r="C877" s="2">
        <v>2074</v>
      </c>
      <c r="D877" s="2">
        <v>311</v>
      </c>
      <c r="E877" s="4">
        <v>45407</v>
      </c>
      <c r="F877" s="4">
        <v>45417</v>
      </c>
      <c r="G877" s="2">
        <f t="shared" si="13"/>
        <v>10</v>
      </c>
      <c r="H877" s="2">
        <v>62</v>
      </c>
      <c r="I877" t="s">
        <v>42</v>
      </c>
      <c r="J877" t="s">
        <v>13</v>
      </c>
      <c r="K877" s="2">
        <v>41.45</v>
      </c>
      <c r="L877" s="3">
        <v>650.42999999999995</v>
      </c>
      <c r="M877" s="3">
        <f>orders_1[[#This Row],[products.Base_Price]]*orders_1[[#This Row],[Quantity]]</f>
        <v>40326.659999999996</v>
      </c>
      <c r="N877" t="s">
        <v>26</v>
      </c>
      <c r="O877" t="s">
        <v>10</v>
      </c>
      <c r="P877" t="s">
        <v>11</v>
      </c>
    </row>
    <row r="878" spans="1:16" x14ac:dyDescent="0.3">
      <c r="A878" s="2">
        <v>10877</v>
      </c>
      <c r="B878" s="2">
        <v>757</v>
      </c>
      <c r="C878" s="2">
        <v>2028</v>
      </c>
      <c r="D878" s="2">
        <v>301</v>
      </c>
      <c r="E878" s="4">
        <v>45582</v>
      </c>
      <c r="F878" s="4">
        <v>45586</v>
      </c>
      <c r="G878" s="2">
        <f t="shared" si="13"/>
        <v>4</v>
      </c>
      <c r="H878" s="2">
        <v>60</v>
      </c>
      <c r="I878" t="s">
        <v>78</v>
      </c>
      <c r="J878" t="s">
        <v>13</v>
      </c>
      <c r="K878" s="2">
        <v>30.34</v>
      </c>
      <c r="L878" s="3">
        <v>630.65</v>
      </c>
      <c r="M878" s="3">
        <f>orders_1[[#This Row],[products.Base_Price]]*orders_1[[#This Row],[Quantity]]</f>
        <v>37839</v>
      </c>
      <c r="N878" t="s">
        <v>8</v>
      </c>
      <c r="O878" t="s">
        <v>10</v>
      </c>
      <c r="P878" t="s">
        <v>11</v>
      </c>
    </row>
    <row r="879" spans="1:16" x14ac:dyDescent="0.3">
      <c r="A879" s="2">
        <v>10878</v>
      </c>
      <c r="B879" s="2">
        <v>738</v>
      </c>
      <c r="C879" s="2">
        <v>2036</v>
      </c>
      <c r="D879" s="2">
        <v>305</v>
      </c>
      <c r="E879" s="4">
        <v>45446</v>
      </c>
      <c r="F879" s="4">
        <v>45456</v>
      </c>
      <c r="G879" s="2">
        <f t="shared" si="13"/>
        <v>10</v>
      </c>
      <c r="H879" s="2">
        <v>74</v>
      </c>
      <c r="I879" t="s">
        <v>36</v>
      </c>
      <c r="J879" t="s">
        <v>22</v>
      </c>
      <c r="K879" s="2">
        <v>39.39</v>
      </c>
      <c r="L879" s="3">
        <v>745.86</v>
      </c>
      <c r="M879" s="3">
        <f>orders_1[[#This Row],[products.Base_Price]]*orders_1[[#This Row],[Quantity]]</f>
        <v>55193.64</v>
      </c>
      <c r="N879" t="s">
        <v>20</v>
      </c>
      <c r="O879" t="s">
        <v>10</v>
      </c>
      <c r="P879" t="s">
        <v>19</v>
      </c>
    </row>
    <row r="880" spans="1:16" x14ac:dyDescent="0.3">
      <c r="A880" s="2">
        <v>10879</v>
      </c>
      <c r="B880" s="2">
        <v>897</v>
      </c>
      <c r="C880" s="2">
        <v>2048</v>
      </c>
      <c r="D880" s="2">
        <v>317</v>
      </c>
      <c r="E880" s="4">
        <v>45454</v>
      </c>
      <c r="F880" s="4">
        <v>45458</v>
      </c>
      <c r="G880" s="2">
        <f t="shared" si="13"/>
        <v>4</v>
      </c>
      <c r="H880" s="2">
        <v>70</v>
      </c>
      <c r="I880" t="s">
        <v>42</v>
      </c>
      <c r="J880" t="s">
        <v>22</v>
      </c>
      <c r="K880" s="2">
        <v>6.74</v>
      </c>
      <c r="L880" s="3">
        <v>864.57</v>
      </c>
      <c r="M880" s="3">
        <f>orders_1[[#This Row],[products.Base_Price]]*orders_1[[#This Row],[Quantity]]</f>
        <v>60519.9</v>
      </c>
      <c r="N880" t="s">
        <v>20</v>
      </c>
      <c r="O880" t="s">
        <v>25</v>
      </c>
      <c r="P880" t="s">
        <v>19</v>
      </c>
    </row>
    <row r="881" spans="1:16" x14ac:dyDescent="0.3">
      <c r="A881" s="2">
        <v>10880</v>
      </c>
      <c r="B881" s="2">
        <v>529</v>
      </c>
      <c r="C881" s="2">
        <v>2051</v>
      </c>
      <c r="D881" s="2">
        <v>310</v>
      </c>
      <c r="E881" s="4">
        <v>45612</v>
      </c>
      <c r="F881" s="4">
        <v>45619</v>
      </c>
      <c r="G881" s="2">
        <f t="shared" si="13"/>
        <v>7</v>
      </c>
      <c r="H881" s="2">
        <v>34</v>
      </c>
      <c r="I881" t="s">
        <v>42</v>
      </c>
      <c r="J881" t="s">
        <v>9</v>
      </c>
      <c r="K881" s="2">
        <v>47.82</v>
      </c>
      <c r="L881" s="3">
        <v>376.19</v>
      </c>
      <c r="M881" s="3">
        <f>orders_1[[#This Row],[products.Base_Price]]*orders_1[[#This Row],[Quantity]]</f>
        <v>12790.46</v>
      </c>
      <c r="N881" t="s">
        <v>26</v>
      </c>
      <c r="O881" t="s">
        <v>25</v>
      </c>
      <c r="P881" t="s">
        <v>11</v>
      </c>
    </row>
    <row r="882" spans="1:16" x14ac:dyDescent="0.3">
      <c r="A882" s="2">
        <v>10881</v>
      </c>
      <c r="B882" s="2">
        <v>763</v>
      </c>
      <c r="C882" s="2">
        <v>2091</v>
      </c>
      <c r="D882" s="2">
        <v>301</v>
      </c>
      <c r="E882" s="4">
        <v>45404</v>
      </c>
      <c r="F882" s="4">
        <v>45405</v>
      </c>
      <c r="G882" s="2">
        <f t="shared" si="13"/>
        <v>1</v>
      </c>
      <c r="H882" s="2">
        <v>84</v>
      </c>
      <c r="I882" t="s">
        <v>39</v>
      </c>
      <c r="J882" t="s">
        <v>21</v>
      </c>
      <c r="K882" s="2">
        <v>10.41</v>
      </c>
      <c r="L882" s="3">
        <v>271.61</v>
      </c>
      <c r="M882" s="3">
        <f>orders_1[[#This Row],[products.Base_Price]]*orders_1[[#This Row],[Quantity]]</f>
        <v>22815.24</v>
      </c>
      <c r="N882" t="s">
        <v>8</v>
      </c>
      <c r="O882" t="s">
        <v>10</v>
      </c>
      <c r="P882" t="s">
        <v>11</v>
      </c>
    </row>
    <row r="883" spans="1:16" x14ac:dyDescent="0.3">
      <c r="A883" s="2">
        <v>10882</v>
      </c>
      <c r="B883" s="2">
        <v>804</v>
      </c>
      <c r="C883" s="2">
        <v>2038</v>
      </c>
      <c r="D883" s="2">
        <v>309</v>
      </c>
      <c r="E883" s="4">
        <v>45453</v>
      </c>
      <c r="F883" s="4">
        <v>45459</v>
      </c>
      <c r="G883" s="2">
        <f t="shared" si="13"/>
        <v>6</v>
      </c>
      <c r="H883" s="2">
        <v>28</v>
      </c>
      <c r="I883" t="s">
        <v>39</v>
      </c>
      <c r="J883" t="s">
        <v>27</v>
      </c>
      <c r="K883" s="2">
        <v>26.62</v>
      </c>
      <c r="L883" s="3">
        <v>680</v>
      </c>
      <c r="M883" s="3">
        <f>orders_1[[#This Row],[products.Base_Price]]*orders_1[[#This Row],[Quantity]]</f>
        <v>19040</v>
      </c>
      <c r="N883" t="s">
        <v>24</v>
      </c>
      <c r="O883" t="s">
        <v>25</v>
      </c>
      <c r="P883" t="s">
        <v>16</v>
      </c>
    </row>
    <row r="884" spans="1:16" x14ac:dyDescent="0.3">
      <c r="A884" s="2">
        <v>10883</v>
      </c>
      <c r="B884" s="2">
        <v>863</v>
      </c>
      <c r="C884" s="2">
        <v>2070</v>
      </c>
      <c r="D884" s="2">
        <v>306</v>
      </c>
      <c r="E884" s="4">
        <v>45487</v>
      </c>
      <c r="F884" s="4">
        <v>45491</v>
      </c>
      <c r="G884" s="2">
        <f t="shared" si="13"/>
        <v>4</v>
      </c>
      <c r="H884" s="2">
        <v>4</v>
      </c>
      <c r="I884" t="s">
        <v>42</v>
      </c>
      <c r="J884" t="s">
        <v>22</v>
      </c>
      <c r="K884" s="2">
        <v>22.6</v>
      </c>
      <c r="L884" s="3">
        <v>196.67</v>
      </c>
      <c r="M884" s="3">
        <f>orders_1[[#This Row],[products.Base_Price]]*orders_1[[#This Row],[Quantity]]</f>
        <v>786.68</v>
      </c>
      <c r="N884" t="s">
        <v>8</v>
      </c>
      <c r="O884" t="s">
        <v>10</v>
      </c>
      <c r="P884" t="s">
        <v>16</v>
      </c>
    </row>
    <row r="885" spans="1:16" x14ac:dyDescent="0.3">
      <c r="A885" s="2">
        <v>10884</v>
      </c>
      <c r="B885" s="2">
        <v>646</v>
      </c>
      <c r="C885" s="2">
        <v>2081</v>
      </c>
      <c r="D885" s="2">
        <v>313</v>
      </c>
      <c r="E885" s="4">
        <v>45594</v>
      </c>
      <c r="F885" s="4">
        <v>45595</v>
      </c>
      <c r="G885" s="2">
        <f t="shared" si="13"/>
        <v>1</v>
      </c>
      <c r="H885" s="2">
        <v>61</v>
      </c>
      <c r="I885" t="s">
        <v>39</v>
      </c>
      <c r="J885" t="s">
        <v>21</v>
      </c>
      <c r="K885" s="2">
        <v>20.72</v>
      </c>
      <c r="L885" s="3">
        <v>668.31</v>
      </c>
      <c r="M885" s="3">
        <f>orders_1[[#This Row],[products.Base_Price]]*orders_1[[#This Row],[Quantity]]</f>
        <v>40766.909999999996</v>
      </c>
      <c r="N885" t="s">
        <v>15</v>
      </c>
      <c r="O885" t="s">
        <v>25</v>
      </c>
      <c r="P885" t="s">
        <v>16</v>
      </c>
    </row>
    <row r="886" spans="1:16" x14ac:dyDescent="0.3">
      <c r="A886" s="2">
        <v>10885</v>
      </c>
      <c r="B886" s="2">
        <v>647</v>
      </c>
      <c r="C886" s="2">
        <v>2078</v>
      </c>
      <c r="D886" s="2">
        <v>315</v>
      </c>
      <c r="E886" s="4">
        <v>45559</v>
      </c>
      <c r="F886" s="4">
        <v>45567</v>
      </c>
      <c r="G886" s="2">
        <f t="shared" si="13"/>
        <v>8</v>
      </c>
      <c r="H886" s="2">
        <v>15</v>
      </c>
      <c r="I886" t="s">
        <v>39</v>
      </c>
      <c r="J886" t="s">
        <v>21</v>
      </c>
      <c r="K886" s="2">
        <v>14.85</v>
      </c>
      <c r="L886" s="3">
        <v>517.03</v>
      </c>
      <c r="M886" s="3">
        <f>orders_1[[#This Row],[products.Base_Price]]*orders_1[[#This Row],[Quantity]]</f>
        <v>7755.45</v>
      </c>
      <c r="N886" t="s">
        <v>15</v>
      </c>
      <c r="O886" t="s">
        <v>25</v>
      </c>
      <c r="P886" t="s">
        <v>19</v>
      </c>
    </row>
    <row r="887" spans="1:16" x14ac:dyDescent="0.3">
      <c r="A887" s="2">
        <v>10886</v>
      </c>
      <c r="B887" s="2">
        <v>585</v>
      </c>
      <c r="C887" s="2">
        <v>2078</v>
      </c>
      <c r="D887" s="2">
        <v>320</v>
      </c>
      <c r="E887" s="4">
        <v>45424</v>
      </c>
      <c r="F887" s="4">
        <v>45431</v>
      </c>
      <c r="G887" s="2">
        <f t="shared" si="13"/>
        <v>7</v>
      </c>
      <c r="H887" s="2">
        <v>52</v>
      </c>
      <c r="I887" t="s">
        <v>78</v>
      </c>
      <c r="J887" t="s">
        <v>21</v>
      </c>
      <c r="K887" s="2">
        <v>14.85</v>
      </c>
      <c r="L887" s="3">
        <v>517.03</v>
      </c>
      <c r="M887" s="3">
        <f>orders_1[[#This Row],[products.Base_Price]]*orders_1[[#This Row],[Quantity]]</f>
        <v>26885.559999999998</v>
      </c>
      <c r="N887" t="s">
        <v>15</v>
      </c>
      <c r="O887" t="s">
        <v>25</v>
      </c>
      <c r="P887" t="s">
        <v>11</v>
      </c>
    </row>
    <row r="888" spans="1:16" x14ac:dyDescent="0.3">
      <c r="A888" s="2">
        <v>10887</v>
      </c>
      <c r="B888" s="2">
        <v>701</v>
      </c>
      <c r="C888" s="2">
        <v>2057</v>
      </c>
      <c r="D888" s="2">
        <v>317</v>
      </c>
      <c r="E888" s="4">
        <v>45322</v>
      </c>
      <c r="F888" s="4">
        <v>45332</v>
      </c>
      <c r="G888" s="2">
        <f t="shared" si="13"/>
        <v>10</v>
      </c>
      <c r="H888" s="2">
        <v>1</v>
      </c>
      <c r="I888" t="s">
        <v>42</v>
      </c>
      <c r="J888" t="s">
        <v>22</v>
      </c>
      <c r="K888" s="2">
        <v>34.299999999999997</v>
      </c>
      <c r="L888" s="3">
        <v>40.43</v>
      </c>
      <c r="M888" s="3">
        <f>orders_1[[#This Row],[products.Base_Price]]*orders_1[[#This Row],[Quantity]]</f>
        <v>40.43</v>
      </c>
      <c r="N888" t="s">
        <v>20</v>
      </c>
      <c r="O888" t="s">
        <v>25</v>
      </c>
      <c r="P888" t="s">
        <v>19</v>
      </c>
    </row>
    <row r="889" spans="1:16" x14ac:dyDescent="0.3">
      <c r="A889" s="2">
        <v>10888</v>
      </c>
      <c r="B889" s="2">
        <v>625</v>
      </c>
      <c r="C889" s="2">
        <v>2071</v>
      </c>
      <c r="D889" s="2">
        <v>317</v>
      </c>
      <c r="E889" s="4">
        <v>45518</v>
      </c>
      <c r="F889" s="4">
        <v>45520</v>
      </c>
      <c r="G889" s="2">
        <f t="shared" si="13"/>
        <v>2</v>
      </c>
      <c r="H889" s="2">
        <v>67</v>
      </c>
      <c r="I889" t="s">
        <v>39</v>
      </c>
      <c r="J889" t="s">
        <v>27</v>
      </c>
      <c r="K889" s="2">
        <v>47.19</v>
      </c>
      <c r="L889" s="3">
        <v>711.14</v>
      </c>
      <c r="M889" s="3">
        <f>orders_1[[#This Row],[products.Base_Price]]*orders_1[[#This Row],[Quantity]]</f>
        <v>47646.38</v>
      </c>
      <c r="N889" t="s">
        <v>20</v>
      </c>
      <c r="O889" t="s">
        <v>25</v>
      </c>
      <c r="P889" t="s">
        <v>19</v>
      </c>
    </row>
    <row r="890" spans="1:16" x14ac:dyDescent="0.3">
      <c r="A890" s="2">
        <v>10889</v>
      </c>
      <c r="B890" s="2">
        <v>621</v>
      </c>
      <c r="C890" s="2">
        <v>2100</v>
      </c>
      <c r="D890" s="2">
        <v>309</v>
      </c>
      <c r="E890" s="4">
        <v>45543</v>
      </c>
      <c r="F890" s="4">
        <v>45548</v>
      </c>
      <c r="G890" s="2">
        <f t="shared" si="13"/>
        <v>5</v>
      </c>
      <c r="H890" s="2">
        <v>78</v>
      </c>
      <c r="I890" t="s">
        <v>78</v>
      </c>
      <c r="J890" t="s">
        <v>27</v>
      </c>
      <c r="K890" s="2">
        <v>2.2799999999999998</v>
      </c>
      <c r="L890" s="3">
        <v>813.8</v>
      </c>
      <c r="M890" s="3">
        <f>orders_1[[#This Row],[products.Base_Price]]*orders_1[[#This Row],[Quantity]]</f>
        <v>63476.399999999994</v>
      </c>
      <c r="N890" t="s">
        <v>24</v>
      </c>
      <c r="O890" t="s">
        <v>25</v>
      </c>
      <c r="P890" t="s">
        <v>16</v>
      </c>
    </row>
    <row r="891" spans="1:16" x14ac:dyDescent="0.3">
      <c r="A891" s="2">
        <v>10890</v>
      </c>
      <c r="B891" s="2">
        <v>646</v>
      </c>
      <c r="C891" s="2">
        <v>2064</v>
      </c>
      <c r="D891" s="2">
        <v>318</v>
      </c>
      <c r="E891" s="4">
        <v>45389</v>
      </c>
      <c r="F891" s="4">
        <v>45390</v>
      </c>
      <c r="G891" s="2">
        <f t="shared" si="13"/>
        <v>1</v>
      </c>
      <c r="H891" s="2">
        <v>4</v>
      </c>
      <c r="I891" t="s">
        <v>42</v>
      </c>
      <c r="J891" t="s">
        <v>21</v>
      </c>
      <c r="K891" s="2">
        <v>15.41</v>
      </c>
      <c r="L891" s="3">
        <v>203.79</v>
      </c>
      <c r="M891" s="3">
        <f>orders_1[[#This Row],[products.Base_Price]]*orders_1[[#This Row],[Quantity]]</f>
        <v>815.16</v>
      </c>
      <c r="N891" t="s">
        <v>17</v>
      </c>
      <c r="O891" t="s">
        <v>10</v>
      </c>
      <c r="P891" t="s">
        <v>19</v>
      </c>
    </row>
    <row r="892" spans="1:16" x14ac:dyDescent="0.3">
      <c r="A892" s="2">
        <v>10891</v>
      </c>
      <c r="B892" s="2">
        <v>876</v>
      </c>
      <c r="C892" s="2">
        <v>2041</v>
      </c>
      <c r="D892" s="2">
        <v>312</v>
      </c>
      <c r="E892" s="4">
        <v>45581</v>
      </c>
      <c r="F892" s="4">
        <v>45586</v>
      </c>
      <c r="G892" s="2">
        <f t="shared" si="13"/>
        <v>5</v>
      </c>
      <c r="H892" s="2">
        <v>65</v>
      </c>
      <c r="I892" t="s">
        <v>78</v>
      </c>
      <c r="J892" t="s">
        <v>22</v>
      </c>
      <c r="K892" s="2">
        <v>48.2</v>
      </c>
      <c r="L892" s="3">
        <v>792.77</v>
      </c>
      <c r="M892" s="3">
        <f>orders_1[[#This Row],[products.Base_Price]]*orders_1[[#This Row],[Quantity]]</f>
        <v>51530.049999999996</v>
      </c>
      <c r="N892" t="s">
        <v>15</v>
      </c>
      <c r="O892" t="s">
        <v>10</v>
      </c>
      <c r="P892" t="s">
        <v>11</v>
      </c>
    </row>
    <row r="893" spans="1:16" x14ac:dyDescent="0.3">
      <c r="A893" s="2">
        <v>10892</v>
      </c>
      <c r="B893" s="2">
        <v>518</v>
      </c>
      <c r="C893" s="2">
        <v>2010</v>
      </c>
      <c r="D893" s="2">
        <v>302</v>
      </c>
      <c r="E893" s="4">
        <v>45589</v>
      </c>
      <c r="F893" s="4">
        <v>45591</v>
      </c>
      <c r="G893" s="2">
        <f t="shared" si="13"/>
        <v>2</v>
      </c>
      <c r="H893" s="2">
        <v>28</v>
      </c>
      <c r="I893" t="s">
        <v>78</v>
      </c>
      <c r="J893" t="s">
        <v>13</v>
      </c>
      <c r="K893" s="2">
        <v>9.58</v>
      </c>
      <c r="L893" s="3">
        <v>440.93</v>
      </c>
      <c r="M893" s="3">
        <f>orders_1[[#This Row],[products.Base_Price]]*orders_1[[#This Row],[Quantity]]</f>
        <v>12346.04</v>
      </c>
      <c r="N893" t="s">
        <v>12</v>
      </c>
      <c r="O893" t="s">
        <v>14</v>
      </c>
      <c r="P893" t="s">
        <v>11</v>
      </c>
    </row>
    <row r="894" spans="1:16" x14ac:dyDescent="0.3">
      <c r="A894" s="2">
        <v>10893</v>
      </c>
      <c r="B894" s="2">
        <v>743</v>
      </c>
      <c r="C894" s="2">
        <v>2042</v>
      </c>
      <c r="D894" s="2">
        <v>312</v>
      </c>
      <c r="E894" s="4">
        <v>45449</v>
      </c>
      <c r="F894" s="4">
        <v>45459</v>
      </c>
      <c r="G894" s="2">
        <f t="shared" si="13"/>
        <v>10</v>
      </c>
      <c r="H894" s="2">
        <v>11</v>
      </c>
      <c r="I894" t="s">
        <v>39</v>
      </c>
      <c r="J894" t="s">
        <v>27</v>
      </c>
      <c r="K894" s="2">
        <v>46.87</v>
      </c>
      <c r="L894" s="3">
        <v>313.88</v>
      </c>
      <c r="M894" s="3">
        <f>orders_1[[#This Row],[products.Base_Price]]*orders_1[[#This Row],[Quantity]]</f>
        <v>3452.68</v>
      </c>
      <c r="N894" t="s">
        <v>15</v>
      </c>
      <c r="O894" t="s">
        <v>10</v>
      </c>
      <c r="P894" t="s">
        <v>11</v>
      </c>
    </row>
    <row r="895" spans="1:16" x14ac:dyDescent="0.3">
      <c r="A895" s="2">
        <v>10894</v>
      </c>
      <c r="B895" s="2">
        <v>610</v>
      </c>
      <c r="C895" s="2">
        <v>2087</v>
      </c>
      <c r="D895" s="2">
        <v>312</v>
      </c>
      <c r="E895" s="4">
        <v>45559</v>
      </c>
      <c r="F895" s="4">
        <v>45562</v>
      </c>
      <c r="G895" s="2">
        <f t="shared" si="13"/>
        <v>3</v>
      </c>
      <c r="H895" s="2">
        <v>43</v>
      </c>
      <c r="I895" t="s">
        <v>78</v>
      </c>
      <c r="J895" t="s">
        <v>9</v>
      </c>
      <c r="K895" s="2">
        <v>35.82</v>
      </c>
      <c r="L895" s="3">
        <v>47.38</v>
      </c>
      <c r="M895" s="3">
        <f>orders_1[[#This Row],[products.Base_Price]]*orders_1[[#This Row],[Quantity]]</f>
        <v>2037.3400000000001</v>
      </c>
      <c r="N895" t="s">
        <v>15</v>
      </c>
      <c r="O895" t="s">
        <v>10</v>
      </c>
      <c r="P895" t="s">
        <v>11</v>
      </c>
    </row>
    <row r="896" spans="1:16" x14ac:dyDescent="0.3">
      <c r="A896" s="2">
        <v>10895</v>
      </c>
      <c r="B896" s="2">
        <v>713</v>
      </c>
      <c r="C896" s="2">
        <v>2027</v>
      </c>
      <c r="D896" s="2">
        <v>311</v>
      </c>
      <c r="E896" s="4">
        <v>45316</v>
      </c>
      <c r="F896" s="4">
        <v>45319</v>
      </c>
      <c r="G896" s="2">
        <f t="shared" si="13"/>
        <v>3</v>
      </c>
      <c r="H896" s="2">
        <v>54</v>
      </c>
      <c r="I896" t="s">
        <v>78</v>
      </c>
      <c r="J896" t="s">
        <v>13</v>
      </c>
      <c r="K896" s="2">
        <v>45.95</v>
      </c>
      <c r="L896" s="3">
        <v>454.58</v>
      </c>
      <c r="M896" s="3">
        <f>orders_1[[#This Row],[products.Base_Price]]*orders_1[[#This Row],[Quantity]]</f>
        <v>24547.32</v>
      </c>
      <c r="N896" t="s">
        <v>26</v>
      </c>
      <c r="O896" t="s">
        <v>10</v>
      </c>
      <c r="P896" t="s">
        <v>11</v>
      </c>
    </row>
    <row r="897" spans="1:16" x14ac:dyDescent="0.3">
      <c r="A897" s="2">
        <v>10896</v>
      </c>
      <c r="B897" s="2">
        <v>526</v>
      </c>
      <c r="C897" s="2">
        <v>2015</v>
      </c>
      <c r="D897" s="2">
        <v>308</v>
      </c>
      <c r="E897" s="4">
        <v>45502</v>
      </c>
      <c r="F897" s="4">
        <v>45509</v>
      </c>
      <c r="G897" s="2">
        <f t="shared" si="13"/>
        <v>7</v>
      </c>
      <c r="H897" s="2">
        <v>1</v>
      </c>
      <c r="I897" t="s">
        <v>78</v>
      </c>
      <c r="J897" t="s">
        <v>13</v>
      </c>
      <c r="K897" s="2">
        <v>35.520000000000003</v>
      </c>
      <c r="L897" s="3">
        <v>638.11</v>
      </c>
      <c r="M897" s="3">
        <f>orders_1[[#This Row],[products.Base_Price]]*orders_1[[#This Row],[Quantity]]</f>
        <v>638.11</v>
      </c>
      <c r="N897" t="s">
        <v>23</v>
      </c>
      <c r="O897" t="s">
        <v>14</v>
      </c>
      <c r="P897" t="s">
        <v>19</v>
      </c>
    </row>
    <row r="898" spans="1:16" x14ac:dyDescent="0.3">
      <c r="A898" s="2">
        <v>10897</v>
      </c>
      <c r="B898" s="2">
        <v>749</v>
      </c>
      <c r="C898" s="2">
        <v>2012</v>
      </c>
      <c r="D898" s="2">
        <v>313</v>
      </c>
      <c r="E898" s="4">
        <v>45623</v>
      </c>
      <c r="F898" s="4">
        <v>45633</v>
      </c>
      <c r="G898" s="2">
        <f t="shared" ref="G898:G961" si="14">F898-E898</f>
        <v>10</v>
      </c>
      <c r="H898" s="2">
        <v>44</v>
      </c>
      <c r="I898" t="s">
        <v>39</v>
      </c>
      <c r="J898" t="s">
        <v>21</v>
      </c>
      <c r="K898" s="2">
        <v>34.93</v>
      </c>
      <c r="L898" s="3">
        <v>327.92</v>
      </c>
      <c r="M898" s="3">
        <f>orders_1[[#This Row],[products.Base_Price]]*orders_1[[#This Row],[Quantity]]</f>
        <v>14428.480000000001</v>
      </c>
      <c r="N898" t="s">
        <v>15</v>
      </c>
      <c r="O898" t="s">
        <v>25</v>
      </c>
      <c r="P898" t="s">
        <v>16</v>
      </c>
    </row>
    <row r="899" spans="1:16" x14ac:dyDescent="0.3">
      <c r="A899" s="2">
        <v>10898</v>
      </c>
      <c r="B899" s="2">
        <v>586</v>
      </c>
      <c r="C899" s="2">
        <v>2068</v>
      </c>
      <c r="D899" s="2">
        <v>307</v>
      </c>
      <c r="E899" s="4">
        <v>45332</v>
      </c>
      <c r="F899" s="4">
        <v>45336</v>
      </c>
      <c r="G899" s="2">
        <f t="shared" si="14"/>
        <v>4</v>
      </c>
      <c r="H899" s="2">
        <v>63</v>
      </c>
      <c r="I899" t="s">
        <v>42</v>
      </c>
      <c r="J899" t="s">
        <v>27</v>
      </c>
      <c r="K899" s="2">
        <v>47.08</v>
      </c>
      <c r="L899" s="3">
        <v>501.03</v>
      </c>
      <c r="M899" s="3">
        <f>orders_1[[#This Row],[products.Base_Price]]*orders_1[[#This Row],[Quantity]]</f>
        <v>31564.89</v>
      </c>
      <c r="N899" t="s">
        <v>17</v>
      </c>
      <c r="O899" t="s">
        <v>10</v>
      </c>
      <c r="P899" t="s">
        <v>11</v>
      </c>
    </row>
    <row r="900" spans="1:16" x14ac:dyDescent="0.3">
      <c r="A900" s="2">
        <v>10899</v>
      </c>
      <c r="B900" s="2">
        <v>762</v>
      </c>
      <c r="C900" s="2">
        <v>2050</v>
      </c>
      <c r="D900" s="2">
        <v>314</v>
      </c>
      <c r="E900" s="4">
        <v>45557</v>
      </c>
      <c r="F900" s="4">
        <v>45561</v>
      </c>
      <c r="G900" s="2">
        <f t="shared" si="14"/>
        <v>4</v>
      </c>
      <c r="H900" s="2">
        <v>81</v>
      </c>
      <c r="I900" t="s">
        <v>78</v>
      </c>
      <c r="J900" t="s">
        <v>21</v>
      </c>
      <c r="K900" s="2">
        <v>36.43</v>
      </c>
      <c r="L900" s="3">
        <v>507.16</v>
      </c>
      <c r="M900" s="3">
        <f>orders_1[[#This Row],[products.Base_Price]]*orders_1[[#This Row],[Quantity]]</f>
        <v>41079.96</v>
      </c>
      <c r="N900" t="s">
        <v>17</v>
      </c>
      <c r="O900" t="s">
        <v>14</v>
      </c>
      <c r="P900" t="s">
        <v>19</v>
      </c>
    </row>
    <row r="901" spans="1:16" x14ac:dyDescent="0.3">
      <c r="A901" s="2">
        <v>10900</v>
      </c>
      <c r="B901" s="2">
        <v>808</v>
      </c>
      <c r="C901" s="2">
        <v>2090</v>
      </c>
      <c r="D901" s="2">
        <v>305</v>
      </c>
      <c r="E901" s="4">
        <v>45574</v>
      </c>
      <c r="F901" s="4">
        <v>45584</v>
      </c>
      <c r="G901" s="2">
        <f t="shared" si="14"/>
        <v>10</v>
      </c>
      <c r="H901" s="2">
        <v>82</v>
      </c>
      <c r="I901" t="s">
        <v>36</v>
      </c>
      <c r="J901" t="s">
        <v>22</v>
      </c>
      <c r="K901" s="2">
        <v>38.729999999999997</v>
      </c>
      <c r="L901" s="3">
        <v>913.68</v>
      </c>
      <c r="M901" s="3">
        <f>orders_1[[#This Row],[products.Base_Price]]*orders_1[[#This Row],[Quantity]]</f>
        <v>74921.759999999995</v>
      </c>
      <c r="N901" t="s">
        <v>20</v>
      </c>
      <c r="O901" t="s">
        <v>10</v>
      </c>
      <c r="P901" t="s">
        <v>19</v>
      </c>
    </row>
    <row r="902" spans="1:16" x14ac:dyDescent="0.3">
      <c r="A902" s="2">
        <v>10901</v>
      </c>
      <c r="B902" s="2">
        <v>671</v>
      </c>
      <c r="C902" s="2">
        <v>2072</v>
      </c>
      <c r="D902" s="2">
        <v>312</v>
      </c>
      <c r="E902" s="4">
        <v>45422</v>
      </c>
      <c r="F902" s="4">
        <v>45429</v>
      </c>
      <c r="G902" s="2">
        <f t="shared" si="14"/>
        <v>7</v>
      </c>
      <c r="H902" s="2">
        <v>93</v>
      </c>
      <c r="I902" t="s">
        <v>78</v>
      </c>
      <c r="J902" t="s">
        <v>9</v>
      </c>
      <c r="K902" s="2">
        <v>26.22</v>
      </c>
      <c r="L902" s="3">
        <v>576.57000000000005</v>
      </c>
      <c r="M902" s="3">
        <f>orders_1[[#This Row],[products.Base_Price]]*orders_1[[#This Row],[Quantity]]</f>
        <v>53621.01</v>
      </c>
      <c r="N902" t="s">
        <v>15</v>
      </c>
      <c r="O902" t="s">
        <v>10</v>
      </c>
      <c r="P902" t="s">
        <v>11</v>
      </c>
    </row>
    <row r="903" spans="1:16" x14ac:dyDescent="0.3">
      <c r="A903" s="2">
        <v>10902</v>
      </c>
      <c r="B903" s="2">
        <v>797</v>
      </c>
      <c r="C903" s="2">
        <v>2028</v>
      </c>
      <c r="D903" s="2">
        <v>301</v>
      </c>
      <c r="E903" s="4">
        <v>45314</v>
      </c>
      <c r="F903" s="4">
        <v>45323</v>
      </c>
      <c r="G903" s="2">
        <f t="shared" si="14"/>
        <v>9</v>
      </c>
      <c r="H903" s="2">
        <v>62</v>
      </c>
      <c r="I903" t="s">
        <v>36</v>
      </c>
      <c r="J903" t="s">
        <v>13</v>
      </c>
      <c r="K903" s="2">
        <v>30.34</v>
      </c>
      <c r="L903" s="3">
        <v>630.65</v>
      </c>
      <c r="M903" s="3">
        <f>orders_1[[#This Row],[products.Base_Price]]*orders_1[[#This Row],[Quantity]]</f>
        <v>39100.299999999996</v>
      </c>
      <c r="N903" t="s">
        <v>8</v>
      </c>
      <c r="O903" t="s">
        <v>10</v>
      </c>
      <c r="P903" t="s">
        <v>11</v>
      </c>
    </row>
    <row r="904" spans="1:16" x14ac:dyDescent="0.3">
      <c r="A904" s="2">
        <v>10903</v>
      </c>
      <c r="B904" s="2">
        <v>697</v>
      </c>
      <c r="C904" s="2">
        <v>2085</v>
      </c>
      <c r="D904" s="2">
        <v>315</v>
      </c>
      <c r="E904" s="4">
        <v>45573</v>
      </c>
      <c r="F904" s="4">
        <v>45574</v>
      </c>
      <c r="G904" s="2">
        <f t="shared" si="14"/>
        <v>1</v>
      </c>
      <c r="H904" s="2">
        <v>47</v>
      </c>
      <c r="I904" t="s">
        <v>78</v>
      </c>
      <c r="J904" t="s">
        <v>22</v>
      </c>
      <c r="K904" s="2">
        <v>47.56</v>
      </c>
      <c r="L904" s="3">
        <v>131.63</v>
      </c>
      <c r="M904" s="3">
        <f>orders_1[[#This Row],[products.Base_Price]]*orders_1[[#This Row],[Quantity]]</f>
        <v>6186.61</v>
      </c>
      <c r="N904" t="s">
        <v>15</v>
      </c>
      <c r="O904" t="s">
        <v>25</v>
      </c>
      <c r="P904" t="s">
        <v>19</v>
      </c>
    </row>
    <row r="905" spans="1:16" x14ac:dyDescent="0.3">
      <c r="A905" s="2">
        <v>10904</v>
      </c>
      <c r="B905" s="2">
        <v>806</v>
      </c>
      <c r="C905" s="2">
        <v>2086</v>
      </c>
      <c r="D905" s="2">
        <v>306</v>
      </c>
      <c r="E905" s="4">
        <v>45575</v>
      </c>
      <c r="F905" s="4">
        <v>45577</v>
      </c>
      <c r="G905" s="2">
        <f t="shared" si="14"/>
        <v>2</v>
      </c>
      <c r="H905" s="2">
        <v>18</v>
      </c>
      <c r="I905" t="s">
        <v>78</v>
      </c>
      <c r="J905" t="s">
        <v>27</v>
      </c>
      <c r="K905" s="2">
        <v>27.73</v>
      </c>
      <c r="L905" s="3">
        <v>417.42</v>
      </c>
      <c r="M905" s="3">
        <f>orders_1[[#This Row],[products.Base_Price]]*orders_1[[#This Row],[Quantity]]</f>
        <v>7513.56</v>
      </c>
      <c r="N905" t="s">
        <v>8</v>
      </c>
      <c r="O905" t="s">
        <v>10</v>
      </c>
      <c r="P905" t="s">
        <v>16</v>
      </c>
    </row>
    <row r="906" spans="1:16" x14ac:dyDescent="0.3">
      <c r="A906" s="2">
        <v>10905</v>
      </c>
      <c r="B906" s="2">
        <v>895</v>
      </c>
      <c r="C906" s="2">
        <v>2054</v>
      </c>
      <c r="D906" s="2">
        <v>320</v>
      </c>
      <c r="E906" s="4">
        <v>45583</v>
      </c>
      <c r="F906" s="4">
        <v>45590</v>
      </c>
      <c r="G906" s="2">
        <f t="shared" si="14"/>
        <v>7</v>
      </c>
      <c r="H906" s="2">
        <v>49</v>
      </c>
      <c r="I906" t="s">
        <v>42</v>
      </c>
      <c r="J906" t="s">
        <v>9</v>
      </c>
      <c r="K906" s="2">
        <v>5.63</v>
      </c>
      <c r="L906" s="3">
        <v>304.22000000000003</v>
      </c>
      <c r="M906" s="3">
        <f>orders_1[[#This Row],[products.Base_Price]]*orders_1[[#This Row],[Quantity]]</f>
        <v>14906.78</v>
      </c>
      <c r="N906" t="s">
        <v>15</v>
      </c>
      <c r="O906" t="s">
        <v>25</v>
      </c>
      <c r="P906" t="s">
        <v>11</v>
      </c>
    </row>
    <row r="907" spans="1:16" x14ac:dyDescent="0.3">
      <c r="A907" s="2">
        <v>10906</v>
      </c>
      <c r="B907" s="2">
        <v>805</v>
      </c>
      <c r="C907" s="2">
        <v>2095</v>
      </c>
      <c r="D907" s="2">
        <v>317</v>
      </c>
      <c r="E907" s="4">
        <v>45645</v>
      </c>
      <c r="F907" s="4">
        <v>45652</v>
      </c>
      <c r="G907" s="2">
        <f t="shared" si="14"/>
        <v>7</v>
      </c>
      <c r="H907" s="2">
        <v>14</v>
      </c>
      <c r="I907" t="s">
        <v>42</v>
      </c>
      <c r="J907" t="s">
        <v>13</v>
      </c>
      <c r="K907" s="2">
        <v>38.81</v>
      </c>
      <c r="L907" s="3">
        <v>761.63</v>
      </c>
      <c r="M907" s="3">
        <f>orders_1[[#This Row],[products.Base_Price]]*orders_1[[#This Row],[Quantity]]</f>
        <v>10662.82</v>
      </c>
      <c r="N907" t="s">
        <v>20</v>
      </c>
      <c r="O907" t="s">
        <v>25</v>
      </c>
      <c r="P907" t="s">
        <v>19</v>
      </c>
    </row>
    <row r="908" spans="1:16" x14ac:dyDescent="0.3">
      <c r="A908" s="2">
        <v>10907</v>
      </c>
      <c r="B908" s="2">
        <v>662</v>
      </c>
      <c r="C908" s="2">
        <v>2042</v>
      </c>
      <c r="D908" s="2">
        <v>312</v>
      </c>
      <c r="E908" s="4">
        <v>45437</v>
      </c>
      <c r="F908" s="4">
        <v>45445</v>
      </c>
      <c r="G908" s="2">
        <f t="shared" si="14"/>
        <v>8</v>
      </c>
      <c r="H908" s="2">
        <v>73</v>
      </c>
      <c r="I908" t="s">
        <v>39</v>
      </c>
      <c r="J908" t="s">
        <v>27</v>
      </c>
      <c r="K908" s="2">
        <v>46.87</v>
      </c>
      <c r="L908" s="3">
        <v>313.88</v>
      </c>
      <c r="M908" s="3">
        <f>orders_1[[#This Row],[products.Base_Price]]*orders_1[[#This Row],[Quantity]]</f>
        <v>22913.239999999998</v>
      </c>
      <c r="N908" t="s">
        <v>15</v>
      </c>
      <c r="O908" t="s">
        <v>10</v>
      </c>
      <c r="P908" t="s">
        <v>11</v>
      </c>
    </row>
    <row r="909" spans="1:16" x14ac:dyDescent="0.3">
      <c r="A909" s="2">
        <v>10908</v>
      </c>
      <c r="B909" s="2">
        <v>670</v>
      </c>
      <c r="C909" s="2">
        <v>2023</v>
      </c>
      <c r="D909" s="2">
        <v>314</v>
      </c>
      <c r="E909" s="4">
        <v>45474</v>
      </c>
      <c r="F909" s="4">
        <v>45476</v>
      </c>
      <c r="G909" s="2">
        <f t="shared" si="14"/>
        <v>2</v>
      </c>
      <c r="H909" s="2">
        <v>11</v>
      </c>
      <c r="I909" t="s">
        <v>42</v>
      </c>
      <c r="J909" t="s">
        <v>13</v>
      </c>
      <c r="K909" s="2">
        <v>39.520000000000003</v>
      </c>
      <c r="L909" s="3">
        <v>618.29999999999995</v>
      </c>
      <c r="M909" s="3">
        <f>orders_1[[#This Row],[products.Base_Price]]*orders_1[[#This Row],[Quantity]]</f>
        <v>6801.2999999999993</v>
      </c>
      <c r="N909" t="s">
        <v>17</v>
      </c>
      <c r="O909" t="s">
        <v>14</v>
      </c>
      <c r="P909" t="s">
        <v>19</v>
      </c>
    </row>
    <row r="910" spans="1:16" x14ac:dyDescent="0.3">
      <c r="A910" s="2">
        <v>10909</v>
      </c>
      <c r="B910" s="2">
        <v>862</v>
      </c>
      <c r="C910" s="2">
        <v>2087</v>
      </c>
      <c r="D910" s="2">
        <v>301</v>
      </c>
      <c r="E910" s="4">
        <v>45607</v>
      </c>
      <c r="F910" s="4">
        <v>45608</v>
      </c>
      <c r="G910" s="2">
        <f t="shared" si="14"/>
        <v>1</v>
      </c>
      <c r="H910" s="2">
        <v>52</v>
      </c>
      <c r="I910" t="s">
        <v>42</v>
      </c>
      <c r="J910" t="s">
        <v>9</v>
      </c>
      <c r="K910" s="2">
        <v>35.82</v>
      </c>
      <c r="L910" s="3">
        <v>47.38</v>
      </c>
      <c r="M910" s="3">
        <f>orders_1[[#This Row],[products.Base_Price]]*orders_1[[#This Row],[Quantity]]</f>
        <v>2463.7600000000002</v>
      </c>
      <c r="N910" t="s">
        <v>8</v>
      </c>
      <c r="O910" t="s">
        <v>10</v>
      </c>
      <c r="P910" t="s">
        <v>11</v>
      </c>
    </row>
    <row r="911" spans="1:16" x14ac:dyDescent="0.3">
      <c r="A911" s="2">
        <v>10910</v>
      </c>
      <c r="B911" s="2">
        <v>762</v>
      </c>
      <c r="C911" s="2">
        <v>2078</v>
      </c>
      <c r="D911" s="2">
        <v>313</v>
      </c>
      <c r="E911" s="4">
        <v>45468</v>
      </c>
      <c r="F911" s="4">
        <v>45472</v>
      </c>
      <c r="G911" s="2">
        <f t="shared" si="14"/>
        <v>4</v>
      </c>
      <c r="H911" s="2">
        <v>98</v>
      </c>
      <c r="I911" t="s">
        <v>36</v>
      </c>
      <c r="J911" t="s">
        <v>21</v>
      </c>
      <c r="K911" s="2">
        <v>14.85</v>
      </c>
      <c r="L911" s="3">
        <v>517.03</v>
      </c>
      <c r="M911" s="3">
        <f>orders_1[[#This Row],[products.Base_Price]]*orders_1[[#This Row],[Quantity]]</f>
        <v>50668.939999999995</v>
      </c>
      <c r="N911" t="s">
        <v>15</v>
      </c>
      <c r="O911" t="s">
        <v>25</v>
      </c>
      <c r="P911" t="s">
        <v>16</v>
      </c>
    </row>
    <row r="912" spans="1:16" x14ac:dyDescent="0.3">
      <c r="A912" s="2">
        <v>10911</v>
      </c>
      <c r="B912" s="2">
        <v>820</v>
      </c>
      <c r="C912" s="2">
        <v>2074</v>
      </c>
      <c r="D912" s="2">
        <v>301</v>
      </c>
      <c r="E912" s="4">
        <v>45557</v>
      </c>
      <c r="F912" s="4">
        <v>45558</v>
      </c>
      <c r="G912" s="2">
        <f t="shared" si="14"/>
        <v>1</v>
      </c>
      <c r="H912" s="2">
        <v>44</v>
      </c>
      <c r="I912" t="s">
        <v>36</v>
      </c>
      <c r="J912" t="s">
        <v>13</v>
      </c>
      <c r="K912" s="2">
        <v>41.45</v>
      </c>
      <c r="L912" s="3">
        <v>650.42999999999995</v>
      </c>
      <c r="M912" s="3">
        <f>orders_1[[#This Row],[products.Base_Price]]*orders_1[[#This Row],[Quantity]]</f>
        <v>28618.92</v>
      </c>
      <c r="N912" t="s">
        <v>8</v>
      </c>
      <c r="O912" t="s">
        <v>10</v>
      </c>
      <c r="P912" t="s">
        <v>11</v>
      </c>
    </row>
    <row r="913" spans="1:16" x14ac:dyDescent="0.3">
      <c r="A913" s="2">
        <v>10912</v>
      </c>
      <c r="B913" s="2">
        <v>714</v>
      </c>
      <c r="C913" s="2">
        <v>2035</v>
      </c>
      <c r="D913" s="2">
        <v>302</v>
      </c>
      <c r="E913" s="4">
        <v>45614</v>
      </c>
      <c r="F913" s="4">
        <v>45618</v>
      </c>
      <c r="G913" s="2">
        <f t="shared" si="14"/>
        <v>4</v>
      </c>
      <c r="H913" s="2">
        <v>77</v>
      </c>
      <c r="I913" t="s">
        <v>42</v>
      </c>
      <c r="J913" t="s">
        <v>27</v>
      </c>
      <c r="K913" s="2">
        <v>18.55</v>
      </c>
      <c r="L913" s="3">
        <v>636.37</v>
      </c>
      <c r="M913" s="3">
        <f>orders_1[[#This Row],[products.Base_Price]]*orders_1[[#This Row],[Quantity]]</f>
        <v>49000.49</v>
      </c>
      <c r="N913" t="s">
        <v>12</v>
      </c>
      <c r="O913" t="s">
        <v>14</v>
      </c>
      <c r="P913" t="s">
        <v>11</v>
      </c>
    </row>
    <row r="914" spans="1:16" x14ac:dyDescent="0.3">
      <c r="A914" s="2">
        <v>10913</v>
      </c>
      <c r="B914" s="2">
        <v>823</v>
      </c>
      <c r="C914" s="2">
        <v>2061</v>
      </c>
      <c r="D914" s="2">
        <v>309</v>
      </c>
      <c r="E914" s="4">
        <v>45601</v>
      </c>
      <c r="F914" s="4">
        <v>45608</v>
      </c>
      <c r="G914" s="2">
        <f t="shared" si="14"/>
        <v>7</v>
      </c>
      <c r="H914" s="2">
        <v>5</v>
      </c>
      <c r="I914" t="s">
        <v>36</v>
      </c>
      <c r="J914" t="s">
        <v>13</v>
      </c>
      <c r="K914" s="2">
        <v>46.64</v>
      </c>
      <c r="L914" s="3">
        <v>620.16999999999996</v>
      </c>
      <c r="M914" s="3">
        <f>orders_1[[#This Row],[products.Base_Price]]*orders_1[[#This Row],[Quantity]]</f>
        <v>3100.85</v>
      </c>
      <c r="N914" t="s">
        <v>24</v>
      </c>
      <c r="O914" t="s">
        <v>25</v>
      </c>
      <c r="P914" t="s">
        <v>16</v>
      </c>
    </row>
    <row r="915" spans="1:16" x14ac:dyDescent="0.3">
      <c r="A915" s="2">
        <v>10914</v>
      </c>
      <c r="B915" s="2">
        <v>560</v>
      </c>
      <c r="C915" s="2">
        <v>2057</v>
      </c>
      <c r="D915" s="2">
        <v>302</v>
      </c>
      <c r="E915" s="4">
        <v>45498</v>
      </c>
      <c r="F915" s="4">
        <v>45507</v>
      </c>
      <c r="G915" s="2">
        <f t="shared" si="14"/>
        <v>9</v>
      </c>
      <c r="H915" s="2">
        <v>72</v>
      </c>
      <c r="I915" t="s">
        <v>42</v>
      </c>
      <c r="J915" t="s">
        <v>22</v>
      </c>
      <c r="K915" s="2">
        <v>34.299999999999997</v>
      </c>
      <c r="L915" s="3">
        <v>40.43</v>
      </c>
      <c r="M915" s="3">
        <f>orders_1[[#This Row],[products.Base_Price]]*orders_1[[#This Row],[Quantity]]</f>
        <v>2910.96</v>
      </c>
      <c r="N915" t="s">
        <v>12</v>
      </c>
      <c r="O915" t="s">
        <v>14</v>
      </c>
      <c r="P915" t="s">
        <v>11</v>
      </c>
    </row>
    <row r="916" spans="1:16" x14ac:dyDescent="0.3">
      <c r="A916" s="2">
        <v>10915</v>
      </c>
      <c r="B916" s="2">
        <v>874</v>
      </c>
      <c r="C916" s="2">
        <v>2081</v>
      </c>
      <c r="D916" s="2">
        <v>318</v>
      </c>
      <c r="E916" s="4">
        <v>45301</v>
      </c>
      <c r="F916" s="4">
        <v>45302</v>
      </c>
      <c r="G916" s="2">
        <f t="shared" si="14"/>
        <v>1</v>
      </c>
      <c r="H916" s="2">
        <v>96</v>
      </c>
      <c r="I916" t="s">
        <v>39</v>
      </c>
      <c r="J916" t="s">
        <v>21</v>
      </c>
      <c r="K916" s="2">
        <v>20.72</v>
      </c>
      <c r="L916" s="3">
        <v>668.31</v>
      </c>
      <c r="M916" s="3">
        <f>orders_1[[#This Row],[products.Base_Price]]*orders_1[[#This Row],[Quantity]]</f>
        <v>64157.759999999995</v>
      </c>
      <c r="N916" t="s">
        <v>17</v>
      </c>
      <c r="O916" t="s">
        <v>10</v>
      </c>
      <c r="P916" t="s">
        <v>19</v>
      </c>
    </row>
    <row r="917" spans="1:16" x14ac:dyDescent="0.3">
      <c r="A917" s="2">
        <v>10916</v>
      </c>
      <c r="B917" s="2">
        <v>802</v>
      </c>
      <c r="C917" s="2">
        <v>2020</v>
      </c>
      <c r="D917" s="2">
        <v>301</v>
      </c>
      <c r="E917" s="4">
        <v>45627</v>
      </c>
      <c r="F917" s="4">
        <v>45635</v>
      </c>
      <c r="G917" s="2">
        <f t="shared" si="14"/>
        <v>8</v>
      </c>
      <c r="H917" s="2">
        <v>38</v>
      </c>
      <c r="I917" t="s">
        <v>39</v>
      </c>
      <c r="J917" t="s">
        <v>27</v>
      </c>
      <c r="K917" s="2">
        <v>35.94</v>
      </c>
      <c r="L917" s="3">
        <v>44.04</v>
      </c>
      <c r="M917" s="3">
        <f>orders_1[[#This Row],[products.Base_Price]]*orders_1[[#This Row],[Quantity]]</f>
        <v>1673.52</v>
      </c>
      <c r="N917" t="s">
        <v>8</v>
      </c>
      <c r="O917" t="s">
        <v>10</v>
      </c>
      <c r="P917" t="s">
        <v>11</v>
      </c>
    </row>
    <row r="918" spans="1:16" x14ac:dyDescent="0.3">
      <c r="A918" s="2">
        <v>10917</v>
      </c>
      <c r="B918" s="2">
        <v>654</v>
      </c>
      <c r="C918" s="2">
        <v>2050</v>
      </c>
      <c r="D918" s="2">
        <v>309</v>
      </c>
      <c r="E918" s="4">
        <v>45565</v>
      </c>
      <c r="F918" s="4">
        <v>45573</v>
      </c>
      <c r="G918" s="2">
        <f t="shared" si="14"/>
        <v>8</v>
      </c>
      <c r="H918" s="2">
        <v>61</v>
      </c>
      <c r="I918" t="s">
        <v>39</v>
      </c>
      <c r="J918" t="s">
        <v>21</v>
      </c>
      <c r="K918" s="2">
        <v>36.43</v>
      </c>
      <c r="L918" s="3">
        <v>507.16</v>
      </c>
      <c r="M918" s="3">
        <f>orders_1[[#This Row],[products.Base_Price]]*orders_1[[#This Row],[Quantity]]</f>
        <v>30936.760000000002</v>
      </c>
      <c r="N918" t="s">
        <v>24</v>
      </c>
      <c r="O918" t="s">
        <v>25</v>
      </c>
      <c r="P918" t="s">
        <v>16</v>
      </c>
    </row>
    <row r="919" spans="1:16" x14ac:dyDescent="0.3">
      <c r="A919" s="2">
        <v>10918</v>
      </c>
      <c r="B919" s="2">
        <v>873</v>
      </c>
      <c r="C919" s="2">
        <v>2013</v>
      </c>
      <c r="D919" s="2">
        <v>315</v>
      </c>
      <c r="E919" s="4">
        <v>45351</v>
      </c>
      <c r="F919" s="4">
        <v>45352</v>
      </c>
      <c r="G919" s="2">
        <f t="shared" si="14"/>
        <v>1</v>
      </c>
      <c r="H919" s="2">
        <v>19</v>
      </c>
      <c r="I919" t="s">
        <v>42</v>
      </c>
      <c r="J919" t="s">
        <v>13</v>
      </c>
      <c r="K919" s="2">
        <v>19.53</v>
      </c>
      <c r="L919" s="3">
        <v>563.69000000000005</v>
      </c>
      <c r="M919" s="3">
        <f>orders_1[[#This Row],[products.Base_Price]]*orders_1[[#This Row],[Quantity]]</f>
        <v>10710.11</v>
      </c>
      <c r="N919" t="s">
        <v>15</v>
      </c>
      <c r="O919" t="s">
        <v>25</v>
      </c>
      <c r="P919" t="s">
        <v>19</v>
      </c>
    </row>
    <row r="920" spans="1:16" x14ac:dyDescent="0.3">
      <c r="A920" s="2">
        <v>10919</v>
      </c>
      <c r="B920" s="2">
        <v>609</v>
      </c>
      <c r="C920" s="2">
        <v>2100</v>
      </c>
      <c r="D920" s="2">
        <v>307</v>
      </c>
      <c r="E920" s="4">
        <v>45559</v>
      </c>
      <c r="F920" s="4">
        <v>45567</v>
      </c>
      <c r="G920" s="2">
        <f t="shared" si="14"/>
        <v>8</v>
      </c>
      <c r="H920" s="2">
        <v>67</v>
      </c>
      <c r="I920" t="s">
        <v>36</v>
      </c>
      <c r="J920" t="s">
        <v>27</v>
      </c>
      <c r="K920" s="2">
        <v>2.2799999999999998</v>
      </c>
      <c r="L920" s="3">
        <v>813.8</v>
      </c>
      <c r="M920" s="3">
        <f>orders_1[[#This Row],[products.Base_Price]]*orders_1[[#This Row],[Quantity]]</f>
        <v>54524.6</v>
      </c>
      <c r="N920" t="s">
        <v>17</v>
      </c>
      <c r="O920" t="s">
        <v>10</v>
      </c>
      <c r="P920" t="s">
        <v>11</v>
      </c>
    </row>
    <row r="921" spans="1:16" x14ac:dyDescent="0.3">
      <c r="A921" s="2">
        <v>10920</v>
      </c>
      <c r="B921" s="2">
        <v>549</v>
      </c>
      <c r="C921" s="2">
        <v>2057</v>
      </c>
      <c r="D921" s="2">
        <v>316</v>
      </c>
      <c r="E921" s="4">
        <v>45545</v>
      </c>
      <c r="F921" s="4">
        <v>45547</v>
      </c>
      <c r="G921" s="2">
        <f t="shared" si="14"/>
        <v>2</v>
      </c>
      <c r="H921" s="2">
        <v>100</v>
      </c>
      <c r="I921" t="s">
        <v>42</v>
      </c>
      <c r="J921" t="s">
        <v>22</v>
      </c>
      <c r="K921" s="2">
        <v>34.299999999999997</v>
      </c>
      <c r="L921" s="3">
        <v>40.43</v>
      </c>
      <c r="M921" s="3">
        <f>orders_1[[#This Row],[products.Base_Price]]*orders_1[[#This Row],[Quantity]]</f>
        <v>4043</v>
      </c>
      <c r="N921" t="s">
        <v>24</v>
      </c>
      <c r="O921" t="s">
        <v>25</v>
      </c>
      <c r="P921" t="s">
        <v>19</v>
      </c>
    </row>
    <row r="922" spans="1:16" x14ac:dyDescent="0.3">
      <c r="A922" s="2">
        <v>10921</v>
      </c>
      <c r="B922" s="2">
        <v>899</v>
      </c>
      <c r="C922" s="2">
        <v>2062</v>
      </c>
      <c r="D922" s="2">
        <v>311</v>
      </c>
      <c r="E922" s="4">
        <v>45651</v>
      </c>
      <c r="F922" s="4">
        <v>45659</v>
      </c>
      <c r="G922" s="2">
        <f t="shared" si="14"/>
        <v>8</v>
      </c>
      <c r="H922" s="2">
        <v>16</v>
      </c>
      <c r="I922" t="s">
        <v>78</v>
      </c>
      <c r="J922" t="s">
        <v>9</v>
      </c>
      <c r="K922" s="2">
        <v>32.479999999999997</v>
      </c>
      <c r="L922" s="3">
        <v>409.49</v>
      </c>
      <c r="M922" s="3">
        <f>orders_1[[#This Row],[products.Base_Price]]*orders_1[[#This Row],[Quantity]]</f>
        <v>6551.84</v>
      </c>
      <c r="N922" t="s">
        <v>26</v>
      </c>
      <c r="O922" t="s">
        <v>10</v>
      </c>
      <c r="P922" t="s">
        <v>11</v>
      </c>
    </row>
    <row r="923" spans="1:16" x14ac:dyDescent="0.3">
      <c r="A923" s="2">
        <v>10922</v>
      </c>
      <c r="B923" s="2">
        <v>862</v>
      </c>
      <c r="C923" s="2">
        <v>2060</v>
      </c>
      <c r="D923" s="2">
        <v>319</v>
      </c>
      <c r="E923" s="4">
        <v>45570</v>
      </c>
      <c r="F923" s="4">
        <v>45576</v>
      </c>
      <c r="G923" s="2">
        <f t="shared" si="14"/>
        <v>6</v>
      </c>
      <c r="H923" s="2">
        <v>31</v>
      </c>
      <c r="I923" t="s">
        <v>39</v>
      </c>
      <c r="J923" t="s">
        <v>21</v>
      </c>
      <c r="K923" s="2">
        <v>3.65</v>
      </c>
      <c r="L923" s="3">
        <v>173.1</v>
      </c>
      <c r="M923" s="3">
        <f>orders_1[[#This Row],[products.Base_Price]]*orders_1[[#This Row],[Quantity]]</f>
        <v>5366.0999999999995</v>
      </c>
      <c r="N923" t="s">
        <v>20</v>
      </c>
      <c r="O923" t="s">
        <v>18</v>
      </c>
      <c r="P923" t="s">
        <v>11</v>
      </c>
    </row>
    <row r="924" spans="1:16" x14ac:dyDescent="0.3">
      <c r="A924" s="2">
        <v>10923</v>
      </c>
      <c r="B924" s="2">
        <v>802</v>
      </c>
      <c r="C924" s="2">
        <v>2059</v>
      </c>
      <c r="D924" s="2">
        <v>320</v>
      </c>
      <c r="E924" s="4">
        <v>45413</v>
      </c>
      <c r="F924" s="4">
        <v>45418</v>
      </c>
      <c r="G924" s="2">
        <f t="shared" si="14"/>
        <v>5</v>
      </c>
      <c r="H924" s="2">
        <v>96</v>
      </c>
      <c r="I924" t="s">
        <v>42</v>
      </c>
      <c r="J924" t="s">
        <v>9</v>
      </c>
      <c r="K924" s="2">
        <v>17.760000000000002</v>
      </c>
      <c r="L924" s="3">
        <v>279.55</v>
      </c>
      <c r="M924" s="3">
        <f>orders_1[[#This Row],[products.Base_Price]]*orders_1[[#This Row],[Quantity]]</f>
        <v>26836.800000000003</v>
      </c>
      <c r="N924" t="s">
        <v>15</v>
      </c>
      <c r="O924" t="s">
        <v>25</v>
      </c>
      <c r="P924" t="s">
        <v>11</v>
      </c>
    </row>
    <row r="925" spans="1:16" x14ac:dyDescent="0.3">
      <c r="A925" s="2">
        <v>10924</v>
      </c>
      <c r="B925" s="2">
        <v>699</v>
      </c>
      <c r="C925" s="2">
        <v>2056</v>
      </c>
      <c r="D925" s="2">
        <v>310</v>
      </c>
      <c r="E925" s="4">
        <v>45435</v>
      </c>
      <c r="F925" s="4">
        <v>45437</v>
      </c>
      <c r="G925" s="2">
        <f t="shared" si="14"/>
        <v>2</v>
      </c>
      <c r="H925" s="2">
        <v>49</v>
      </c>
      <c r="I925" t="s">
        <v>39</v>
      </c>
      <c r="J925" t="s">
        <v>9</v>
      </c>
      <c r="K925" s="2">
        <v>18.559999999999999</v>
      </c>
      <c r="L925" s="3">
        <v>564.01</v>
      </c>
      <c r="M925" s="3">
        <f>orders_1[[#This Row],[products.Base_Price]]*orders_1[[#This Row],[Quantity]]</f>
        <v>27636.489999999998</v>
      </c>
      <c r="N925" t="s">
        <v>26</v>
      </c>
      <c r="O925" t="s">
        <v>25</v>
      </c>
      <c r="P925" t="s">
        <v>11</v>
      </c>
    </row>
    <row r="926" spans="1:16" x14ac:dyDescent="0.3">
      <c r="A926" s="2">
        <v>10925</v>
      </c>
      <c r="B926" s="2">
        <v>533</v>
      </c>
      <c r="C926" s="2">
        <v>2014</v>
      </c>
      <c r="D926" s="2">
        <v>316</v>
      </c>
      <c r="E926" s="4">
        <v>45432</v>
      </c>
      <c r="F926" s="4">
        <v>45437</v>
      </c>
      <c r="G926" s="2">
        <f t="shared" si="14"/>
        <v>5</v>
      </c>
      <c r="H926" s="2">
        <v>43</v>
      </c>
      <c r="I926" t="s">
        <v>39</v>
      </c>
      <c r="J926" t="s">
        <v>27</v>
      </c>
      <c r="K926" s="2">
        <v>12.2</v>
      </c>
      <c r="L926" s="3">
        <v>652.53</v>
      </c>
      <c r="M926" s="3">
        <f>orders_1[[#This Row],[products.Base_Price]]*orders_1[[#This Row],[Quantity]]</f>
        <v>28058.789999999997</v>
      </c>
      <c r="N926" t="s">
        <v>24</v>
      </c>
      <c r="O926" t="s">
        <v>25</v>
      </c>
      <c r="P926" t="s">
        <v>19</v>
      </c>
    </row>
    <row r="927" spans="1:16" x14ac:dyDescent="0.3">
      <c r="A927" s="2">
        <v>10926</v>
      </c>
      <c r="B927" s="2">
        <v>834</v>
      </c>
      <c r="C927" s="2">
        <v>2042</v>
      </c>
      <c r="D927" s="2">
        <v>320</v>
      </c>
      <c r="E927" s="4">
        <v>45417</v>
      </c>
      <c r="F927" s="4">
        <v>45418</v>
      </c>
      <c r="G927" s="2">
        <f t="shared" si="14"/>
        <v>1</v>
      </c>
      <c r="H927" s="2">
        <v>97</v>
      </c>
      <c r="I927" t="s">
        <v>78</v>
      </c>
      <c r="J927" t="s">
        <v>27</v>
      </c>
      <c r="K927" s="2">
        <v>46.87</v>
      </c>
      <c r="L927" s="3">
        <v>313.88</v>
      </c>
      <c r="M927" s="3">
        <f>orders_1[[#This Row],[products.Base_Price]]*orders_1[[#This Row],[Quantity]]</f>
        <v>30446.36</v>
      </c>
      <c r="N927" t="s">
        <v>15</v>
      </c>
      <c r="O927" t="s">
        <v>25</v>
      </c>
      <c r="P927" t="s">
        <v>11</v>
      </c>
    </row>
    <row r="928" spans="1:16" x14ac:dyDescent="0.3">
      <c r="A928" s="2">
        <v>10927</v>
      </c>
      <c r="B928" s="2">
        <v>721</v>
      </c>
      <c r="C928" s="2">
        <v>2018</v>
      </c>
      <c r="D928" s="2">
        <v>306</v>
      </c>
      <c r="E928" s="4">
        <v>45508</v>
      </c>
      <c r="F928" s="4">
        <v>45517</v>
      </c>
      <c r="G928" s="2">
        <f t="shared" si="14"/>
        <v>9</v>
      </c>
      <c r="H928" s="2">
        <v>88</v>
      </c>
      <c r="I928" t="s">
        <v>42</v>
      </c>
      <c r="J928" t="s">
        <v>21</v>
      </c>
      <c r="K928" s="2">
        <v>16.739999999999998</v>
      </c>
      <c r="L928" s="3">
        <v>103.05</v>
      </c>
      <c r="M928" s="3">
        <f>orders_1[[#This Row],[products.Base_Price]]*orders_1[[#This Row],[Quantity]]</f>
        <v>9068.4</v>
      </c>
      <c r="N928" t="s">
        <v>8</v>
      </c>
      <c r="O928" t="s">
        <v>10</v>
      </c>
      <c r="P928" t="s">
        <v>16</v>
      </c>
    </row>
    <row r="929" spans="1:16" x14ac:dyDescent="0.3">
      <c r="A929" s="2">
        <v>10928</v>
      </c>
      <c r="B929" s="2">
        <v>872</v>
      </c>
      <c r="C929" s="2">
        <v>2059</v>
      </c>
      <c r="D929" s="2">
        <v>308</v>
      </c>
      <c r="E929" s="4">
        <v>45446</v>
      </c>
      <c r="F929" s="4">
        <v>45447</v>
      </c>
      <c r="G929" s="2">
        <f t="shared" si="14"/>
        <v>1</v>
      </c>
      <c r="H929" s="2">
        <v>44</v>
      </c>
      <c r="I929" t="s">
        <v>42</v>
      </c>
      <c r="J929" t="s">
        <v>9</v>
      </c>
      <c r="K929" s="2">
        <v>17.760000000000002</v>
      </c>
      <c r="L929" s="3">
        <v>279.55</v>
      </c>
      <c r="M929" s="3">
        <f>orders_1[[#This Row],[products.Base_Price]]*orders_1[[#This Row],[Quantity]]</f>
        <v>12300.2</v>
      </c>
      <c r="N929" t="s">
        <v>23</v>
      </c>
      <c r="O929" t="s">
        <v>14</v>
      </c>
      <c r="P929" t="s">
        <v>19</v>
      </c>
    </row>
    <row r="930" spans="1:16" x14ac:dyDescent="0.3">
      <c r="A930" s="2">
        <v>10929</v>
      </c>
      <c r="B930" s="2">
        <v>800</v>
      </c>
      <c r="C930" s="2">
        <v>2022</v>
      </c>
      <c r="D930" s="2">
        <v>311</v>
      </c>
      <c r="E930" s="4">
        <v>45577</v>
      </c>
      <c r="F930" s="4">
        <v>45584</v>
      </c>
      <c r="G930" s="2">
        <f t="shared" si="14"/>
        <v>7</v>
      </c>
      <c r="H930" s="2">
        <v>91</v>
      </c>
      <c r="I930" t="s">
        <v>36</v>
      </c>
      <c r="J930" t="s">
        <v>13</v>
      </c>
      <c r="K930" s="2">
        <v>47.91</v>
      </c>
      <c r="L930" s="3">
        <v>756.92</v>
      </c>
      <c r="M930" s="3">
        <f>orders_1[[#This Row],[products.Base_Price]]*orders_1[[#This Row],[Quantity]]</f>
        <v>68879.72</v>
      </c>
      <c r="N930" t="s">
        <v>26</v>
      </c>
      <c r="O930" t="s">
        <v>10</v>
      </c>
      <c r="P930" t="s">
        <v>11</v>
      </c>
    </row>
    <row r="931" spans="1:16" x14ac:dyDescent="0.3">
      <c r="A931" s="2">
        <v>10930</v>
      </c>
      <c r="B931" s="2">
        <v>677</v>
      </c>
      <c r="C931" s="2">
        <v>2001</v>
      </c>
      <c r="D931" s="2">
        <v>303</v>
      </c>
      <c r="E931" s="4">
        <v>45323</v>
      </c>
      <c r="F931" s="4">
        <v>45332</v>
      </c>
      <c r="G931" s="2">
        <f t="shared" si="14"/>
        <v>9</v>
      </c>
      <c r="H931" s="2">
        <v>74</v>
      </c>
      <c r="I931" t="s">
        <v>39</v>
      </c>
      <c r="J931" t="s">
        <v>9</v>
      </c>
      <c r="K931" s="2">
        <v>49.85</v>
      </c>
      <c r="L931" s="3">
        <v>471.41</v>
      </c>
      <c r="M931" s="3">
        <f>orders_1[[#This Row],[products.Base_Price]]*orders_1[[#This Row],[Quantity]]</f>
        <v>34884.340000000004</v>
      </c>
      <c r="N931" t="s">
        <v>15</v>
      </c>
      <c r="O931" t="s">
        <v>10</v>
      </c>
      <c r="P931" t="s">
        <v>16</v>
      </c>
    </row>
    <row r="932" spans="1:16" x14ac:dyDescent="0.3">
      <c r="A932" s="2">
        <v>10931</v>
      </c>
      <c r="B932" s="2">
        <v>531</v>
      </c>
      <c r="C932" s="2">
        <v>2028</v>
      </c>
      <c r="D932" s="2">
        <v>317</v>
      </c>
      <c r="E932" s="4">
        <v>45604</v>
      </c>
      <c r="F932" s="4">
        <v>45606</v>
      </c>
      <c r="G932" s="2">
        <f t="shared" si="14"/>
        <v>2</v>
      </c>
      <c r="H932" s="2">
        <v>86</v>
      </c>
      <c r="I932" t="s">
        <v>36</v>
      </c>
      <c r="J932" t="s">
        <v>13</v>
      </c>
      <c r="K932" s="2">
        <v>30.34</v>
      </c>
      <c r="L932" s="3">
        <v>630.65</v>
      </c>
      <c r="M932" s="3">
        <f>orders_1[[#This Row],[products.Base_Price]]*orders_1[[#This Row],[Quantity]]</f>
        <v>54235.9</v>
      </c>
      <c r="N932" t="s">
        <v>20</v>
      </c>
      <c r="O932" t="s">
        <v>25</v>
      </c>
      <c r="P932" t="s">
        <v>19</v>
      </c>
    </row>
    <row r="933" spans="1:16" x14ac:dyDescent="0.3">
      <c r="A933" s="2">
        <v>10932</v>
      </c>
      <c r="B933" s="2">
        <v>684</v>
      </c>
      <c r="C933" s="2">
        <v>2070</v>
      </c>
      <c r="D933" s="2">
        <v>318</v>
      </c>
      <c r="E933" s="4">
        <v>45523</v>
      </c>
      <c r="F933" s="4">
        <v>45532</v>
      </c>
      <c r="G933" s="2">
        <f t="shared" si="14"/>
        <v>9</v>
      </c>
      <c r="H933" s="2">
        <v>69</v>
      </c>
      <c r="I933" t="s">
        <v>36</v>
      </c>
      <c r="J933" t="s">
        <v>22</v>
      </c>
      <c r="K933" s="2">
        <v>22.6</v>
      </c>
      <c r="L933" s="3">
        <v>196.67</v>
      </c>
      <c r="M933" s="3">
        <f>orders_1[[#This Row],[products.Base_Price]]*orders_1[[#This Row],[Quantity]]</f>
        <v>13570.23</v>
      </c>
      <c r="N933" t="s">
        <v>17</v>
      </c>
      <c r="O933" t="s">
        <v>10</v>
      </c>
      <c r="P933" t="s">
        <v>19</v>
      </c>
    </row>
    <row r="934" spans="1:16" x14ac:dyDescent="0.3">
      <c r="A934" s="2">
        <v>10933</v>
      </c>
      <c r="B934" s="2">
        <v>590</v>
      </c>
      <c r="C934" s="2">
        <v>2029</v>
      </c>
      <c r="D934" s="2">
        <v>311</v>
      </c>
      <c r="E934" s="4">
        <v>45595</v>
      </c>
      <c r="F934" s="4">
        <v>45600</v>
      </c>
      <c r="G934" s="2">
        <f t="shared" si="14"/>
        <v>5</v>
      </c>
      <c r="H934" s="2">
        <v>35</v>
      </c>
      <c r="I934" t="s">
        <v>42</v>
      </c>
      <c r="J934" t="s">
        <v>21</v>
      </c>
      <c r="K934" s="2">
        <v>9.19</v>
      </c>
      <c r="L934" s="3">
        <v>357.06</v>
      </c>
      <c r="M934" s="3">
        <f>orders_1[[#This Row],[products.Base_Price]]*orders_1[[#This Row],[Quantity]]</f>
        <v>12497.1</v>
      </c>
      <c r="N934" t="s">
        <v>26</v>
      </c>
      <c r="O934" t="s">
        <v>10</v>
      </c>
      <c r="P934" t="s">
        <v>11</v>
      </c>
    </row>
    <row r="935" spans="1:16" x14ac:dyDescent="0.3">
      <c r="A935" s="2">
        <v>10934</v>
      </c>
      <c r="B935" s="2">
        <v>782</v>
      </c>
      <c r="C935" s="2">
        <v>2065</v>
      </c>
      <c r="D935" s="2">
        <v>312</v>
      </c>
      <c r="E935" s="4">
        <v>45338</v>
      </c>
      <c r="F935" s="4">
        <v>45340</v>
      </c>
      <c r="G935" s="2">
        <f t="shared" si="14"/>
        <v>2</v>
      </c>
      <c r="H935" s="2">
        <v>73</v>
      </c>
      <c r="I935" t="s">
        <v>39</v>
      </c>
      <c r="J935" t="s">
        <v>13</v>
      </c>
      <c r="K935" s="2">
        <v>26.94</v>
      </c>
      <c r="L935" s="3">
        <v>155.15</v>
      </c>
      <c r="M935" s="3">
        <f>orders_1[[#This Row],[products.Base_Price]]*orders_1[[#This Row],[Quantity]]</f>
        <v>11325.95</v>
      </c>
      <c r="N935" t="s">
        <v>15</v>
      </c>
      <c r="O935" t="s">
        <v>10</v>
      </c>
      <c r="P935" t="s">
        <v>11</v>
      </c>
    </row>
    <row r="936" spans="1:16" x14ac:dyDescent="0.3">
      <c r="A936" s="2">
        <v>10935</v>
      </c>
      <c r="B936" s="2">
        <v>746</v>
      </c>
      <c r="C936" s="2">
        <v>2027</v>
      </c>
      <c r="D936" s="2">
        <v>301</v>
      </c>
      <c r="E936" s="4">
        <v>45299</v>
      </c>
      <c r="F936" s="4">
        <v>45307</v>
      </c>
      <c r="G936" s="2">
        <f t="shared" si="14"/>
        <v>8</v>
      </c>
      <c r="H936" s="2">
        <v>2</v>
      </c>
      <c r="I936" t="s">
        <v>36</v>
      </c>
      <c r="J936" t="s">
        <v>13</v>
      </c>
      <c r="K936" s="2">
        <v>45.95</v>
      </c>
      <c r="L936" s="3">
        <v>454.58</v>
      </c>
      <c r="M936" s="3">
        <f>orders_1[[#This Row],[products.Base_Price]]*orders_1[[#This Row],[Quantity]]</f>
        <v>909.16</v>
      </c>
      <c r="N936" t="s">
        <v>8</v>
      </c>
      <c r="O936" t="s">
        <v>10</v>
      </c>
      <c r="P936" t="s">
        <v>11</v>
      </c>
    </row>
    <row r="937" spans="1:16" x14ac:dyDescent="0.3">
      <c r="A937" s="2">
        <v>10936</v>
      </c>
      <c r="B937" s="2">
        <v>652</v>
      </c>
      <c r="C937" s="2">
        <v>2054</v>
      </c>
      <c r="D937" s="2">
        <v>316</v>
      </c>
      <c r="E937" s="4">
        <v>45302</v>
      </c>
      <c r="F937" s="4">
        <v>45309</v>
      </c>
      <c r="G937" s="2">
        <f t="shared" si="14"/>
        <v>7</v>
      </c>
      <c r="H937" s="2">
        <v>17</v>
      </c>
      <c r="I937" t="s">
        <v>42</v>
      </c>
      <c r="J937" t="s">
        <v>9</v>
      </c>
      <c r="K937" s="2">
        <v>5.63</v>
      </c>
      <c r="L937" s="3">
        <v>304.22000000000003</v>
      </c>
      <c r="M937" s="3">
        <f>orders_1[[#This Row],[products.Base_Price]]*orders_1[[#This Row],[Quantity]]</f>
        <v>5171.7400000000007</v>
      </c>
      <c r="N937" t="s">
        <v>24</v>
      </c>
      <c r="O937" t="s">
        <v>25</v>
      </c>
      <c r="P937" t="s">
        <v>19</v>
      </c>
    </row>
    <row r="938" spans="1:16" x14ac:dyDescent="0.3">
      <c r="A938" s="2">
        <v>10937</v>
      </c>
      <c r="B938" s="2">
        <v>758</v>
      </c>
      <c r="C938" s="2">
        <v>2006</v>
      </c>
      <c r="D938" s="2">
        <v>312</v>
      </c>
      <c r="E938" s="4">
        <v>45368</v>
      </c>
      <c r="F938" s="4">
        <v>45378</v>
      </c>
      <c r="G938" s="2">
        <f t="shared" si="14"/>
        <v>10</v>
      </c>
      <c r="H938" s="2">
        <v>95</v>
      </c>
      <c r="I938" t="s">
        <v>39</v>
      </c>
      <c r="J938" t="s">
        <v>22</v>
      </c>
      <c r="K938" s="2">
        <v>41.47</v>
      </c>
      <c r="L938" s="3">
        <v>541.85</v>
      </c>
      <c r="M938" s="3">
        <f>orders_1[[#This Row],[products.Base_Price]]*orders_1[[#This Row],[Quantity]]</f>
        <v>51475.75</v>
      </c>
      <c r="N938" t="s">
        <v>15</v>
      </c>
      <c r="O938" t="s">
        <v>10</v>
      </c>
      <c r="P938" t="s">
        <v>11</v>
      </c>
    </row>
    <row r="939" spans="1:16" x14ac:dyDescent="0.3">
      <c r="A939" s="2">
        <v>10938</v>
      </c>
      <c r="B939" s="2">
        <v>845</v>
      </c>
      <c r="C939" s="2">
        <v>2074</v>
      </c>
      <c r="D939" s="2">
        <v>306</v>
      </c>
      <c r="E939" s="4">
        <v>45608</v>
      </c>
      <c r="F939" s="4">
        <v>45611</v>
      </c>
      <c r="G939" s="2">
        <f t="shared" si="14"/>
        <v>3</v>
      </c>
      <c r="H939" s="2">
        <v>29</v>
      </c>
      <c r="I939" t="s">
        <v>78</v>
      </c>
      <c r="J939" t="s">
        <v>13</v>
      </c>
      <c r="K939" s="2">
        <v>41.45</v>
      </c>
      <c r="L939" s="3">
        <v>650.42999999999995</v>
      </c>
      <c r="M939" s="3">
        <f>orders_1[[#This Row],[products.Base_Price]]*orders_1[[#This Row],[Quantity]]</f>
        <v>18862.469999999998</v>
      </c>
      <c r="N939" t="s">
        <v>8</v>
      </c>
      <c r="O939" t="s">
        <v>10</v>
      </c>
      <c r="P939" t="s">
        <v>16</v>
      </c>
    </row>
    <row r="940" spans="1:16" x14ac:dyDescent="0.3">
      <c r="A940" s="2">
        <v>10939</v>
      </c>
      <c r="B940" s="2">
        <v>741</v>
      </c>
      <c r="C940" s="2">
        <v>2065</v>
      </c>
      <c r="D940" s="2">
        <v>313</v>
      </c>
      <c r="E940" s="4">
        <v>45597</v>
      </c>
      <c r="F940" s="4">
        <v>45598</v>
      </c>
      <c r="G940" s="2">
        <f t="shared" si="14"/>
        <v>1</v>
      </c>
      <c r="H940" s="2">
        <v>98</v>
      </c>
      <c r="I940" t="s">
        <v>42</v>
      </c>
      <c r="J940" t="s">
        <v>13</v>
      </c>
      <c r="K940" s="2">
        <v>26.94</v>
      </c>
      <c r="L940" s="3">
        <v>155.15</v>
      </c>
      <c r="M940" s="3">
        <f>orders_1[[#This Row],[products.Base_Price]]*orders_1[[#This Row],[Quantity]]</f>
        <v>15204.7</v>
      </c>
      <c r="N940" t="s">
        <v>15</v>
      </c>
      <c r="O940" t="s">
        <v>25</v>
      </c>
      <c r="P940" t="s">
        <v>16</v>
      </c>
    </row>
    <row r="941" spans="1:16" x14ac:dyDescent="0.3">
      <c r="A941" s="2">
        <v>10940</v>
      </c>
      <c r="B941" s="2">
        <v>779</v>
      </c>
      <c r="C941" s="2">
        <v>2053</v>
      </c>
      <c r="D941" s="2">
        <v>304</v>
      </c>
      <c r="E941" s="4">
        <v>45655</v>
      </c>
      <c r="F941" s="4">
        <v>45657</v>
      </c>
      <c r="G941" s="2">
        <f t="shared" si="14"/>
        <v>2</v>
      </c>
      <c r="H941" s="2">
        <v>16</v>
      </c>
      <c r="I941" t="s">
        <v>42</v>
      </c>
      <c r="J941" t="s">
        <v>22</v>
      </c>
      <c r="K941" s="2">
        <v>34.54</v>
      </c>
      <c r="L941" s="3">
        <v>162.21</v>
      </c>
      <c r="M941" s="3">
        <f>orders_1[[#This Row],[products.Base_Price]]*orders_1[[#This Row],[Quantity]]</f>
        <v>2595.36</v>
      </c>
      <c r="N941" t="s">
        <v>17</v>
      </c>
      <c r="O941" t="s">
        <v>18</v>
      </c>
      <c r="P941" t="s">
        <v>19</v>
      </c>
    </row>
    <row r="942" spans="1:16" x14ac:dyDescent="0.3">
      <c r="A942" s="2">
        <v>10941</v>
      </c>
      <c r="B942" s="2">
        <v>762</v>
      </c>
      <c r="C942" s="2">
        <v>2016</v>
      </c>
      <c r="D942" s="2">
        <v>314</v>
      </c>
      <c r="E942" s="4">
        <v>45534</v>
      </c>
      <c r="F942" s="4">
        <v>45537</v>
      </c>
      <c r="G942" s="2">
        <f t="shared" si="14"/>
        <v>3</v>
      </c>
      <c r="H942" s="2">
        <v>46</v>
      </c>
      <c r="I942" t="s">
        <v>42</v>
      </c>
      <c r="J942" t="s">
        <v>13</v>
      </c>
      <c r="K942" s="2">
        <v>12.52</v>
      </c>
      <c r="L942" s="3">
        <v>709.8</v>
      </c>
      <c r="M942" s="3">
        <f>orders_1[[#This Row],[products.Base_Price]]*orders_1[[#This Row],[Quantity]]</f>
        <v>32650.799999999999</v>
      </c>
      <c r="N942" t="s">
        <v>17</v>
      </c>
      <c r="O942" t="s">
        <v>14</v>
      </c>
      <c r="P942" t="s">
        <v>19</v>
      </c>
    </row>
    <row r="943" spans="1:16" x14ac:dyDescent="0.3">
      <c r="A943" s="2">
        <v>10942</v>
      </c>
      <c r="B943" s="2">
        <v>694</v>
      </c>
      <c r="C943" s="2">
        <v>2069</v>
      </c>
      <c r="D943" s="2">
        <v>303</v>
      </c>
      <c r="E943" s="4">
        <v>45304</v>
      </c>
      <c r="F943" s="4">
        <v>45309</v>
      </c>
      <c r="G943" s="2">
        <f t="shared" si="14"/>
        <v>5</v>
      </c>
      <c r="H943" s="2">
        <v>40</v>
      </c>
      <c r="I943" t="s">
        <v>78</v>
      </c>
      <c r="J943" t="s">
        <v>22</v>
      </c>
      <c r="K943" s="2">
        <v>2.94</v>
      </c>
      <c r="L943" s="3">
        <v>494.92</v>
      </c>
      <c r="M943" s="3">
        <f>orders_1[[#This Row],[products.Base_Price]]*orders_1[[#This Row],[Quantity]]</f>
        <v>19796.8</v>
      </c>
      <c r="N943" t="s">
        <v>15</v>
      </c>
      <c r="O943" t="s">
        <v>10</v>
      </c>
      <c r="P943" t="s">
        <v>16</v>
      </c>
    </row>
    <row r="944" spans="1:16" x14ac:dyDescent="0.3">
      <c r="A944" s="2">
        <v>10943</v>
      </c>
      <c r="B944" s="2">
        <v>530</v>
      </c>
      <c r="C944" s="2">
        <v>2048</v>
      </c>
      <c r="D944" s="2">
        <v>311</v>
      </c>
      <c r="E944" s="4">
        <v>45393</v>
      </c>
      <c r="F944" s="4">
        <v>45403</v>
      </c>
      <c r="G944" s="2">
        <f t="shared" si="14"/>
        <v>10</v>
      </c>
      <c r="H944" s="2">
        <v>100</v>
      </c>
      <c r="I944" t="s">
        <v>36</v>
      </c>
      <c r="J944" t="s">
        <v>22</v>
      </c>
      <c r="K944" s="2">
        <v>6.74</v>
      </c>
      <c r="L944" s="3">
        <v>864.57</v>
      </c>
      <c r="M944" s="3">
        <f>orders_1[[#This Row],[products.Base_Price]]*orders_1[[#This Row],[Quantity]]</f>
        <v>86457</v>
      </c>
      <c r="N944" t="s">
        <v>26</v>
      </c>
      <c r="O944" t="s">
        <v>10</v>
      </c>
      <c r="P944" t="s">
        <v>11</v>
      </c>
    </row>
    <row r="945" spans="1:16" x14ac:dyDescent="0.3">
      <c r="A945" s="2">
        <v>10944</v>
      </c>
      <c r="B945" s="2">
        <v>605</v>
      </c>
      <c r="C945" s="2">
        <v>2004</v>
      </c>
      <c r="D945" s="2">
        <v>301</v>
      </c>
      <c r="E945" s="4">
        <v>45544</v>
      </c>
      <c r="F945" s="4">
        <v>45549</v>
      </c>
      <c r="G945" s="2">
        <f t="shared" si="14"/>
        <v>5</v>
      </c>
      <c r="H945" s="2">
        <v>67</v>
      </c>
      <c r="I945" t="s">
        <v>39</v>
      </c>
      <c r="J945" t="s">
        <v>9</v>
      </c>
      <c r="K945" s="2">
        <v>4.34</v>
      </c>
      <c r="L945" s="3">
        <v>52.14</v>
      </c>
      <c r="M945" s="3">
        <f>orders_1[[#This Row],[products.Base_Price]]*orders_1[[#This Row],[Quantity]]</f>
        <v>3493.38</v>
      </c>
      <c r="N945" t="s">
        <v>8</v>
      </c>
      <c r="O945" t="s">
        <v>10</v>
      </c>
      <c r="P945" t="s">
        <v>11</v>
      </c>
    </row>
    <row r="946" spans="1:16" x14ac:dyDescent="0.3">
      <c r="A946" s="2">
        <v>10945</v>
      </c>
      <c r="B946" s="2">
        <v>661</v>
      </c>
      <c r="C946" s="2">
        <v>2031</v>
      </c>
      <c r="D946" s="2">
        <v>312</v>
      </c>
      <c r="E946" s="4">
        <v>45551</v>
      </c>
      <c r="F946" s="4">
        <v>45559</v>
      </c>
      <c r="G946" s="2">
        <f t="shared" si="14"/>
        <v>8</v>
      </c>
      <c r="H946" s="2">
        <v>38</v>
      </c>
      <c r="I946" t="s">
        <v>39</v>
      </c>
      <c r="J946" t="s">
        <v>27</v>
      </c>
      <c r="K946" s="2">
        <v>24.61</v>
      </c>
      <c r="L946" s="3">
        <v>342.86</v>
      </c>
      <c r="M946" s="3">
        <f>orders_1[[#This Row],[products.Base_Price]]*orders_1[[#This Row],[Quantity]]</f>
        <v>13028.68</v>
      </c>
      <c r="N946" t="s">
        <v>15</v>
      </c>
      <c r="O946" t="s">
        <v>10</v>
      </c>
      <c r="P946" t="s">
        <v>11</v>
      </c>
    </row>
    <row r="947" spans="1:16" x14ac:dyDescent="0.3">
      <c r="A947" s="2">
        <v>10946</v>
      </c>
      <c r="B947" s="2">
        <v>511</v>
      </c>
      <c r="C947" s="2">
        <v>2088</v>
      </c>
      <c r="D947" s="2">
        <v>320</v>
      </c>
      <c r="E947" s="4">
        <v>45491</v>
      </c>
      <c r="F947" s="4">
        <v>45496</v>
      </c>
      <c r="G947" s="2">
        <f t="shared" si="14"/>
        <v>5</v>
      </c>
      <c r="H947" s="2">
        <v>13</v>
      </c>
      <c r="I947" t="s">
        <v>42</v>
      </c>
      <c r="J947" t="s">
        <v>13</v>
      </c>
      <c r="K947" s="2">
        <v>27.71</v>
      </c>
      <c r="L947" s="3">
        <v>820.21</v>
      </c>
      <c r="M947" s="3">
        <f>orders_1[[#This Row],[products.Base_Price]]*orders_1[[#This Row],[Quantity]]</f>
        <v>10662.73</v>
      </c>
      <c r="N947" t="s">
        <v>15</v>
      </c>
      <c r="O947" t="s">
        <v>25</v>
      </c>
      <c r="P947" t="s">
        <v>11</v>
      </c>
    </row>
    <row r="948" spans="1:16" x14ac:dyDescent="0.3">
      <c r="A948" s="2">
        <v>10947</v>
      </c>
      <c r="B948" s="2">
        <v>835</v>
      </c>
      <c r="C948" s="2">
        <v>2034</v>
      </c>
      <c r="D948" s="2">
        <v>301</v>
      </c>
      <c r="E948" s="4">
        <v>45433</v>
      </c>
      <c r="F948" s="4">
        <v>45437</v>
      </c>
      <c r="G948" s="2">
        <f t="shared" si="14"/>
        <v>4</v>
      </c>
      <c r="H948" s="2">
        <v>95</v>
      </c>
      <c r="I948" t="s">
        <v>78</v>
      </c>
      <c r="J948" t="s">
        <v>27</v>
      </c>
      <c r="K948" s="2">
        <v>26.17</v>
      </c>
      <c r="L948" s="3">
        <v>540.23</v>
      </c>
      <c r="M948" s="3">
        <f>orders_1[[#This Row],[products.Base_Price]]*orders_1[[#This Row],[Quantity]]</f>
        <v>51321.85</v>
      </c>
      <c r="N948" t="s">
        <v>8</v>
      </c>
      <c r="O948" t="s">
        <v>10</v>
      </c>
      <c r="P948" t="s">
        <v>11</v>
      </c>
    </row>
    <row r="949" spans="1:16" x14ac:dyDescent="0.3">
      <c r="A949" s="2">
        <v>10948</v>
      </c>
      <c r="B949" s="2">
        <v>621</v>
      </c>
      <c r="C949" s="2">
        <v>2026</v>
      </c>
      <c r="D949" s="2">
        <v>319</v>
      </c>
      <c r="E949" s="4">
        <v>45556</v>
      </c>
      <c r="F949" s="4">
        <v>45557</v>
      </c>
      <c r="G949" s="2">
        <f t="shared" si="14"/>
        <v>1</v>
      </c>
      <c r="H949" s="2">
        <v>40</v>
      </c>
      <c r="I949" t="s">
        <v>36</v>
      </c>
      <c r="J949" t="s">
        <v>22</v>
      </c>
      <c r="K949" s="2">
        <v>23.02</v>
      </c>
      <c r="L949" s="3">
        <v>858.57</v>
      </c>
      <c r="M949" s="3">
        <f>orders_1[[#This Row],[products.Base_Price]]*orders_1[[#This Row],[Quantity]]</f>
        <v>34342.800000000003</v>
      </c>
      <c r="N949" t="s">
        <v>20</v>
      </c>
      <c r="O949" t="s">
        <v>18</v>
      </c>
      <c r="P949" t="s">
        <v>11</v>
      </c>
    </row>
    <row r="950" spans="1:16" x14ac:dyDescent="0.3">
      <c r="A950" s="2">
        <v>10949</v>
      </c>
      <c r="B950" s="2">
        <v>690</v>
      </c>
      <c r="C950" s="2">
        <v>2055</v>
      </c>
      <c r="D950" s="2">
        <v>304</v>
      </c>
      <c r="E950" s="4">
        <v>45300</v>
      </c>
      <c r="F950" s="4">
        <v>45309</v>
      </c>
      <c r="G950" s="2">
        <f t="shared" si="14"/>
        <v>9</v>
      </c>
      <c r="H950" s="2">
        <v>9</v>
      </c>
      <c r="I950" t="s">
        <v>42</v>
      </c>
      <c r="J950" t="s">
        <v>27</v>
      </c>
      <c r="K950" s="2">
        <v>26.24</v>
      </c>
      <c r="L950" s="3">
        <v>312.67</v>
      </c>
      <c r="M950" s="3">
        <f>orders_1[[#This Row],[products.Base_Price]]*orders_1[[#This Row],[Quantity]]</f>
        <v>2814.03</v>
      </c>
      <c r="N950" t="s">
        <v>17</v>
      </c>
      <c r="O950" t="s">
        <v>18</v>
      </c>
      <c r="P950" t="s">
        <v>19</v>
      </c>
    </row>
    <row r="951" spans="1:16" x14ac:dyDescent="0.3">
      <c r="A951" s="2">
        <v>10950</v>
      </c>
      <c r="B951" s="2">
        <v>632</v>
      </c>
      <c r="C951" s="2">
        <v>2064</v>
      </c>
      <c r="D951" s="2">
        <v>302</v>
      </c>
      <c r="E951" s="4">
        <v>45346</v>
      </c>
      <c r="F951" s="4">
        <v>45350</v>
      </c>
      <c r="G951" s="2">
        <f t="shared" si="14"/>
        <v>4</v>
      </c>
      <c r="H951" s="2">
        <v>32</v>
      </c>
      <c r="I951" t="s">
        <v>42</v>
      </c>
      <c r="J951" t="s">
        <v>21</v>
      </c>
      <c r="K951" s="2">
        <v>15.41</v>
      </c>
      <c r="L951" s="3">
        <v>203.79</v>
      </c>
      <c r="M951" s="3">
        <f>orders_1[[#This Row],[products.Base_Price]]*orders_1[[#This Row],[Quantity]]</f>
        <v>6521.28</v>
      </c>
      <c r="N951" t="s">
        <v>12</v>
      </c>
      <c r="O951" t="s">
        <v>14</v>
      </c>
      <c r="P951" t="s">
        <v>11</v>
      </c>
    </row>
    <row r="952" spans="1:16" x14ac:dyDescent="0.3">
      <c r="A952" s="2">
        <v>10951</v>
      </c>
      <c r="B952" s="2">
        <v>668</v>
      </c>
      <c r="C952" s="2">
        <v>2022</v>
      </c>
      <c r="D952" s="2">
        <v>320</v>
      </c>
      <c r="E952" s="4">
        <v>45320</v>
      </c>
      <c r="F952" s="4">
        <v>45325</v>
      </c>
      <c r="G952" s="2">
        <f t="shared" si="14"/>
        <v>5</v>
      </c>
      <c r="H952" s="2">
        <v>50</v>
      </c>
      <c r="I952" t="s">
        <v>42</v>
      </c>
      <c r="J952" t="s">
        <v>13</v>
      </c>
      <c r="K952" s="2">
        <v>47.91</v>
      </c>
      <c r="L952" s="3">
        <v>756.92</v>
      </c>
      <c r="M952" s="3">
        <f>orders_1[[#This Row],[products.Base_Price]]*orders_1[[#This Row],[Quantity]]</f>
        <v>37846</v>
      </c>
      <c r="N952" t="s">
        <v>15</v>
      </c>
      <c r="O952" t="s">
        <v>25</v>
      </c>
      <c r="P952" t="s">
        <v>11</v>
      </c>
    </row>
    <row r="953" spans="1:16" x14ac:dyDescent="0.3">
      <c r="A953" s="2">
        <v>10952</v>
      </c>
      <c r="B953" s="2">
        <v>541</v>
      </c>
      <c r="C953" s="2">
        <v>2045</v>
      </c>
      <c r="D953" s="2">
        <v>311</v>
      </c>
      <c r="E953" s="4">
        <v>45378</v>
      </c>
      <c r="F953" s="4">
        <v>45382</v>
      </c>
      <c r="G953" s="2">
        <f t="shared" si="14"/>
        <v>4</v>
      </c>
      <c r="H953" s="2">
        <v>27</v>
      </c>
      <c r="I953" t="s">
        <v>36</v>
      </c>
      <c r="J953" t="s">
        <v>9</v>
      </c>
      <c r="K953" s="2">
        <v>41.3</v>
      </c>
      <c r="L953" s="3">
        <v>652.61</v>
      </c>
      <c r="M953" s="3">
        <f>orders_1[[#This Row],[products.Base_Price]]*orders_1[[#This Row],[Quantity]]</f>
        <v>17620.47</v>
      </c>
      <c r="N953" t="s">
        <v>26</v>
      </c>
      <c r="O953" t="s">
        <v>10</v>
      </c>
      <c r="P953" t="s">
        <v>11</v>
      </c>
    </row>
    <row r="954" spans="1:16" x14ac:dyDescent="0.3">
      <c r="A954" s="2">
        <v>10953</v>
      </c>
      <c r="B954" s="2">
        <v>814</v>
      </c>
      <c r="C954" s="2">
        <v>2047</v>
      </c>
      <c r="D954" s="2">
        <v>306</v>
      </c>
      <c r="E954" s="4">
        <v>45424</v>
      </c>
      <c r="F954" s="4">
        <v>45428</v>
      </c>
      <c r="G954" s="2">
        <f t="shared" si="14"/>
        <v>4</v>
      </c>
      <c r="H954" s="2">
        <v>76</v>
      </c>
      <c r="I954" t="s">
        <v>39</v>
      </c>
      <c r="J954" t="s">
        <v>27</v>
      </c>
      <c r="K954" s="2">
        <v>31.72</v>
      </c>
      <c r="L954" s="3">
        <v>210.46</v>
      </c>
      <c r="M954" s="3">
        <f>orders_1[[#This Row],[products.Base_Price]]*orders_1[[#This Row],[Quantity]]</f>
        <v>15994.960000000001</v>
      </c>
      <c r="N954" t="s">
        <v>8</v>
      </c>
      <c r="O954" t="s">
        <v>10</v>
      </c>
      <c r="P954" t="s">
        <v>16</v>
      </c>
    </row>
    <row r="955" spans="1:16" x14ac:dyDescent="0.3">
      <c r="A955" s="2">
        <v>10954</v>
      </c>
      <c r="B955" s="2">
        <v>795</v>
      </c>
      <c r="C955" s="2">
        <v>2008</v>
      </c>
      <c r="D955" s="2">
        <v>315</v>
      </c>
      <c r="E955" s="4">
        <v>45441</v>
      </c>
      <c r="F955" s="4">
        <v>45443</v>
      </c>
      <c r="G955" s="2">
        <f t="shared" si="14"/>
        <v>2</v>
      </c>
      <c r="H955" s="2">
        <v>80</v>
      </c>
      <c r="I955" t="s">
        <v>36</v>
      </c>
      <c r="J955" t="s">
        <v>21</v>
      </c>
      <c r="K955" s="2">
        <v>8.5</v>
      </c>
      <c r="L955" s="3">
        <v>899.21</v>
      </c>
      <c r="M955" s="3">
        <f>orders_1[[#This Row],[products.Base_Price]]*orders_1[[#This Row],[Quantity]]</f>
        <v>71936.800000000003</v>
      </c>
      <c r="N955" t="s">
        <v>15</v>
      </c>
      <c r="O955" t="s">
        <v>25</v>
      </c>
      <c r="P955" t="s">
        <v>19</v>
      </c>
    </row>
    <row r="956" spans="1:16" x14ac:dyDescent="0.3">
      <c r="A956" s="2">
        <v>10955</v>
      </c>
      <c r="B956" s="2">
        <v>579</v>
      </c>
      <c r="C956" s="2">
        <v>2047</v>
      </c>
      <c r="D956" s="2">
        <v>311</v>
      </c>
      <c r="E956" s="4">
        <v>45437</v>
      </c>
      <c r="F956" s="4">
        <v>45442</v>
      </c>
      <c r="G956" s="2">
        <f t="shared" si="14"/>
        <v>5</v>
      </c>
      <c r="H956" s="2">
        <v>38</v>
      </c>
      <c r="I956" t="s">
        <v>42</v>
      </c>
      <c r="J956" t="s">
        <v>27</v>
      </c>
      <c r="K956" s="2">
        <v>31.72</v>
      </c>
      <c r="L956" s="3">
        <v>210.46</v>
      </c>
      <c r="M956" s="3">
        <f>orders_1[[#This Row],[products.Base_Price]]*orders_1[[#This Row],[Quantity]]</f>
        <v>7997.4800000000005</v>
      </c>
      <c r="N956" t="s">
        <v>26</v>
      </c>
      <c r="O956" t="s">
        <v>10</v>
      </c>
      <c r="P956" t="s">
        <v>11</v>
      </c>
    </row>
    <row r="957" spans="1:16" x14ac:dyDescent="0.3">
      <c r="A957" s="2">
        <v>10956</v>
      </c>
      <c r="B957" s="2">
        <v>752</v>
      </c>
      <c r="C957" s="2">
        <v>2046</v>
      </c>
      <c r="D957" s="2">
        <v>317</v>
      </c>
      <c r="E957" s="4">
        <v>45469</v>
      </c>
      <c r="F957" s="4">
        <v>45476</v>
      </c>
      <c r="G957" s="2">
        <f t="shared" si="14"/>
        <v>7</v>
      </c>
      <c r="H957" s="2">
        <v>73</v>
      </c>
      <c r="I957" t="s">
        <v>42</v>
      </c>
      <c r="J957" t="s">
        <v>27</v>
      </c>
      <c r="K957" s="2">
        <v>38.130000000000003</v>
      </c>
      <c r="L957" s="3">
        <v>649.34</v>
      </c>
      <c r="M957" s="3">
        <f>orders_1[[#This Row],[products.Base_Price]]*orders_1[[#This Row],[Quantity]]</f>
        <v>47401.82</v>
      </c>
      <c r="N957" t="s">
        <v>20</v>
      </c>
      <c r="O957" t="s">
        <v>25</v>
      </c>
      <c r="P957" t="s">
        <v>19</v>
      </c>
    </row>
    <row r="958" spans="1:16" x14ac:dyDescent="0.3">
      <c r="A958" s="2">
        <v>10957</v>
      </c>
      <c r="B958" s="2">
        <v>666</v>
      </c>
      <c r="C958" s="2">
        <v>2024</v>
      </c>
      <c r="D958" s="2">
        <v>302</v>
      </c>
      <c r="E958" s="4">
        <v>45437</v>
      </c>
      <c r="F958" s="4">
        <v>45442</v>
      </c>
      <c r="G958" s="2">
        <f t="shared" si="14"/>
        <v>5</v>
      </c>
      <c r="H958" s="2">
        <v>24</v>
      </c>
      <c r="I958" t="s">
        <v>36</v>
      </c>
      <c r="J958" t="s">
        <v>13</v>
      </c>
      <c r="K958" s="2">
        <v>21.16</v>
      </c>
      <c r="L958" s="3">
        <v>291.08</v>
      </c>
      <c r="M958" s="3">
        <f>orders_1[[#This Row],[products.Base_Price]]*orders_1[[#This Row],[Quantity]]</f>
        <v>6985.92</v>
      </c>
      <c r="N958" t="s">
        <v>12</v>
      </c>
      <c r="O958" t="s">
        <v>14</v>
      </c>
      <c r="P958" t="s">
        <v>11</v>
      </c>
    </row>
    <row r="959" spans="1:16" x14ac:dyDescent="0.3">
      <c r="A959" s="2">
        <v>10958</v>
      </c>
      <c r="B959" s="2">
        <v>514</v>
      </c>
      <c r="C959" s="2">
        <v>2079</v>
      </c>
      <c r="D959" s="2">
        <v>306</v>
      </c>
      <c r="E959" s="4">
        <v>45430</v>
      </c>
      <c r="F959" s="4">
        <v>45437</v>
      </c>
      <c r="G959" s="2">
        <f t="shared" si="14"/>
        <v>7</v>
      </c>
      <c r="H959" s="2">
        <v>84</v>
      </c>
      <c r="I959" t="s">
        <v>78</v>
      </c>
      <c r="J959" t="s">
        <v>22</v>
      </c>
      <c r="K959" s="2">
        <v>12.3</v>
      </c>
      <c r="L959" s="3">
        <v>99.7</v>
      </c>
      <c r="M959" s="3">
        <f>orders_1[[#This Row],[products.Base_Price]]*orders_1[[#This Row],[Quantity]]</f>
        <v>8374.8000000000011</v>
      </c>
      <c r="N959" t="s">
        <v>8</v>
      </c>
      <c r="O959" t="s">
        <v>10</v>
      </c>
      <c r="P959" t="s">
        <v>16</v>
      </c>
    </row>
    <row r="960" spans="1:16" x14ac:dyDescent="0.3">
      <c r="A960" s="2">
        <v>10959</v>
      </c>
      <c r="B960" s="2">
        <v>723</v>
      </c>
      <c r="C960" s="2">
        <v>2032</v>
      </c>
      <c r="D960" s="2">
        <v>317</v>
      </c>
      <c r="E960" s="4">
        <v>45475</v>
      </c>
      <c r="F960" s="4">
        <v>45479</v>
      </c>
      <c r="G960" s="2">
        <f t="shared" si="14"/>
        <v>4</v>
      </c>
      <c r="H960" s="2">
        <v>97</v>
      </c>
      <c r="I960" t="s">
        <v>42</v>
      </c>
      <c r="J960" t="s">
        <v>9</v>
      </c>
      <c r="K960" s="2">
        <v>3.81</v>
      </c>
      <c r="L960" s="3">
        <v>682.41</v>
      </c>
      <c r="M960" s="3">
        <f>orders_1[[#This Row],[products.Base_Price]]*orders_1[[#This Row],[Quantity]]</f>
        <v>66193.77</v>
      </c>
      <c r="N960" t="s">
        <v>20</v>
      </c>
      <c r="O960" t="s">
        <v>25</v>
      </c>
      <c r="P960" t="s">
        <v>19</v>
      </c>
    </row>
    <row r="961" spans="1:16" x14ac:dyDescent="0.3">
      <c r="A961" s="2">
        <v>10960</v>
      </c>
      <c r="B961" s="2">
        <v>841</v>
      </c>
      <c r="C961" s="2">
        <v>2020</v>
      </c>
      <c r="D961" s="2">
        <v>311</v>
      </c>
      <c r="E961" s="4">
        <v>45489</v>
      </c>
      <c r="F961" s="4">
        <v>45490</v>
      </c>
      <c r="G961" s="2">
        <f t="shared" si="14"/>
        <v>1</v>
      </c>
      <c r="H961" s="2">
        <v>9</v>
      </c>
      <c r="I961" t="s">
        <v>42</v>
      </c>
      <c r="J961" t="s">
        <v>27</v>
      </c>
      <c r="K961" s="2">
        <v>35.94</v>
      </c>
      <c r="L961" s="3">
        <v>44.04</v>
      </c>
      <c r="M961" s="3">
        <f>orders_1[[#This Row],[products.Base_Price]]*orders_1[[#This Row],[Quantity]]</f>
        <v>396.36</v>
      </c>
      <c r="N961" t="s">
        <v>26</v>
      </c>
      <c r="O961" t="s">
        <v>10</v>
      </c>
      <c r="P961" t="s">
        <v>11</v>
      </c>
    </row>
    <row r="962" spans="1:16" x14ac:dyDescent="0.3">
      <c r="A962" s="2">
        <v>10961</v>
      </c>
      <c r="B962" s="2">
        <v>756</v>
      </c>
      <c r="C962" s="2">
        <v>2044</v>
      </c>
      <c r="D962" s="2">
        <v>312</v>
      </c>
      <c r="E962" s="4">
        <v>45312</v>
      </c>
      <c r="F962" s="4">
        <v>45319</v>
      </c>
      <c r="G962" s="2">
        <f t="shared" ref="G962:G1025" si="15">F962-E962</f>
        <v>7</v>
      </c>
      <c r="H962" s="2">
        <v>87</v>
      </c>
      <c r="I962" t="s">
        <v>42</v>
      </c>
      <c r="J962" t="s">
        <v>21</v>
      </c>
      <c r="K962" s="2">
        <v>11.44</v>
      </c>
      <c r="L962" s="3">
        <v>939.99</v>
      </c>
      <c r="M962" s="3">
        <f>orders_1[[#This Row],[products.Base_Price]]*orders_1[[#This Row],[Quantity]]</f>
        <v>81779.13</v>
      </c>
      <c r="N962" t="s">
        <v>15</v>
      </c>
      <c r="O962" t="s">
        <v>10</v>
      </c>
      <c r="P962" t="s">
        <v>11</v>
      </c>
    </row>
    <row r="963" spans="1:16" x14ac:dyDescent="0.3">
      <c r="A963" s="2">
        <v>10962</v>
      </c>
      <c r="B963" s="2">
        <v>732</v>
      </c>
      <c r="C963" s="2">
        <v>2053</v>
      </c>
      <c r="D963" s="2">
        <v>314</v>
      </c>
      <c r="E963" s="4">
        <v>45650</v>
      </c>
      <c r="F963" s="4">
        <v>45654</v>
      </c>
      <c r="G963" s="2">
        <f t="shared" si="15"/>
        <v>4</v>
      </c>
      <c r="H963" s="2">
        <v>13</v>
      </c>
      <c r="I963" t="s">
        <v>42</v>
      </c>
      <c r="J963" t="s">
        <v>22</v>
      </c>
      <c r="K963" s="2">
        <v>34.54</v>
      </c>
      <c r="L963" s="3">
        <v>162.21</v>
      </c>
      <c r="M963" s="3">
        <f>orders_1[[#This Row],[products.Base_Price]]*orders_1[[#This Row],[Quantity]]</f>
        <v>2108.73</v>
      </c>
      <c r="N963" t="s">
        <v>17</v>
      </c>
      <c r="O963" t="s">
        <v>14</v>
      </c>
      <c r="P963" t="s">
        <v>19</v>
      </c>
    </row>
    <row r="964" spans="1:16" x14ac:dyDescent="0.3">
      <c r="A964" s="2">
        <v>10963</v>
      </c>
      <c r="B964" s="2">
        <v>548</v>
      </c>
      <c r="C964" s="2">
        <v>2090</v>
      </c>
      <c r="D964" s="2">
        <v>303</v>
      </c>
      <c r="E964" s="4">
        <v>45543</v>
      </c>
      <c r="F964" s="4">
        <v>45544</v>
      </c>
      <c r="G964" s="2">
        <f t="shared" si="15"/>
        <v>1</v>
      </c>
      <c r="H964" s="2">
        <v>7</v>
      </c>
      <c r="I964" t="s">
        <v>39</v>
      </c>
      <c r="J964" t="s">
        <v>22</v>
      </c>
      <c r="K964" s="2">
        <v>38.729999999999997</v>
      </c>
      <c r="L964" s="3">
        <v>913.68</v>
      </c>
      <c r="M964" s="3">
        <f>orders_1[[#This Row],[products.Base_Price]]*orders_1[[#This Row],[Quantity]]</f>
        <v>6395.7599999999993</v>
      </c>
      <c r="N964" t="s">
        <v>15</v>
      </c>
      <c r="O964" t="s">
        <v>10</v>
      </c>
      <c r="P964" t="s">
        <v>16</v>
      </c>
    </row>
    <row r="965" spans="1:16" x14ac:dyDescent="0.3">
      <c r="A965" s="2">
        <v>10964</v>
      </c>
      <c r="B965" s="2">
        <v>867</v>
      </c>
      <c r="C965" s="2">
        <v>2026</v>
      </c>
      <c r="D965" s="2">
        <v>311</v>
      </c>
      <c r="E965" s="4">
        <v>45419</v>
      </c>
      <c r="F965" s="4">
        <v>45423</v>
      </c>
      <c r="G965" s="2">
        <f t="shared" si="15"/>
        <v>4</v>
      </c>
      <c r="H965" s="2">
        <v>91</v>
      </c>
      <c r="I965" t="s">
        <v>39</v>
      </c>
      <c r="J965" t="s">
        <v>22</v>
      </c>
      <c r="K965" s="2">
        <v>23.02</v>
      </c>
      <c r="L965" s="3">
        <v>858.57</v>
      </c>
      <c r="M965" s="3">
        <f>orders_1[[#This Row],[products.Base_Price]]*orders_1[[#This Row],[Quantity]]</f>
        <v>78129.87000000001</v>
      </c>
      <c r="N965" t="s">
        <v>26</v>
      </c>
      <c r="O965" t="s">
        <v>10</v>
      </c>
      <c r="P965" t="s">
        <v>11</v>
      </c>
    </row>
    <row r="966" spans="1:16" x14ac:dyDescent="0.3">
      <c r="A966" s="2">
        <v>10965</v>
      </c>
      <c r="B966" s="2">
        <v>537</v>
      </c>
      <c r="C966" s="2">
        <v>2022</v>
      </c>
      <c r="D966" s="2">
        <v>309</v>
      </c>
      <c r="E966" s="4">
        <v>45351</v>
      </c>
      <c r="F966" s="4">
        <v>45358</v>
      </c>
      <c r="G966" s="2">
        <f t="shared" si="15"/>
        <v>7</v>
      </c>
      <c r="H966" s="2">
        <v>97</v>
      </c>
      <c r="I966" t="s">
        <v>78</v>
      </c>
      <c r="J966" t="s">
        <v>13</v>
      </c>
      <c r="K966" s="2">
        <v>47.91</v>
      </c>
      <c r="L966" s="3">
        <v>756.92</v>
      </c>
      <c r="M966" s="3">
        <f>orders_1[[#This Row],[products.Base_Price]]*orders_1[[#This Row],[Quantity]]</f>
        <v>73421.239999999991</v>
      </c>
      <c r="N966" t="s">
        <v>24</v>
      </c>
      <c r="O966" t="s">
        <v>25</v>
      </c>
      <c r="P966" t="s">
        <v>16</v>
      </c>
    </row>
    <row r="967" spans="1:16" x14ac:dyDescent="0.3">
      <c r="A967" s="2">
        <v>10966</v>
      </c>
      <c r="B967" s="2">
        <v>807</v>
      </c>
      <c r="C967" s="2">
        <v>2021</v>
      </c>
      <c r="D967" s="2">
        <v>308</v>
      </c>
      <c r="E967" s="4">
        <v>45398</v>
      </c>
      <c r="F967" s="4">
        <v>45402</v>
      </c>
      <c r="G967" s="2">
        <f t="shared" si="15"/>
        <v>4</v>
      </c>
      <c r="H967" s="2">
        <v>34</v>
      </c>
      <c r="I967" t="s">
        <v>78</v>
      </c>
      <c r="J967" t="s">
        <v>9</v>
      </c>
      <c r="K967" s="2">
        <v>18.77</v>
      </c>
      <c r="L967" s="3">
        <v>259.72000000000003</v>
      </c>
      <c r="M967" s="3">
        <f>orders_1[[#This Row],[products.Base_Price]]*orders_1[[#This Row],[Quantity]]</f>
        <v>8830.4800000000014</v>
      </c>
      <c r="N967" t="s">
        <v>23</v>
      </c>
      <c r="O967" t="s">
        <v>14</v>
      </c>
      <c r="P967" t="s">
        <v>19</v>
      </c>
    </row>
    <row r="968" spans="1:16" x14ac:dyDescent="0.3">
      <c r="A968" s="2">
        <v>10967</v>
      </c>
      <c r="B968" s="2">
        <v>831</v>
      </c>
      <c r="C968" s="2">
        <v>2002</v>
      </c>
      <c r="D968" s="2">
        <v>309</v>
      </c>
      <c r="E968" s="4">
        <v>45507</v>
      </c>
      <c r="F968" s="4">
        <v>45513</v>
      </c>
      <c r="G968" s="2">
        <f t="shared" si="15"/>
        <v>6</v>
      </c>
      <c r="H968" s="2">
        <v>58</v>
      </c>
      <c r="I968" t="s">
        <v>39</v>
      </c>
      <c r="J968" t="s">
        <v>13</v>
      </c>
      <c r="K968" s="2">
        <v>30.78</v>
      </c>
      <c r="L968" s="3">
        <v>646.99</v>
      </c>
      <c r="M968" s="3">
        <f>orders_1[[#This Row],[products.Base_Price]]*orders_1[[#This Row],[Quantity]]</f>
        <v>37525.42</v>
      </c>
      <c r="N968" t="s">
        <v>24</v>
      </c>
      <c r="O968" t="s">
        <v>25</v>
      </c>
      <c r="P968" t="s">
        <v>16</v>
      </c>
    </row>
    <row r="969" spans="1:16" x14ac:dyDescent="0.3">
      <c r="A969" s="2">
        <v>10968</v>
      </c>
      <c r="B969" s="2">
        <v>667</v>
      </c>
      <c r="C969" s="2">
        <v>2073</v>
      </c>
      <c r="D969" s="2">
        <v>316</v>
      </c>
      <c r="E969" s="4">
        <v>45548</v>
      </c>
      <c r="F969" s="4">
        <v>45558</v>
      </c>
      <c r="G969" s="2">
        <f t="shared" si="15"/>
        <v>10</v>
      </c>
      <c r="H969" s="2">
        <v>63</v>
      </c>
      <c r="I969" t="s">
        <v>36</v>
      </c>
      <c r="J969" t="s">
        <v>9</v>
      </c>
      <c r="K969" s="2">
        <v>11.78</v>
      </c>
      <c r="L969" s="3">
        <v>416.74</v>
      </c>
      <c r="M969" s="3">
        <f>orders_1[[#This Row],[products.Base_Price]]*orders_1[[#This Row],[Quantity]]</f>
        <v>26254.62</v>
      </c>
      <c r="N969" t="s">
        <v>24</v>
      </c>
      <c r="O969" t="s">
        <v>25</v>
      </c>
      <c r="P969" t="s">
        <v>19</v>
      </c>
    </row>
    <row r="970" spans="1:16" x14ac:dyDescent="0.3">
      <c r="A970" s="2">
        <v>10969</v>
      </c>
      <c r="B970" s="2">
        <v>869</v>
      </c>
      <c r="C970" s="2">
        <v>2038</v>
      </c>
      <c r="D970" s="2">
        <v>315</v>
      </c>
      <c r="E970" s="4">
        <v>45471</v>
      </c>
      <c r="F970" s="4">
        <v>45481</v>
      </c>
      <c r="G970" s="2">
        <f t="shared" si="15"/>
        <v>10</v>
      </c>
      <c r="H970" s="2">
        <v>41</v>
      </c>
      <c r="I970" t="s">
        <v>39</v>
      </c>
      <c r="J970" t="s">
        <v>27</v>
      </c>
      <c r="K970" s="2">
        <v>26.62</v>
      </c>
      <c r="L970" s="3">
        <v>680</v>
      </c>
      <c r="M970" s="3">
        <f>orders_1[[#This Row],[products.Base_Price]]*orders_1[[#This Row],[Quantity]]</f>
        <v>27880</v>
      </c>
      <c r="N970" t="s">
        <v>15</v>
      </c>
      <c r="O970" t="s">
        <v>25</v>
      </c>
      <c r="P970" t="s">
        <v>19</v>
      </c>
    </row>
    <row r="971" spans="1:16" x14ac:dyDescent="0.3">
      <c r="A971" s="2">
        <v>10970</v>
      </c>
      <c r="B971" s="2">
        <v>592</v>
      </c>
      <c r="C971" s="2">
        <v>2049</v>
      </c>
      <c r="D971" s="2">
        <v>304</v>
      </c>
      <c r="E971" s="4">
        <v>45406</v>
      </c>
      <c r="F971" s="4">
        <v>45416</v>
      </c>
      <c r="G971" s="2">
        <f t="shared" si="15"/>
        <v>10</v>
      </c>
      <c r="H971" s="2">
        <v>20</v>
      </c>
      <c r="I971" t="s">
        <v>36</v>
      </c>
      <c r="J971" t="s">
        <v>27</v>
      </c>
      <c r="K971" s="2">
        <v>17.52</v>
      </c>
      <c r="L971" s="3">
        <v>832.77</v>
      </c>
      <c r="M971" s="3">
        <f>orders_1[[#This Row],[products.Base_Price]]*orders_1[[#This Row],[Quantity]]</f>
        <v>16655.400000000001</v>
      </c>
      <c r="N971" t="s">
        <v>17</v>
      </c>
      <c r="O971" t="s">
        <v>18</v>
      </c>
      <c r="P971" t="s">
        <v>19</v>
      </c>
    </row>
    <row r="972" spans="1:16" x14ac:dyDescent="0.3">
      <c r="A972" s="2">
        <v>10971</v>
      </c>
      <c r="B972" s="2">
        <v>571</v>
      </c>
      <c r="C972" s="2">
        <v>2052</v>
      </c>
      <c r="D972" s="2">
        <v>304</v>
      </c>
      <c r="E972" s="4">
        <v>45454</v>
      </c>
      <c r="F972" s="4">
        <v>45463</v>
      </c>
      <c r="G972" s="2">
        <f t="shared" si="15"/>
        <v>9</v>
      </c>
      <c r="H972" s="2">
        <v>94</v>
      </c>
      <c r="I972" t="s">
        <v>36</v>
      </c>
      <c r="J972" t="s">
        <v>27</v>
      </c>
      <c r="K972" s="2">
        <v>47.35</v>
      </c>
      <c r="L972" s="3">
        <v>665.2</v>
      </c>
      <c r="M972" s="3">
        <f>orders_1[[#This Row],[products.Base_Price]]*orders_1[[#This Row],[Quantity]]</f>
        <v>62528.800000000003</v>
      </c>
      <c r="N972" t="s">
        <v>17</v>
      </c>
      <c r="O972" t="s">
        <v>18</v>
      </c>
      <c r="P972" t="s">
        <v>19</v>
      </c>
    </row>
    <row r="973" spans="1:16" x14ac:dyDescent="0.3">
      <c r="A973" s="2">
        <v>10972</v>
      </c>
      <c r="B973" s="2">
        <v>764</v>
      </c>
      <c r="C973" s="2">
        <v>2025</v>
      </c>
      <c r="D973" s="2">
        <v>304</v>
      </c>
      <c r="E973" s="4">
        <v>45528</v>
      </c>
      <c r="F973" s="4">
        <v>45534</v>
      </c>
      <c r="G973" s="2">
        <f t="shared" si="15"/>
        <v>6</v>
      </c>
      <c r="H973" s="2">
        <v>33</v>
      </c>
      <c r="I973" t="s">
        <v>42</v>
      </c>
      <c r="J973" t="s">
        <v>13</v>
      </c>
      <c r="K973" s="2">
        <v>3.39</v>
      </c>
      <c r="L973" s="3">
        <v>303.87</v>
      </c>
      <c r="M973" s="3">
        <f>orders_1[[#This Row],[products.Base_Price]]*orders_1[[#This Row],[Quantity]]</f>
        <v>10027.710000000001</v>
      </c>
      <c r="N973" t="s">
        <v>17</v>
      </c>
      <c r="O973" t="s">
        <v>18</v>
      </c>
      <c r="P973" t="s">
        <v>19</v>
      </c>
    </row>
    <row r="974" spans="1:16" x14ac:dyDescent="0.3">
      <c r="A974" s="2">
        <v>10973</v>
      </c>
      <c r="B974" s="2">
        <v>656</v>
      </c>
      <c r="C974" s="2">
        <v>2079</v>
      </c>
      <c r="D974" s="2">
        <v>303</v>
      </c>
      <c r="E974" s="4">
        <v>45408</v>
      </c>
      <c r="F974" s="4">
        <v>45414</v>
      </c>
      <c r="G974" s="2">
        <f t="shared" si="15"/>
        <v>6</v>
      </c>
      <c r="H974" s="2">
        <v>15</v>
      </c>
      <c r="I974" t="s">
        <v>39</v>
      </c>
      <c r="J974" t="s">
        <v>22</v>
      </c>
      <c r="K974" s="2">
        <v>12.3</v>
      </c>
      <c r="L974" s="3">
        <v>99.7</v>
      </c>
      <c r="M974" s="3">
        <f>orders_1[[#This Row],[products.Base_Price]]*orders_1[[#This Row],[Quantity]]</f>
        <v>1495.5</v>
      </c>
      <c r="N974" t="s">
        <v>15</v>
      </c>
      <c r="O974" t="s">
        <v>10</v>
      </c>
      <c r="P974" t="s">
        <v>16</v>
      </c>
    </row>
    <row r="975" spans="1:16" x14ac:dyDescent="0.3">
      <c r="A975" s="2">
        <v>10974</v>
      </c>
      <c r="B975" s="2">
        <v>647</v>
      </c>
      <c r="C975" s="2">
        <v>2068</v>
      </c>
      <c r="D975" s="2">
        <v>306</v>
      </c>
      <c r="E975" s="4">
        <v>45527</v>
      </c>
      <c r="F975" s="4">
        <v>45537</v>
      </c>
      <c r="G975" s="2">
        <f t="shared" si="15"/>
        <v>10</v>
      </c>
      <c r="H975" s="2">
        <v>56</v>
      </c>
      <c r="I975" t="s">
        <v>78</v>
      </c>
      <c r="J975" t="s">
        <v>27</v>
      </c>
      <c r="K975" s="2">
        <v>47.08</v>
      </c>
      <c r="L975" s="3">
        <v>501.03</v>
      </c>
      <c r="M975" s="3">
        <f>orders_1[[#This Row],[products.Base_Price]]*orders_1[[#This Row],[Quantity]]</f>
        <v>28057.68</v>
      </c>
      <c r="N975" t="s">
        <v>8</v>
      </c>
      <c r="O975" t="s">
        <v>10</v>
      </c>
      <c r="P975" t="s">
        <v>16</v>
      </c>
    </row>
    <row r="976" spans="1:16" x14ac:dyDescent="0.3">
      <c r="A976" s="2">
        <v>10975</v>
      </c>
      <c r="B976" s="2">
        <v>549</v>
      </c>
      <c r="C976" s="2">
        <v>2054</v>
      </c>
      <c r="D976" s="2">
        <v>317</v>
      </c>
      <c r="E976" s="4">
        <v>45605</v>
      </c>
      <c r="F976" s="4">
        <v>45609</v>
      </c>
      <c r="G976" s="2">
        <f t="shared" si="15"/>
        <v>4</v>
      </c>
      <c r="H976" s="2">
        <v>63</v>
      </c>
      <c r="I976" t="s">
        <v>36</v>
      </c>
      <c r="J976" t="s">
        <v>9</v>
      </c>
      <c r="K976" s="2">
        <v>5.63</v>
      </c>
      <c r="L976" s="3">
        <v>304.22000000000003</v>
      </c>
      <c r="M976" s="3">
        <f>orders_1[[#This Row],[products.Base_Price]]*orders_1[[#This Row],[Quantity]]</f>
        <v>19165.86</v>
      </c>
      <c r="N976" t="s">
        <v>20</v>
      </c>
      <c r="O976" t="s">
        <v>25</v>
      </c>
      <c r="P976" t="s">
        <v>19</v>
      </c>
    </row>
    <row r="977" spans="1:16" x14ac:dyDescent="0.3">
      <c r="A977" s="2">
        <v>10976</v>
      </c>
      <c r="B977" s="2">
        <v>723</v>
      </c>
      <c r="C977" s="2">
        <v>2075</v>
      </c>
      <c r="D977" s="2">
        <v>311</v>
      </c>
      <c r="E977" s="4">
        <v>45457</v>
      </c>
      <c r="F977" s="4">
        <v>45460</v>
      </c>
      <c r="G977" s="2">
        <f t="shared" si="15"/>
        <v>3</v>
      </c>
      <c r="H977" s="2">
        <v>66</v>
      </c>
      <c r="I977" t="s">
        <v>39</v>
      </c>
      <c r="J977" t="s">
        <v>27</v>
      </c>
      <c r="K977" s="2">
        <v>16.57</v>
      </c>
      <c r="L977" s="3">
        <v>429.9</v>
      </c>
      <c r="M977" s="3">
        <f>orders_1[[#This Row],[products.Base_Price]]*orders_1[[#This Row],[Quantity]]</f>
        <v>28373.399999999998</v>
      </c>
      <c r="N977" t="s">
        <v>26</v>
      </c>
      <c r="O977" t="s">
        <v>10</v>
      </c>
      <c r="P977" t="s">
        <v>11</v>
      </c>
    </row>
    <row r="978" spans="1:16" x14ac:dyDescent="0.3">
      <c r="A978" s="2">
        <v>10977</v>
      </c>
      <c r="B978" s="2">
        <v>551</v>
      </c>
      <c r="C978" s="2">
        <v>2100</v>
      </c>
      <c r="D978" s="2">
        <v>315</v>
      </c>
      <c r="E978" s="4">
        <v>45350</v>
      </c>
      <c r="F978" s="4">
        <v>45357</v>
      </c>
      <c r="G978" s="2">
        <f t="shared" si="15"/>
        <v>7</v>
      </c>
      <c r="H978" s="2">
        <v>80</v>
      </c>
      <c r="I978" t="s">
        <v>78</v>
      </c>
      <c r="J978" t="s">
        <v>27</v>
      </c>
      <c r="K978" s="2">
        <v>2.2799999999999998</v>
      </c>
      <c r="L978" s="3">
        <v>813.8</v>
      </c>
      <c r="M978" s="3">
        <f>orders_1[[#This Row],[products.Base_Price]]*orders_1[[#This Row],[Quantity]]</f>
        <v>65104</v>
      </c>
      <c r="N978" t="s">
        <v>15</v>
      </c>
      <c r="O978" t="s">
        <v>25</v>
      </c>
      <c r="P978" t="s">
        <v>19</v>
      </c>
    </row>
    <row r="979" spans="1:16" x14ac:dyDescent="0.3">
      <c r="A979" s="2">
        <v>10978</v>
      </c>
      <c r="B979" s="2">
        <v>898</v>
      </c>
      <c r="C979" s="2">
        <v>2071</v>
      </c>
      <c r="D979" s="2">
        <v>318</v>
      </c>
      <c r="E979" s="4">
        <v>45343</v>
      </c>
      <c r="F979" s="4">
        <v>45345</v>
      </c>
      <c r="G979" s="2">
        <f t="shared" si="15"/>
        <v>2</v>
      </c>
      <c r="H979" s="2">
        <v>26</v>
      </c>
      <c r="I979" t="s">
        <v>78</v>
      </c>
      <c r="J979" t="s">
        <v>27</v>
      </c>
      <c r="K979" s="2">
        <v>47.19</v>
      </c>
      <c r="L979" s="3">
        <v>711.14</v>
      </c>
      <c r="M979" s="3">
        <f>orders_1[[#This Row],[products.Base_Price]]*orders_1[[#This Row],[Quantity]]</f>
        <v>18489.64</v>
      </c>
      <c r="N979" t="s">
        <v>17</v>
      </c>
      <c r="O979" t="s">
        <v>10</v>
      </c>
      <c r="P979" t="s">
        <v>19</v>
      </c>
    </row>
    <row r="980" spans="1:16" x14ac:dyDescent="0.3">
      <c r="A980" s="2">
        <v>10979</v>
      </c>
      <c r="B980" s="2">
        <v>529</v>
      </c>
      <c r="C980" s="2">
        <v>2073</v>
      </c>
      <c r="D980" s="2">
        <v>309</v>
      </c>
      <c r="E980" s="4">
        <v>45467</v>
      </c>
      <c r="F980" s="4">
        <v>45473</v>
      </c>
      <c r="G980" s="2">
        <f t="shared" si="15"/>
        <v>6</v>
      </c>
      <c r="H980" s="2">
        <v>18</v>
      </c>
      <c r="I980" t="s">
        <v>39</v>
      </c>
      <c r="J980" t="s">
        <v>9</v>
      </c>
      <c r="K980" s="2">
        <v>11.78</v>
      </c>
      <c r="L980" s="3">
        <v>416.74</v>
      </c>
      <c r="M980" s="3">
        <f>orders_1[[#This Row],[products.Base_Price]]*orders_1[[#This Row],[Quantity]]</f>
        <v>7501.32</v>
      </c>
      <c r="N980" t="s">
        <v>24</v>
      </c>
      <c r="O980" t="s">
        <v>25</v>
      </c>
      <c r="P980" t="s">
        <v>16</v>
      </c>
    </row>
    <row r="981" spans="1:16" x14ac:dyDescent="0.3">
      <c r="A981" s="2">
        <v>10980</v>
      </c>
      <c r="B981" s="2">
        <v>606</v>
      </c>
      <c r="C981" s="2">
        <v>2004</v>
      </c>
      <c r="D981" s="2">
        <v>306</v>
      </c>
      <c r="E981" s="4">
        <v>45601</v>
      </c>
      <c r="F981" s="4">
        <v>45610</v>
      </c>
      <c r="G981" s="2">
        <f t="shared" si="15"/>
        <v>9</v>
      </c>
      <c r="H981" s="2">
        <v>50</v>
      </c>
      <c r="I981" t="s">
        <v>39</v>
      </c>
      <c r="J981" t="s">
        <v>9</v>
      </c>
      <c r="K981" s="2">
        <v>4.34</v>
      </c>
      <c r="L981" s="3">
        <v>52.14</v>
      </c>
      <c r="M981" s="3">
        <f>orders_1[[#This Row],[products.Base_Price]]*orders_1[[#This Row],[Quantity]]</f>
        <v>2607</v>
      </c>
      <c r="N981" t="s">
        <v>8</v>
      </c>
      <c r="O981" t="s">
        <v>10</v>
      </c>
      <c r="P981" t="s">
        <v>16</v>
      </c>
    </row>
    <row r="982" spans="1:16" x14ac:dyDescent="0.3">
      <c r="A982" s="2">
        <v>10981</v>
      </c>
      <c r="B982" s="2">
        <v>778</v>
      </c>
      <c r="C982" s="2">
        <v>2100</v>
      </c>
      <c r="D982" s="2">
        <v>316</v>
      </c>
      <c r="E982" s="4">
        <v>45422</v>
      </c>
      <c r="F982" s="4">
        <v>45427</v>
      </c>
      <c r="G982" s="2">
        <f t="shared" si="15"/>
        <v>5</v>
      </c>
      <c r="H982" s="2">
        <v>35</v>
      </c>
      <c r="I982" t="s">
        <v>78</v>
      </c>
      <c r="J982" t="s">
        <v>27</v>
      </c>
      <c r="K982" s="2">
        <v>2.2799999999999998</v>
      </c>
      <c r="L982" s="3">
        <v>813.8</v>
      </c>
      <c r="M982" s="3">
        <f>orders_1[[#This Row],[products.Base_Price]]*orders_1[[#This Row],[Quantity]]</f>
        <v>28483</v>
      </c>
      <c r="N982" t="s">
        <v>24</v>
      </c>
      <c r="O982" t="s">
        <v>25</v>
      </c>
      <c r="P982" t="s">
        <v>19</v>
      </c>
    </row>
    <row r="983" spans="1:16" x14ac:dyDescent="0.3">
      <c r="A983" s="2">
        <v>10982</v>
      </c>
      <c r="B983" s="2">
        <v>551</v>
      </c>
      <c r="C983" s="2">
        <v>2099</v>
      </c>
      <c r="D983" s="2">
        <v>318</v>
      </c>
      <c r="E983" s="4">
        <v>45477</v>
      </c>
      <c r="F983" s="4">
        <v>45483</v>
      </c>
      <c r="G983" s="2">
        <f t="shared" si="15"/>
        <v>6</v>
      </c>
      <c r="H983" s="2">
        <v>85</v>
      </c>
      <c r="I983" t="s">
        <v>42</v>
      </c>
      <c r="J983" t="s">
        <v>21</v>
      </c>
      <c r="K983" s="2">
        <v>31.62</v>
      </c>
      <c r="L983" s="3">
        <v>652.77</v>
      </c>
      <c r="M983" s="3">
        <f>orders_1[[#This Row],[products.Base_Price]]*orders_1[[#This Row],[Quantity]]</f>
        <v>55485.45</v>
      </c>
      <c r="N983" t="s">
        <v>17</v>
      </c>
      <c r="O983" t="s">
        <v>10</v>
      </c>
      <c r="P983" t="s">
        <v>19</v>
      </c>
    </row>
    <row r="984" spans="1:16" x14ac:dyDescent="0.3">
      <c r="A984" s="2">
        <v>10983</v>
      </c>
      <c r="B984" s="2">
        <v>775</v>
      </c>
      <c r="C984" s="2">
        <v>2098</v>
      </c>
      <c r="D984" s="2">
        <v>314</v>
      </c>
      <c r="E984" s="4">
        <v>45411</v>
      </c>
      <c r="F984" s="4">
        <v>45419</v>
      </c>
      <c r="G984" s="2">
        <f t="shared" si="15"/>
        <v>8</v>
      </c>
      <c r="H984" s="2">
        <v>55</v>
      </c>
      <c r="I984" t="s">
        <v>78</v>
      </c>
      <c r="J984" t="s">
        <v>13</v>
      </c>
      <c r="K984" s="2">
        <v>25.35</v>
      </c>
      <c r="L984" s="3">
        <v>571.58000000000004</v>
      </c>
      <c r="M984" s="3">
        <f>orders_1[[#This Row],[products.Base_Price]]*orders_1[[#This Row],[Quantity]]</f>
        <v>31436.9</v>
      </c>
      <c r="N984" t="s">
        <v>17</v>
      </c>
      <c r="O984" t="s">
        <v>14</v>
      </c>
      <c r="P984" t="s">
        <v>19</v>
      </c>
    </row>
    <row r="985" spans="1:16" x14ac:dyDescent="0.3">
      <c r="A985" s="2">
        <v>10984</v>
      </c>
      <c r="B985" s="2">
        <v>655</v>
      </c>
      <c r="C985" s="2">
        <v>2092</v>
      </c>
      <c r="D985" s="2">
        <v>312</v>
      </c>
      <c r="E985" s="4">
        <v>45542</v>
      </c>
      <c r="F985" s="4">
        <v>45544</v>
      </c>
      <c r="G985" s="2">
        <f t="shared" si="15"/>
        <v>2</v>
      </c>
      <c r="H985" s="2">
        <v>80</v>
      </c>
      <c r="I985" t="s">
        <v>36</v>
      </c>
      <c r="J985" t="s">
        <v>22</v>
      </c>
      <c r="K985" s="2">
        <v>30.97</v>
      </c>
      <c r="L985" s="3">
        <v>521.23</v>
      </c>
      <c r="M985" s="3">
        <f>orders_1[[#This Row],[products.Base_Price]]*orders_1[[#This Row],[Quantity]]</f>
        <v>41698.400000000001</v>
      </c>
      <c r="N985" t="s">
        <v>15</v>
      </c>
      <c r="O985" t="s">
        <v>10</v>
      </c>
      <c r="P985" t="s">
        <v>11</v>
      </c>
    </row>
    <row r="986" spans="1:16" x14ac:dyDescent="0.3">
      <c r="A986" s="2">
        <v>10985</v>
      </c>
      <c r="B986" s="2">
        <v>774</v>
      </c>
      <c r="C986" s="2">
        <v>2097</v>
      </c>
      <c r="D986" s="2">
        <v>305</v>
      </c>
      <c r="E986" s="4">
        <v>45366</v>
      </c>
      <c r="F986" s="4">
        <v>45375</v>
      </c>
      <c r="G986" s="2">
        <f t="shared" si="15"/>
        <v>9</v>
      </c>
      <c r="H986" s="2">
        <v>33</v>
      </c>
      <c r="I986" t="s">
        <v>39</v>
      </c>
      <c r="J986" t="s">
        <v>27</v>
      </c>
      <c r="K986" s="2">
        <v>30.63</v>
      </c>
      <c r="L986" s="3">
        <v>828.74</v>
      </c>
      <c r="M986" s="3">
        <f>orders_1[[#This Row],[products.Base_Price]]*orders_1[[#This Row],[Quantity]]</f>
        <v>27348.420000000002</v>
      </c>
      <c r="N986" t="s">
        <v>20</v>
      </c>
      <c r="O986" t="s">
        <v>10</v>
      </c>
      <c r="P986" t="s">
        <v>19</v>
      </c>
    </row>
    <row r="987" spans="1:16" x14ac:dyDescent="0.3">
      <c r="A987" s="2">
        <v>10986</v>
      </c>
      <c r="B987" s="2">
        <v>509</v>
      </c>
      <c r="C987" s="2">
        <v>2038</v>
      </c>
      <c r="D987" s="2">
        <v>310</v>
      </c>
      <c r="E987" s="4">
        <v>45582</v>
      </c>
      <c r="F987" s="4">
        <v>45585</v>
      </c>
      <c r="G987" s="2">
        <f t="shared" si="15"/>
        <v>3</v>
      </c>
      <c r="H987" s="2">
        <v>98</v>
      </c>
      <c r="I987" t="s">
        <v>42</v>
      </c>
      <c r="J987" t="s">
        <v>27</v>
      </c>
      <c r="K987" s="2">
        <v>26.62</v>
      </c>
      <c r="L987" s="3">
        <v>680</v>
      </c>
      <c r="M987" s="3">
        <f>orders_1[[#This Row],[products.Base_Price]]*orders_1[[#This Row],[Quantity]]</f>
        <v>66640</v>
      </c>
      <c r="N987" t="s">
        <v>26</v>
      </c>
      <c r="O987" t="s">
        <v>25</v>
      </c>
      <c r="P987" t="s">
        <v>11</v>
      </c>
    </row>
    <row r="988" spans="1:16" x14ac:dyDescent="0.3">
      <c r="A988" s="2">
        <v>10987</v>
      </c>
      <c r="B988" s="2">
        <v>600</v>
      </c>
      <c r="C988" s="2">
        <v>2096</v>
      </c>
      <c r="D988" s="2">
        <v>310</v>
      </c>
      <c r="E988" s="4">
        <v>45547</v>
      </c>
      <c r="F988" s="4">
        <v>45550</v>
      </c>
      <c r="G988" s="2">
        <f t="shared" si="15"/>
        <v>3</v>
      </c>
      <c r="H988" s="2">
        <v>65</v>
      </c>
      <c r="I988" t="s">
        <v>36</v>
      </c>
      <c r="J988" t="s">
        <v>22</v>
      </c>
      <c r="K988" s="2">
        <v>20.04</v>
      </c>
      <c r="L988" s="3">
        <v>70.19</v>
      </c>
      <c r="M988" s="3">
        <f>orders_1[[#This Row],[products.Base_Price]]*orders_1[[#This Row],[Quantity]]</f>
        <v>4562.3499999999995</v>
      </c>
      <c r="N988" t="s">
        <v>26</v>
      </c>
      <c r="O988" t="s">
        <v>25</v>
      </c>
      <c r="P988" t="s">
        <v>11</v>
      </c>
    </row>
    <row r="989" spans="1:16" x14ac:dyDescent="0.3">
      <c r="A989" s="2">
        <v>10988</v>
      </c>
      <c r="B989" s="2">
        <v>546</v>
      </c>
      <c r="C989" s="2">
        <v>2020</v>
      </c>
      <c r="D989" s="2">
        <v>318</v>
      </c>
      <c r="E989" s="4">
        <v>45573</v>
      </c>
      <c r="F989" s="4">
        <v>45576</v>
      </c>
      <c r="G989" s="2">
        <f t="shared" si="15"/>
        <v>3</v>
      </c>
      <c r="H989" s="2">
        <v>66</v>
      </c>
      <c r="I989" t="s">
        <v>36</v>
      </c>
      <c r="J989" t="s">
        <v>27</v>
      </c>
      <c r="K989" s="2">
        <v>35.94</v>
      </c>
      <c r="L989" s="3">
        <v>44.04</v>
      </c>
      <c r="M989" s="3">
        <f>orders_1[[#This Row],[products.Base_Price]]*orders_1[[#This Row],[Quantity]]</f>
        <v>2906.64</v>
      </c>
      <c r="N989" t="s">
        <v>17</v>
      </c>
      <c r="O989" t="s">
        <v>10</v>
      </c>
      <c r="P989" t="s">
        <v>19</v>
      </c>
    </row>
    <row r="990" spans="1:16" x14ac:dyDescent="0.3">
      <c r="A990" s="2">
        <v>10989</v>
      </c>
      <c r="B990" s="2">
        <v>622</v>
      </c>
      <c r="C990" s="2">
        <v>2099</v>
      </c>
      <c r="D990" s="2">
        <v>316</v>
      </c>
      <c r="E990" s="4">
        <v>45567</v>
      </c>
      <c r="F990" s="4">
        <v>45577</v>
      </c>
      <c r="G990" s="2">
        <f t="shared" si="15"/>
        <v>10</v>
      </c>
      <c r="H990" s="2">
        <v>25</v>
      </c>
      <c r="I990" t="s">
        <v>42</v>
      </c>
      <c r="J990" t="s">
        <v>21</v>
      </c>
      <c r="K990" s="2">
        <v>31.62</v>
      </c>
      <c r="L990" s="3">
        <v>652.77</v>
      </c>
      <c r="M990" s="3">
        <f>orders_1[[#This Row],[products.Base_Price]]*orders_1[[#This Row],[Quantity]]</f>
        <v>16319.25</v>
      </c>
      <c r="N990" t="s">
        <v>24</v>
      </c>
      <c r="O990" t="s">
        <v>25</v>
      </c>
      <c r="P990" t="s">
        <v>19</v>
      </c>
    </row>
    <row r="991" spans="1:16" x14ac:dyDescent="0.3">
      <c r="A991" s="2">
        <v>10990</v>
      </c>
      <c r="B991" s="2">
        <v>738</v>
      </c>
      <c r="C991" s="2">
        <v>2058</v>
      </c>
      <c r="D991" s="2">
        <v>305</v>
      </c>
      <c r="E991" s="4">
        <v>45529</v>
      </c>
      <c r="F991" s="4">
        <v>45539</v>
      </c>
      <c r="G991" s="2">
        <f t="shared" si="15"/>
        <v>10</v>
      </c>
      <c r="H991" s="2">
        <v>24</v>
      </c>
      <c r="I991" t="s">
        <v>36</v>
      </c>
      <c r="J991" t="s">
        <v>27</v>
      </c>
      <c r="K991" s="2">
        <v>28.48</v>
      </c>
      <c r="L991" s="3">
        <v>13.34</v>
      </c>
      <c r="M991" s="3">
        <f>orders_1[[#This Row],[products.Base_Price]]*orders_1[[#This Row],[Quantity]]</f>
        <v>320.15999999999997</v>
      </c>
      <c r="N991" t="s">
        <v>20</v>
      </c>
      <c r="O991" t="s">
        <v>10</v>
      </c>
      <c r="P991" t="s">
        <v>19</v>
      </c>
    </row>
    <row r="992" spans="1:16" x14ac:dyDescent="0.3">
      <c r="A992" s="2">
        <v>10991</v>
      </c>
      <c r="B992" s="2">
        <v>755</v>
      </c>
      <c r="C992" s="2">
        <v>2023</v>
      </c>
      <c r="D992" s="2">
        <v>304</v>
      </c>
      <c r="E992" s="4">
        <v>45421</v>
      </c>
      <c r="F992" s="4">
        <v>45424</v>
      </c>
      <c r="G992" s="2">
        <f t="shared" si="15"/>
        <v>3</v>
      </c>
      <c r="H992" s="2">
        <v>90</v>
      </c>
      <c r="I992" t="s">
        <v>39</v>
      </c>
      <c r="J992" t="s">
        <v>13</v>
      </c>
      <c r="K992" s="2">
        <v>39.520000000000003</v>
      </c>
      <c r="L992" s="3">
        <v>618.29999999999995</v>
      </c>
      <c r="M992" s="3">
        <f>orders_1[[#This Row],[products.Base_Price]]*orders_1[[#This Row],[Quantity]]</f>
        <v>55646.999999999993</v>
      </c>
      <c r="N992" t="s">
        <v>17</v>
      </c>
      <c r="O992" t="s">
        <v>18</v>
      </c>
      <c r="P992" t="s">
        <v>19</v>
      </c>
    </row>
    <row r="993" spans="1:16" x14ac:dyDescent="0.3">
      <c r="A993" s="2">
        <v>10992</v>
      </c>
      <c r="B993" s="2">
        <v>880</v>
      </c>
      <c r="C993" s="2">
        <v>2039</v>
      </c>
      <c r="D993" s="2">
        <v>313</v>
      </c>
      <c r="E993" s="4">
        <v>45475</v>
      </c>
      <c r="F993" s="4">
        <v>45476</v>
      </c>
      <c r="G993" s="2">
        <f t="shared" si="15"/>
        <v>1</v>
      </c>
      <c r="H993" s="2">
        <v>46</v>
      </c>
      <c r="I993" t="s">
        <v>78</v>
      </c>
      <c r="J993" t="s">
        <v>27</v>
      </c>
      <c r="K993" s="2">
        <v>2.69</v>
      </c>
      <c r="L993" s="3">
        <v>350.51</v>
      </c>
      <c r="M993" s="3">
        <f>orders_1[[#This Row],[products.Base_Price]]*orders_1[[#This Row],[Quantity]]</f>
        <v>16123.46</v>
      </c>
      <c r="N993" t="s">
        <v>15</v>
      </c>
      <c r="O993" t="s">
        <v>25</v>
      </c>
      <c r="P993" t="s">
        <v>16</v>
      </c>
    </row>
    <row r="994" spans="1:16" x14ac:dyDescent="0.3">
      <c r="A994" s="2">
        <v>10993</v>
      </c>
      <c r="B994" s="2">
        <v>889</v>
      </c>
      <c r="C994" s="2">
        <v>2034</v>
      </c>
      <c r="D994" s="2">
        <v>306</v>
      </c>
      <c r="E994" s="4">
        <v>45636</v>
      </c>
      <c r="F994" s="4">
        <v>45641</v>
      </c>
      <c r="G994" s="2">
        <f t="shared" si="15"/>
        <v>5</v>
      </c>
      <c r="H994" s="2">
        <v>15</v>
      </c>
      <c r="I994" t="s">
        <v>42</v>
      </c>
      <c r="J994" t="s">
        <v>27</v>
      </c>
      <c r="K994" s="2">
        <v>26.17</v>
      </c>
      <c r="L994" s="3">
        <v>540.23</v>
      </c>
      <c r="M994" s="3">
        <f>orders_1[[#This Row],[products.Base_Price]]*orders_1[[#This Row],[Quantity]]</f>
        <v>8103.4500000000007</v>
      </c>
      <c r="N994" t="s">
        <v>8</v>
      </c>
      <c r="O994" t="s">
        <v>10</v>
      </c>
      <c r="P994" t="s">
        <v>16</v>
      </c>
    </row>
    <row r="995" spans="1:16" x14ac:dyDescent="0.3">
      <c r="A995" s="2">
        <v>10994</v>
      </c>
      <c r="B995" s="2">
        <v>550</v>
      </c>
      <c r="C995" s="2">
        <v>2041</v>
      </c>
      <c r="D995" s="2">
        <v>301</v>
      </c>
      <c r="E995" s="4">
        <v>45360</v>
      </c>
      <c r="F995" s="4">
        <v>45365</v>
      </c>
      <c r="G995" s="2">
        <f t="shared" si="15"/>
        <v>5</v>
      </c>
      <c r="H995" s="2">
        <v>98</v>
      </c>
      <c r="I995" t="s">
        <v>42</v>
      </c>
      <c r="J995" t="s">
        <v>22</v>
      </c>
      <c r="K995" s="2">
        <v>48.2</v>
      </c>
      <c r="L995" s="3">
        <v>792.77</v>
      </c>
      <c r="M995" s="3">
        <f>orders_1[[#This Row],[products.Base_Price]]*orders_1[[#This Row],[Quantity]]</f>
        <v>77691.459999999992</v>
      </c>
      <c r="N995" t="s">
        <v>8</v>
      </c>
      <c r="O995" t="s">
        <v>10</v>
      </c>
      <c r="P995" t="s">
        <v>11</v>
      </c>
    </row>
    <row r="996" spans="1:16" x14ac:dyDescent="0.3">
      <c r="A996" s="2">
        <v>10995</v>
      </c>
      <c r="B996" s="2">
        <v>503</v>
      </c>
      <c r="C996" s="2">
        <v>2064</v>
      </c>
      <c r="D996" s="2">
        <v>312</v>
      </c>
      <c r="E996" s="4">
        <v>45494</v>
      </c>
      <c r="F996" s="4">
        <v>45500</v>
      </c>
      <c r="G996" s="2">
        <f t="shared" si="15"/>
        <v>6</v>
      </c>
      <c r="H996" s="2">
        <v>64</v>
      </c>
      <c r="I996" t="s">
        <v>78</v>
      </c>
      <c r="J996" t="s">
        <v>21</v>
      </c>
      <c r="K996" s="2">
        <v>15.41</v>
      </c>
      <c r="L996" s="3">
        <v>203.79</v>
      </c>
      <c r="M996" s="3">
        <f>orders_1[[#This Row],[products.Base_Price]]*orders_1[[#This Row],[Quantity]]</f>
        <v>13042.56</v>
      </c>
      <c r="N996" t="s">
        <v>15</v>
      </c>
      <c r="O996" t="s">
        <v>10</v>
      </c>
      <c r="P996" t="s">
        <v>11</v>
      </c>
    </row>
    <row r="997" spans="1:16" x14ac:dyDescent="0.3">
      <c r="A997" s="2">
        <v>10996</v>
      </c>
      <c r="B997" s="2">
        <v>709</v>
      </c>
      <c r="C997" s="2">
        <v>2037</v>
      </c>
      <c r="D997" s="2">
        <v>312</v>
      </c>
      <c r="E997" s="4">
        <v>45501</v>
      </c>
      <c r="F997" s="4">
        <v>45509</v>
      </c>
      <c r="G997" s="2">
        <f t="shared" si="15"/>
        <v>8</v>
      </c>
      <c r="H997" s="2">
        <v>20</v>
      </c>
      <c r="I997" t="s">
        <v>78</v>
      </c>
      <c r="J997" t="s">
        <v>21</v>
      </c>
      <c r="K997" s="2">
        <v>29.23</v>
      </c>
      <c r="L997" s="3">
        <v>491.44</v>
      </c>
      <c r="M997" s="3">
        <f>orders_1[[#This Row],[products.Base_Price]]*orders_1[[#This Row],[Quantity]]</f>
        <v>9828.7999999999993</v>
      </c>
      <c r="N997" t="s">
        <v>15</v>
      </c>
      <c r="O997" t="s">
        <v>10</v>
      </c>
      <c r="P997" t="s">
        <v>11</v>
      </c>
    </row>
    <row r="998" spans="1:16" x14ac:dyDescent="0.3">
      <c r="A998" s="2">
        <v>10997</v>
      </c>
      <c r="B998" s="2">
        <v>509</v>
      </c>
      <c r="C998" s="2">
        <v>2022</v>
      </c>
      <c r="D998" s="2">
        <v>315</v>
      </c>
      <c r="E998" s="4">
        <v>45349</v>
      </c>
      <c r="F998" s="4">
        <v>45359</v>
      </c>
      <c r="G998" s="2">
        <f t="shared" si="15"/>
        <v>10</v>
      </c>
      <c r="H998" s="2">
        <v>28</v>
      </c>
      <c r="I998" t="s">
        <v>39</v>
      </c>
      <c r="J998" t="s">
        <v>13</v>
      </c>
      <c r="K998" s="2">
        <v>47.91</v>
      </c>
      <c r="L998" s="3">
        <v>756.92</v>
      </c>
      <c r="M998" s="3">
        <f>orders_1[[#This Row],[products.Base_Price]]*orders_1[[#This Row],[Quantity]]</f>
        <v>21193.759999999998</v>
      </c>
      <c r="N998" t="s">
        <v>15</v>
      </c>
      <c r="O998" t="s">
        <v>25</v>
      </c>
      <c r="P998" t="s">
        <v>19</v>
      </c>
    </row>
    <row r="999" spans="1:16" x14ac:dyDescent="0.3">
      <c r="A999" s="2">
        <v>10998</v>
      </c>
      <c r="B999" s="2">
        <v>551</v>
      </c>
      <c r="C999" s="2">
        <v>2076</v>
      </c>
      <c r="D999" s="2">
        <v>315</v>
      </c>
      <c r="E999" s="4">
        <v>45409</v>
      </c>
      <c r="F999" s="4">
        <v>45412</v>
      </c>
      <c r="G999" s="2">
        <f t="shared" si="15"/>
        <v>3</v>
      </c>
      <c r="H999" s="2">
        <v>37</v>
      </c>
      <c r="I999" t="s">
        <v>36</v>
      </c>
      <c r="J999" t="s">
        <v>13</v>
      </c>
      <c r="K999" s="2">
        <v>14.63</v>
      </c>
      <c r="L999" s="3">
        <v>638.11</v>
      </c>
      <c r="M999" s="3">
        <f>orders_1[[#This Row],[products.Base_Price]]*orders_1[[#This Row],[Quantity]]</f>
        <v>23610.07</v>
      </c>
      <c r="N999" t="s">
        <v>15</v>
      </c>
      <c r="O999" t="s">
        <v>25</v>
      </c>
      <c r="P999" t="s">
        <v>19</v>
      </c>
    </row>
    <row r="1000" spans="1:16" x14ac:dyDescent="0.3">
      <c r="A1000" s="2">
        <v>10999</v>
      </c>
      <c r="B1000" s="2">
        <v>878</v>
      </c>
      <c r="C1000" s="2">
        <v>2028</v>
      </c>
      <c r="D1000" s="2">
        <v>307</v>
      </c>
      <c r="E1000" s="4">
        <v>45462</v>
      </c>
      <c r="F1000" s="4">
        <v>45470</v>
      </c>
      <c r="G1000" s="2">
        <f t="shared" si="15"/>
        <v>8</v>
      </c>
      <c r="H1000" s="2">
        <v>73</v>
      </c>
      <c r="I1000" t="s">
        <v>42</v>
      </c>
      <c r="J1000" t="s">
        <v>13</v>
      </c>
      <c r="K1000" s="2">
        <v>30.34</v>
      </c>
      <c r="L1000" s="3">
        <v>630.65</v>
      </c>
      <c r="M1000" s="3">
        <f>orders_1[[#This Row],[products.Base_Price]]*orders_1[[#This Row],[Quantity]]</f>
        <v>46037.45</v>
      </c>
      <c r="N1000" t="s">
        <v>17</v>
      </c>
      <c r="O1000" t="s">
        <v>10</v>
      </c>
      <c r="P1000" t="s">
        <v>11</v>
      </c>
    </row>
    <row r="1001" spans="1:16" x14ac:dyDescent="0.3">
      <c r="A1001" s="2">
        <v>11000</v>
      </c>
      <c r="B1001" s="2">
        <v>547</v>
      </c>
      <c r="C1001" s="2">
        <v>2006</v>
      </c>
      <c r="D1001" s="2">
        <v>313</v>
      </c>
      <c r="E1001" s="4">
        <v>45322</v>
      </c>
      <c r="F1001" s="4">
        <v>45327</v>
      </c>
      <c r="G1001" s="2">
        <f t="shared" si="15"/>
        <v>5</v>
      </c>
      <c r="H1001" s="2">
        <v>76</v>
      </c>
      <c r="I1001" t="s">
        <v>42</v>
      </c>
      <c r="J1001" t="s">
        <v>22</v>
      </c>
      <c r="K1001" s="2">
        <v>41.47</v>
      </c>
      <c r="L1001" s="3">
        <v>541.85</v>
      </c>
      <c r="M1001" s="3">
        <f>orders_1[[#This Row],[products.Base_Price]]*orders_1[[#This Row],[Quantity]]</f>
        <v>41180.6</v>
      </c>
      <c r="N1001" t="s">
        <v>15</v>
      </c>
      <c r="O1001" t="s">
        <v>25</v>
      </c>
      <c r="P1001" t="s">
        <v>16</v>
      </c>
    </row>
    <row r="1002" spans="1:16" x14ac:dyDescent="0.3">
      <c r="A1002" s="2">
        <v>11001</v>
      </c>
      <c r="B1002" s="2">
        <v>871</v>
      </c>
      <c r="C1002" s="2">
        <v>2050</v>
      </c>
      <c r="D1002" s="2">
        <v>314</v>
      </c>
      <c r="E1002" s="4">
        <v>45530</v>
      </c>
      <c r="F1002" s="4">
        <v>45538</v>
      </c>
      <c r="G1002" s="2">
        <f t="shared" si="15"/>
        <v>8</v>
      </c>
      <c r="H1002" s="2">
        <v>2</v>
      </c>
      <c r="I1002" t="s">
        <v>42</v>
      </c>
      <c r="J1002" t="s">
        <v>21</v>
      </c>
      <c r="K1002" s="2">
        <v>36.43</v>
      </c>
      <c r="L1002" s="3">
        <v>507.16</v>
      </c>
      <c r="M1002" s="3">
        <f>orders_1[[#This Row],[products.Base_Price]]*orders_1[[#This Row],[Quantity]]</f>
        <v>1014.32</v>
      </c>
      <c r="N1002" t="s">
        <v>17</v>
      </c>
      <c r="O1002" t="s">
        <v>14</v>
      </c>
      <c r="P1002" t="s">
        <v>19</v>
      </c>
    </row>
    <row r="1003" spans="1:16" x14ac:dyDescent="0.3">
      <c r="A1003" s="2">
        <v>11002</v>
      </c>
      <c r="B1003" s="2">
        <v>693</v>
      </c>
      <c r="C1003" s="2">
        <v>2085</v>
      </c>
      <c r="D1003" s="2">
        <v>305</v>
      </c>
      <c r="E1003" s="4">
        <v>45420</v>
      </c>
      <c r="F1003" s="4">
        <v>45424</v>
      </c>
      <c r="G1003" s="2">
        <f t="shared" si="15"/>
        <v>4</v>
      </c>
      <c r="H1003" s="2">
        <v>50</v>
      </c>
      <c r="I1003" t="s">
        <v>39</v>
      </c>
      <c r="J1003" t="s">
        <v>22</v>
      </c>
      <c r="K1003" s="2">
        <v>47.56</v>
      </c>
      <c r="L1003" s="3">
        <v>131.63</v>
      </c>
      <c r="M1003" s="3">
        <f>orders_1[[#This Row],[products.Base_Price]]*orders_1[[#This Row],[Quantity]]</f>
        <v>6581.5</v>
      </c>
      <c r="N1003" t="s">
        <v>20</v>
      </c>
      <c r="O1003" t="s">
        <v>10</v>
      </c>
      <c r="P1003" t="s">
        <v>19</v>
      </c>
    </row>
    <row r="1004" spans="1:16" x14ac:dyDescent="0.3">
      <c r="A1004" s="2">
        <v>11003</v>
      </c>
      <c r="B1004" s="2">
        <v>880</v>
      </c>
      <c r="C1004" s="2">
        <v>2006</v>
      </c>
      <c r="D1004" s="2">
        <v>303</v>
      </c>
      <c r="E1004" s="4">
        <v>45310</v>
      </c>
      <c r="F1004" s="4">
        <v>45320</v>
      </c>
      <c r="G1004" s="2">
        <f t="shared" si="15"/>
        <v>10</v>
      </c>
      <c r="H1004" s="2">
        <v>12</v>
      </c>
      <c r="I1004" t="s">
        <v>42</v>
      </c>
      <c r="J1004" t="s">
        <v>22</v>
      </c>
      <c r="K1004" s="2">
        <v>41.47</v>
      </c>
      <c r="L1004" s="3">
        <v>541.85</v>
      </c>
      <c r="M1004" s="3">
        <f>orders_1[[#This Row],[products.Base_Price]]*orders_1[[#This Row],[Quantity]]</f>
        <v>6502.2000000000007</v>
      </c>
      <c r="N1004" t="s">
        <v>15</v>
      </c>
      <c r="O1004" t="s">
        <v>10</v>
      </c>
      <c r="P1004" t="s">
        <v>16</v>
      </c>
    </row>
    <row r="1005" spans="1:16" x14ac:dyDescent="0.3">
      <c r="A1005" s="2">
        <v>11004</v>
      </c>
      <c r="B1005" s="2">
        <v>856</v>
      </c>
      <c r="C1005" s="2">
        <v>2078</v>
      </c>
      <c r="D1005" s="2">
        <v>317</v>
      </c>
      <c r="E1005" s="4">
        <v>45403</v>
      </c>
      <c r="F1005" s="4">
        <v>45404</v>
      </c>
      <c r="G1005" s="2">
        <f t="shared" si="15"/>
        <v>1</v>
      </c>
      <c r="H1005" s="2">
        <v>19</v>
      </c>
      <c r="I1005" t="s">
        <v>42</v>
      </c>
      <c r="J1005" t="s">
        <v>21</v>
      </c>
      <c r="K1005" s="2">
        <v>14.85</v>
      </c>
      <c r="L1005" s="3">
        <v>517.03</v>
      </c>
      <c r="M1005" s="3">
        <f>orders_1[[#This Row],[products.Base_Price]]*orders_1[[#This Row],[Quantity]]</f>
        <v>9823.57</v>
      </c>
      <c r="N1005" t="s">
        <v>20</v>
      </c>
      <c r="O1005" t="s">
        <v>25</v>
      </c>
      <c r="P1005" t="s">
        <v>19</v>
      </c>
    </row>
    <row r="1006" spans="1:16" x14ac:dyDescent="0.3">
      <c r="A1006" s="2">
        <v>11005</v>
      </c>
      <c r="B1006" s="2">
        <v>873</v>
      </c>
      <c r="C1006" s="2">
        <v>2085</v>
      </c>
      <c r="D1006" s="2">
        <v>307</v>
      </c>
      <c r="E1006" s="4">
        <v>45503</v>
      </c>
      <c r="F1006" s="4">
        <v>45506</v>
      </c>
      <c r="G1006" s="2">
        <f t="shared" si="15"/>
        <v>3</v>
      </c>
      <c r="H1006" s="2">
        <v>5</v>
      </c>
      <c r="I1006" t="s">
        <v>36</v>
      </c>
      <c r="J1006" t="s">
        <v>22</v>
      </c>
      <c r="K1006" s="2">
        <v>47.56</v>
      </c>
      <c r="L1006" s="3">
        <v>131.63</v>
      </c>
      <c r="M1006" s="3">
        <f>orders_1[[#This Row],[products.Base_Price]]*orders_1[[#This Row],[Quantity]]</f>
        <v>658.15</v>
      </c>
      <c r="N1006" t="s">
        <v>17</v>
      </c>
      <c r="O1006" t="s">
        <v>10</v>
      </c>
      <c r="P1006" t="s">
        <v>11</v>
      </c>
    </row>
    <row r="1007" spans="1:16" x14ac:dyDescent="0.3">
      <c r="A1007" s="2">
        <v>11006</v>
      </c>
      <c r="B1007" s="2">
        <v>796</v>
      </c>
      <c r="C1007" s="2">
        <v>2060</v>
      </c>
      <c r="D1007" s="2">
        <v>312</v>
      </c>
      <c r="E1007" s="4">
        <v>45532</v>
      </c>
      <c r="F1007" s="4">
        <v>45539</v>
      </c>
      <c r="G1007" s="2">
        <f t="shared" si="15"/>
        <v>7</v>
      </c>
      <c r="H1007" s="2">
        <v>18</v>
      </c>
      <c r="I1007" t="s">
        <v>42</v>
      </c>
      <c r="J1007" t="s">
        <v>21</v>
      </c>
      <c r="K1007" s="2">
        <v>3.65</v>
      </c>
      <c r="L1007" s="3">
        <v>173.1</v>
      </c>
      <c r="M1007" s="3">
        <f>orders_1[[#This Row],[products.Base_Price]]*orders_1[[#This Row],[Quantity]]</f>
        <v>3115.7999999999997</v>
      </c>
      <c r="N1007" t="s">
        <v>15</v>
      </c>
      <c r="O1007" t="s">
        <v>10</v>
      </c>
      <c r="P1007" t="s">
        <v>11</v>
      </c>
    </row>
    <row r="1008" spans="1:16" x14ac:dyDescent="0.3">
      <c r="A1008" s="2">
        <v>11007</v>
      </c>
      <c r="B1008" s="2">
        <v>563</v>
      </c>
      <c r="C1008" s="2">
        <v>2085</v>
      </c>
      <c r="D1008" s="2">
        <v>308</v>
      </c>
      <c r="E1008" s="4">
        <v>45297</v>
      </c>
      <c r="F1008" s="4">
        <v>45307</v>
      </c>
      <c r="G1008" s="2">
        <f t="shared" si="15"/>
        <v>10</v>
      </c>
      <c r="H1008" s="2">
        <v>12</v>
      </c>
      <c r="I1008" t="s">
        <v>39</v>
      </c>
      <c r="J1008" t="s">
        <v>22</v>
      </c>
      <c r="K1008" s="2">
        <v>47.56</v>
      </c>
      <c r="L1008" s="3">
        <v>131.63</v>
      </c>
      <c r="M1008" s="3">
        <f>orders_1[[#This Row],[products.Base_Price]]*orders_1[[#This Row],[Quantity]]</f>
        <v>1579.56</v>
      </c>
      <c r="N1008" t="s">
        <v>23</v>
      </c>
      <c r="O1008" t="s">
        <v>14</v>
      </c>
      <c r="P1008" t="s">
        <v>19</v>
      </c>
    </row>
    <row r="1009" spans="1:16" x14ac:dyDescent="0.3">
      <c r="A1009" s="2">
        <v>11008</v>
      </c>
      <c r="B1009" s="2">
        <v>655</v>
      </c>
      <c r="C1009" s="2">
        <v>2078</v>
      </c>
      <c r="D1009" s="2">
        <v>315</v>
      </c>
      <c r="E1009" s="4">
        <v>45413</v>
      </c>
      <c r="F1009" s="4">
        <v>45416</v>
      </c>
      <c r="G1009" s="2">
        <f t="shared" si="15"/>
        <v>3</v>
      </c>
      <c r="H1009" s="2">
        <v>42</v>
      </c>
      <c r="I1009" t="s">
        <v>36</v>
      </c>
      <c r="J1009" t="s">
        <v>21</v>
      </c>
      <c r="K1009" s="2">
        <v>14.85</v>
      </c>
      <c r="L1009" s="3">
        <v>517.03</v>
      </c>
      <c r="M1009" s="3">
        <f>orders_1[[#This Row],[products.Base_Price]]*orders_1[[#This Row],[Quantity]]</f>
        <v>21715.26</v>
      </c>
      <c r="N1009" t="s">
        <v>15</v>
      </c>
      <c r="O1009" t="s">
        <v>25</v>
      </c>
      <c r="P1009" t="s">
        <v>19</v>
      </c>
    </row>
    <row r="1010" spans="1:16" x14ac:dyDescent="0.3">
      <c r="A1010" s="2">
        <v>11009</v>
      </c>
      <c r="B1010" s="2">
        <v>899</v>
      </c>
      <c r="C1010" s="2">
        <v>2056</v>
      </c>
      <c r="D1010" s="2">
        <v>317</v>
      </c>
      <c r="E1010" s="4">
        <v>45337</v>
      </c>
      <c r="F1010" s="4">
        <v>45344</v>
      </c>
      <c r="G1010" s="2">
        <f t="shared" si="15"/>
        <v>7</v>
      </c>
      <c r="H1010" s="2">
        <v>78</v>
      </c>
      <c r="I1010" t="s">
        <v>78</v>
      </c>
      <c r="J1010" t="s">
        <v>9</v>
      </c>
      <c r="K1010" s="2">
        <v>18.559999999999999</v>
      </c>
      <c r="L1010" s="3">
        <v>564.01</v>
      </c>
      <c r="M1010" s="3">
        <f>orders_1[[#This Row],[products.Base_Price]]*orders_1[[#This Row],[Quantity]]</f>
        <v>43992.78</v>
      </c>
      <c r="N1010" t="s">
        <v>20</v>
      </c>
      <c r="O1010" t="s">
        <v>25</v>
      </c>
      <c r="P1010" t="s">
        <v>19</v>
      </c>
    </row>
    <row r="1011" spans="1:16" x14ac:dyDescent="0.3">
      <c r="A1011" s="2">
        <v>11010</v>
      </c>
      <c r="B1011" s="2">
        <v>863</v>
      </c>
      <c r="C1011" s="2">
        <v>2064</v>
      </c>
      <c r="D1011" s="2">
        <v>318</v>
      </c>
      <c r="E1011" s="4">
        <v>45591</v>
      </c>
      <c r="F1011" s="4">
        <v>45601</v>
      </c>
      <c r="G1011" s="2">
        <f t="shared" si="15"/>
        <v>10</v>
      </c>
      <c r="H1011" s="2">
        <v>83</v>
      </c>
      <c r="I1011" t="s">
        <v>42</v>
      </c>
      <c r="J1011" t="s">
        <v>21</v>
      </c>
      <c r="K1011" s="2">
        <v>15.41</v>
      </c>
      <c r="L1011" s="3">
        <v>203.79</v>
      </c>
      <c r="M1011" s="3">
        <f>orders_1[[#This Row],[products.Base_Price]]*orders_1[[#This Row],[Quantity]]</f>
        <v>16914.57</v>
      </c>
      <c r="N1011" t="s">
        <v>17</v>
      </c>
      <c r="O1011" t="s">
        <v>10</v>
      </c>
      <c r="P1011" t="s">
        <v>19</v>
      </c>
    </row>
    <row r="1012" spans="1:16" x14ac:dyDescent="0.3">
      <c r="A1012" s="2">
        <v>11011</v>
      </c>
      <c r="B1012" s="2">
        <v>581</v>
      </c>
      <c r="C1012" s="2">
        <v>2089</v>
      </c>
      <c r="D1012" s="2">
        <v>311</v>
      </c>
      <c r="E1012" s="4">
        <v>45460</v>
      </c>
      <c r="F1012" s="4">
        <v>45469</v>
      </c>
      <c r="G1012" s="2">
        <f t="shared" si="15"/>
        <v>9</v>
      </c>
      <c r="H1012" s="2">
        <v>23</v>
      </c>
      <c r="I1012" t="s">
        <v>39</v>
      </c>
      <c r="J1012" t="s">
        <v>22</v>
      </c>
      <c r="K1012" s="2">
        <v>19.170000000000002</v>
      </c>
      <c r="L1012" s="3">
        <v>513.33000000000004</v>
      </c>
      <c r="M1012" s="3">
        <f>orders_1[[#This Row],[products.Base_Price]]*orders_1[[#This Row],[Quantity]]</f>
        <v>11806.59</v>
      </c>
      <c r="N1012" t="s">
        <v>26</v>
      </c>
      <c r="O1012" t="s">
        <v>10</v>
      </c>
      <c r="P1012" t="s">
        <v>11</v>
      </c>
    </row>
    <row r="1013" spans="1:16" x14ac:dyDescent="0.3">
      <c r="A1013" s="2">
        <v>11012</v>
      </c>
      <c r="B1013" s="2">
        <v>820</v>
      </c>
      <c r="C1013" s="2">
        <v>2047</v>
      </c>
      <c r="D1013" s="2">
        <v>302</v>
      </c>
      <c r="E1013" s="4">
        <v>45315</v>
      </c>
      <c r="F1013" s="4">
        <v>45322</v>
      </c>
      <c r="G1013" s="2">
        <f t="shared" si="15"/>
        <v>7</v>
      </c>
      <c r="H1013" s="2">
        <v>58</v>
      </c>
      <c r="I1013" t="s">
        <v>39</v>
      </c>
      <c r="J1013" t="s">
        <v>27</v>
      </c>
      <c r="K1013" s="2">
        <v>31.72</v>
      </c>
      <c r="L1013" s="3">
        <v>210.46</v>
      </c>
      <c r="M1013" s="3">
        <f>orders_1[[#This Row],[products.Base_Price]]*orders_1[[#This Row],[Quantity]]</f>
        <v>12206.68</v>
      </c>
      <c r="N1013" t="s">
        <v>12</v>
      </c>
      <c r="O1013" t="s">
        <v>14</v>
      </c>
      <c r="P1013" t="s">
        <v>11</v>
      </c>
    </row>
    <row r="1014" spans="1:16" x14ac:dyDescent="0.3">
      <c r="A1014" s="2">
        <v>11013</v>
      </c>
      <c r="B1014" s="2">
        <v>855</v>
      </c>
      <c r="C1014" s="2">
        <v>2071</v>
      </c>
      <c r="D1014" s="2">
        <v>308</v>
      </c>
      <c r="E1014" s="4">
        <v>45405</v>
      </c>
      <c r="F1014" s="4">
        <v>45411</v>
      </c>
      <c r="G1014" s="2">
        <f t="shared" si="15"/>
        <v>6</v>
      </c>
      <c r="H1014" s="2">
        <v>31</v>
      </c>
      <c r="I1014" t="s">
        <v>36</v>
      </c>
      <c r="J1014" t="s">
        <v>27</v>
      </c>
      <c r="K1014" s="2">
        <v>47.19</v>
      </c>
      <c r="L1014" s="3">
        <v>711.14</v>
      </c>
      <c r="M1014" s="3">
        <f>orders_1[[#This Row],[products.Base_Price]]*orders_1[[#This Row],[Quantity]]</f>
        <v>22045.34</v>
      </c>
      <c r="N1014" t="s">
        <v>23</v>
      </c>
      <c r="O1014" t="s">
        <v>14</v>
      </c>
      <c r="P1014" t="s">
        <v>19</v>
      </c>
    </row>
    <row r="1015" spans="1:16" x14ac:dyDescent="0.3">
      <c r="A1015" s="2">
        <v>11014</v>
      </c>
      <c r="B1015" s="2">
        <v>584</v>
      </c>
      <c r="C1015" s="2">
        <v>2025</v>
      </c>
      <c r="D1015" s="2">
        <v>303</v>
      </c>
      <c r="E1015" s="4">
        <v>45429</v>
      </c>
      <c r="F1015" s="4">
        <v>45432</v>
      </c>
      <c r="G1015" s="2">
        <f t="shared" si="15"/>
        <v>3</v>
      </c>
      <c r="H1015" s="2">
        <v>22</v>
      </c>
      <c r="I1015" t="s">
        <v>39</v>
      </c>
      <c r="J1015" t="s">
        <v>13</v>
      </c>
      <c r="K1015" s="2">
        <v>3.39</v>
      </c>
      <c r="L1015" s="3">
        <v>303.87</v>
      </c>
      <c r="M1015" s="3">
        <f>orders_1[[#This Row],[products.Base_Price]]*orders_1[[#This Row],[Quantity]]</f>
        <v>6685.14</v>
      </c>
      <c r="N1015" t="s">
        <v>15</v>
      </c>
      <c r="O1015" t="s">
        <v>10</v>
      </c>
      <c r="P1015" t="s">
        <v>16</v>
      </c>
    </row>
    <row r="1016" spans="1:16" x14ac:dyDescent="0.3">
      <c r="A1016" s="2">
        <v>11015</v>
      </c>
      <c r="B1016" s="2">
        <v>617</v>
      </c>
      <c r="C1016" s="2">
        <v>2100</v>
      </c>
      <c r="D1016" s="2">
        <v>307</v>
      </c>
      <c r="E1016" s="4">
        <v>45593</v>
      </c>
      <c r="F1016" s="4">
        <v>45594</v>
      </c>
      <c r="G1016" s="2">
        <f t="shared" si="15"/>
        <v>1</v>
      </c>
      <c r="H1016" s="2">
        <v>100</v>
      </c>
      <c r="I1016" t="s">
        <v>42</v>
      </c>
      <c r="J1016" t="s">
        <v>27</v>
      </c>
      <c r="K1016" s="2">
        <v>2.2799999999999998</v>
      </c>
      <c r="L1016" s="3">
        <v>813.8</v>
      </c>
      <c r="M1016" s="3">
        <f>orders_1[[#This Row],[products.Base_Price]]*orders_1[[#This Row],[Quantity]]</f>
        <v>81380</v>
      </c>
      <c r="N1016" t="s">
        <v>17</v>
      </c>
      <c r="O1016" t="s">
        <v>10</v>
      </c>
      <c r="P1016" t="s">
        <v>11</v>
      </c>
    </row>
    <row r="1017" spans="1:16" x14ac:dyDescent="0.3">
      <c r="A1017" s="2">
        <v>11016</v>
      </c>
      <c r="B1017" s="2">
        <v>801</v>
      </c>
      <c r="C1017" s="2">
        <v>2098</v>
      </c>
      <c r="D1017" s="2">
        <v>303</v>
      </c>
      <c r="E1017" s="4">
        <v>45497</v>
      </c>
      <c r="F1017" s="4">
        <v>45501</v>
      </c>
      <c r="G1017" s="2">
        <f t="shared" si="15"/>
        <v>4</v>
      </c>
      <c r="H1017" s="2">
        <v>16</v>
      </c>
      <c r="I1017" t="s">
        <v>78</v>
      </c>
      <c r="J1017" t="s">
        <v>13</v>
      </c>
      <c r="K1017" s="2">
        <v>25.35</v>
      </c>
      <c r="L1017" s="3">
        <v>571.58000000000004</v>
      </c>
      <c r="M1017" s="3">
        <f>orders_1[[#This Row],[products.Base_Price]]*orders_1[[#This Row],[Quantity]]</f>
        <v>9145.2800000000007</v>
      </c>
      <c r="N1017" t="s">
        <v>15</v>
      </c>
      <c r="O1017" t="s">
        <v>10</v>
      </c>
      <c r="P1017" t="s">
        <v>16</v>
      </c>
    </row>
    <row r="1018" spans="1:16" x14ac:dyDescent="0.3">
      <c r="A1018" s="2">
        <v>11017</v>
      </c>
      <c r="B1018" s="2">
        <v>784</v>
      </c>
      <c r="C1018" s="2">
        <v>2016</v>
      </c>
      <c r="D1018" s="2">
        <v>319</v>
      </c>
      <c r="E1018" s="4">
        <v>45516</v>
      </c>
      <c r="F1018" s="4">
        <v>45526</v>
      </c>
      <c r="G1018" s="2">
        <f t="shared" si="15"/>
        <v>10</v>
      </c>
      <c r="H1018" s="2">
        <v>97</v>
      </c>
      <c r="I1018" t="s">
        <v>39</v>
      </c>
      <c r="J1018" t="s">
        <v>13</v>
      </c>
      <c r="K1018" s="2">
        <v>12.52</v>
      </c>
      <c r="L1018" s="3">
        <v>709.8</v>
      </c>
      <c r="M1018" s="3">
        <f>orders_1[[#This Row],[products.Base_Price]]*orders_1[[#This Row],[Quantity]]</f>
        <v>68850.599999999991</v>
      </c>
      <c r="N1018" t="s">
        <v>20</v>
      </c>
      <c r="O1018" t="s">
        <v>18</v>
      </c>
      <c r="P1018" t="s">
        <v>11</v>
      </c>
    </row>
    <row r="1019" spans="1:16" x14ac:dyDescent="0.3">
      <c r="A1019" s="2">
        <v>11018</v>
      </c>
      <c r="B1019" s="2">
        <v>624</v>
      </c>
      <c r="C1019" s="2">
        <v>2082</v>
      </c>
      <c r="D1019" s="2">
        <v>310</v>
      </c>
      <c r="E1019" s="4">
        <v>45626</v>
      </c>
      <c r="F1019" s="4">
        <v>45633</v>
      </c>
      <c r="G1019" s="2">
        <f t="shared" si="15"/>
        <v>7</v>
      </c>
      <c r="H1019" s="2">
        <v>72</v>
      </c>
      <c r="I1019" t="s">
        <v>78</v>
      </c>
      <c r="J1019" t="s">
        <v>22</v>
      </c>
      <c r="K1019" s="2">
        <v>41.79</v>
      </c>
      <c r="L1019" s="3">
        <v>352.17</v>
      </c>
      <c r="M1019" s="3">
        <f>orders_1[[#This Row],[products.Base_Price]]*orders_1[[#This Row],[Quantity]]</f>
        <v>25356.240000000002</v>
      </c>
      <c r="N1019" t="s">
        <v>26</v>
      </c>
      <c r="O1019" t="s">
        <v>25</v>
      </c>
      <c r="P1019" t="s">
        <v>11</v>
      </c>
    </row>
    <row r="1020" spans="1:16" x14ac:dyDescent="0.3">
      <c r="A1020" s="2">
        <v>11019</v>
      </c>
      <c r="B1020" s="2">
        <v>658</v>
      </c>
      <c r="C1020" s="2">
        <v>2096</v>
      </c>
      <c r="D1020" s="2">
        <v>318</v>
      </c>
      <c r="E1020" s="4">
        <v>45324</v>
      </c>
      <c r="F1020" s="4">
        <v>45328</v>
      </c>
      <c r="G1020" s="2">
        <f t="shared" si="15"/>
        <v>4</v>
      </c>
      <c r="H1020" s="2">
        <v>38</v>
      </c>
      <c r="I1020" t="s">
        <v>78</v>
      </c>
      <c r="J1020" t="s">
        <v>22</v>
      </c>
      <c r="K1020" s="2">
        <v>20.04</v>
      </c>
      <c r="L1020" s="3">
        <v>70.19</v>
      </c>
      <c r="M1020" s="3">
        <f>orders_1[[#This Row],[products.Base_Price]]*orders_1[[#This Row],[Quantity]]</f>
        <v>2667.22</v>
      </c>
      <c r="N1020" t="s">
        <v>17</v>
      </c>
      <c r="O1020" t="s">
        <v>10</v>
      </c>
      <c r="P1020" t="s">
        <v>19</v>
      </c>
    </row>
    <row r="1021" spans="1:16" x14ac:dyDescent="0.3">
      <c r="A1021" s="2">
        <v>11020</v>
      </c>
      <c r="B1021" s="2">
        <v>894</v>
      </c>
      <c r="C1021" s="2">
        <v>2055</v>
      </c>
      <c r="D1021" s="2">
        <v>312</v>
      </c>
      <c r="E1021" s="4">
        <v>45347</v>
      </c>
      <c r="F1021" s="4">
        <v>45348</v>
      </c>
      <c r="G1021" s="2">
        <f t="shared" si="15"/>
        <v>1</v>
      </c>
      <c r="H1021" s="2">
        <v>65</v>
      </c>
      <c r="I1021" t="s">
        <v>39</v>
      </c>
      <c r="J1021" t="s">
        <v>27</v>
      </c>
      <c r="K1021" s="2">
        <v>26.24</v>
      </c>
      <c r="L1021" s="3">
        <v>312.67</v>
      </c>
      <c r="M1021" s="3">
        <f>orders_1[[#This Row],[products.Base_Price]]*orders_1[[#This Row],[Quantity]]</f>
        <v>20323.55</v>
      </c>
      <c r="N1021" t="s">
        <v>15</v>
      </c>
      <c r="O1021" t="s">
        <v>10</v>
      </c>
      <c r="P1021" t="s">
        <v>11</v>
      </c>
    </row>
    <row r="1022" spans="1:16" x14ac:dyDescent="0.3">
      <c r="A1022" s="2">
        <v>11021</v>
      </c>
      <c r="B1022" s="2">
        <v>721</v>
      </c>
      <c r="C1022" s="2">
        <v>2035</v>
      </c>
      <c r="D1022" s="2">
        <v>311</v>
      </c>
      <c r="E1022" s="4">
        <v>45574</v>
      </c>
      <c r="F1022" s="4">
        <v>45580</v>
      </c>
      <c r="G1022" s="2">
        <f t="shared" si="15"/>
        <v>6</v>
      </c>
      <c r="H1022" s="2">
        <v>60</v>
      </c>
      <c r="I1022" t="s">
        <v>36</v>
      </c>
      <c r="J1022" t="s">
        <v>27</v>
      </c>
      <c r="K1022" s="2">
        <v>18.55</v>
      </c>
      <c r="L1022" s="3">
        <v>636.37</v>
      </c>
      <c r="M1022" s="3">
        <f>orders_1[[#This Row],[products.Base_Price]]*orders_1[[#This Row],[Quantity]]</f>
        <v>38182.199999999997</v>
      </c>
      <c r="N1022" t="s">
        <v>26</v>
      </c>
      <c r="O1022" t="s">
        <v>10</v>
      </c>
      <c r="P1022" t="s">
        <v>11</v>
      </c>
    </row>
    <row r="1023" spans="1:16" x14ac:dyDescent="0.3">
      <c r="A1023" s="2">
        <v>11022</v>
      </c>
      <c r="B1023" s="2">
        <v>870</v>
      </c>
      <c r="C1023" s="2">
        <v>2002</v>
      </c>
      <c r="D1023" s="2">
        <v>317</v>
      </c>
      <c r="E1023" s="4">
        <v>45496</v>
      </c>
      <c r="F1023" s="4">
        <v>45505</v>
      </c>
      <c r="G1023" s="2">
        <f t="shared" si="15"/>
        <v>9</v>
      </c>
      <c r="H1023" s="2">
        <v>14</v>
      </c>
      <c r="I1023" t="s">
        <v>36</v>
      </c>
      <c r="J1023" t="s">
        <v>13</v>
      </c>
      <c r="K1023" s="2">
        <v>30.78</v>
      </c>
      <c r="L1023" s="3">
        <v>646.99</v>
      </c>
      <c r="M1023" s="3">
        <f>orders_1[[#This Row],[products.Base_Price]]*orders_1[[#This Row],[Quantity]]</f>
        <v>9057.86</v>
      </c>
      <c r="N1023" t="s">
        <v>20</v>
      </c>
      <c r="O1023" t="s">
        <v>25</v>
      </c>
      <c r="P1023" t="s">
        <v>19</v>
      </c>
    </row>
    <row r="1024" spans="1:16" x14ac:dyDescent="0.3">
      <c r="A1024" s="2">
        <v>11023</v>
      </c>
      <c r="B1024" s="2">
        <v>650</v>
      </c>
      <c r="C1024" s="2">
        <v>2052</v>
      </c>
      <c r="D1024" s="2">
        <v>305</v>
      </c>
      <c r="E1024" s="4">
        <v>45384</v>
      </c>
      <c r="F1024" s="4">
        <v>45386</v>
      </c>
      <c r="G1024" s="2">
        <f t="shared" si="15"/>
        <v>2</v>
      </c>
      <c r="H1024" s="2">
        <v>97</v>
      </c>
      <c r="I1024" t="s">
        <v>42</v>
      </c>
      <c r="J1024" t="s">
        <v>27</v>
      </c>
      <c r="K1024" s="2">
        <v>47.35</v>
      </c>
      <c r="L1024" s="3">
        <v>665.2</v>
      </c>
      <c r="M1024" s="3">
        <f>orders_1[[#This Row],[products.Base_Price]]*orders_1[[#This Row],[Quantity]]</f>
        <v>64524.4</v>
      </c>
      <c r="N1024" t="s">
        <v>20</v>
      </c>
      <c r="O1024" t="s">
        <v>10</v>
      </c>
      <c r="P1024" t="s">
        <v>19</v>
      </c>
    </row>
    <row r="1025" spans="1:16" x14ac:dyDescent="0.3">
      <c r="A1025" s="2">
        <v>11024</v>
      </c>
      <c r="B1025" s="2">
        <v>874</v>
      </c>
      <c r="C1025" s="2">
        <v>2026</v>
      </c>
      <c r="D1025" s="2">
        <v>308</v>
      </c>
      <c r="E1025" s="4">
        <v>45559</v>
      </c>
      <c r="F1025" s="4">
        <v>45568</v>
      </c>
      <c r="G1025" s="2">
        <f t="shared" si="15"/>
        <v>9</v>
      </c>
      <c r="H1025" s="2">
        <v>14</v>
      </c>
      <c r="I1025" t="s">
        <v>78</v>
      </c>
      <c r="J1025" t="s">
        <v>22</v>
      </c>
      <c r="K1025" s="2">
        <v>23.02</v>
      </c>
      <c r="L1025" s="3">
        <v>858.57</v>
      </c>
      <c r="M1025" s="3">
        <f>orders_1[[#This Row],[products.Base_Price]]*orders_1[[#This Row],[Quantity]]</f>
        <v>12019.980000000001</v>
      </c>
      <c r="N1025" t="s">
        <v>23</v>
      </c>
      <c r="O1025" t="s">
        <v>14</v>
      </c>
      <c r="P1025" t="s">
        <v>19</v>
      </c>
    </row>
    <row r="1026" spans="1:16" x14ac:dyDescent="0.3">
      <c r="A1026" s="2">
        <v>11025</v>
      </c>
      <c r="B1026" s="2">
        <v>577</v>
      </c>
      <c r="C1026" s="2">
        <v>2041</v>
      </c>
      <c r="D1026" s="2">
        <v>304</v>
      </c>
      <c r="E1026" s="4">
        <v>45336</v>
      </c>
      <c r="F1026" s="4">
        <v>45338</v>
      </c>
      <c r="G1026" s="2">
        <f t="shared" ref="G1026:G1089" si="16">F1026-E1026</f>
        <v>2</v>
      </c>
      <c r="H1026" s="2">
        <v>1</v>
      </c>
      <c r="I1026" t="s">
        <v>78</v>
      </c>
      <c r="J1026" t="s">
        <v>22</v>
      </c>
      <c r="K1026" s="2">
        <v>48.2</v>
      </c>
      <c r="L1026" s="3">
        <v>792.77</v>
      </c>
      <c r="M1026" s="3">
        <f>orders_1[[#This Row],[products.Base_Price]]*orders_1[[#This Row],[Quantity]]</f>
        <v>792.77</v>
      </c>
      <c r="N1026" t="s">
        <v>17</v>
      </c>
      <c r="O1026" t="s">
        <v>18</v>
      </c>
      <c r="P1026" t="s">
        <v>19</v>
      </c>
    </row>
    <row r="1027" spans="1:16" x14ac:dyDescent="0.3">
      <c r="A1027" s="2">
        <v>11026</v>
      </c>
      <c r="B1027" s="2">
        <v>826</v>
      </c>
      <c r="C1027" s="2">
        <v>2072</v>
      </c>
      <c r="D1027" s="2">
        <v>317</v>
      </c>
      <c r="E1027" s="4">
        <v>45386</v>
      </c>
      <c r="F1027" s="4">
        <v>45389</v>
      </c>
      <c r="G1027" s="2">
        <f t="shared" si="16"/>
        <v>3</v>
      </c>
      <c r="H1027" s="2">
        <v>93</v>
      </c>
      <c r="I1027" t="s">
        <v>36</v>
      </c>
      <c r="J1027" t="s">
        <v>9</v>
      </c>
      <c r="K1027" s="2">
        <v>26.22</v>
      </c>
      <c r="L1027" s="3">
        <v>576.57000000000005</v>
      </c>
      <c r="M1027" s="3">
        <f>orders_1[[#This Row],[products.Base_Price]]*orders_1[[#This Row],[Quantity]]</f>
        <v>53621.01</v>
      </c>
      <c r="N1027" t="s">
        <v>20</v>
      </c>
      <c r="O1027" t="s">
        <v>25</v>
      </c>
      <c r="P1027" t="s">
        <v>19</v>
      </c>
    </row>
    <row r="1028" spans="1:16" x14ac:dyDescent="0.3">
      <c r="A1028" s="2">
        <v>11027</v>
      </c>
      <c r="B1028" s="2">
        <v>680</v>
      </c>
      <c r="C1028" s="2">
        <v>2090</v>
      </c>
      <c r="D1028" s="2">
        <v>313</v>
      </c>
      <c r="E1028" s="4">
        <v>45328</v>
      </c>
      <c r="F1028" s="4">
        <v>45338</v>
      </c>
      <c r="G1028" s="2">
        <f t="shared" si="16"/>
        <v>10</v>
      </c>
      <c r="H1028" s="2">
        <v>19</v>
      </c>
      <c r="I1028" t="s">
        <v>39</v>
      </c>
      <c r="J1028" t="s">
        <v>22</v>
      </c>
      <c r="K1028" s="2">
        <v>38.729999999999997</v>
      </c>
      <c r="L1028" s="3">
        <v>913.68</v>
      </c>
      <c r="M1028" s="3">
        <f>orders_1[[#This Row],[products.Base_Price]]*orders_1[[#This Row],[Quantity]]</f>
        <v>17359.919999999998</v>
      </c>
      <c r="N1028" t="s">
        <v>15</v>
      </c>
      <c r="O1028" t="s">
        <v>25</v>
      </c>
      <c r="P1028" t="s">
        <v>16</v>
      </c>
    </row>
    <row r="1029" spans="1:16" x14ac:dyDescent="0.3">
      <c r="A1029" s="2">
        <v>11028</v>
      </c>
      <c r="B1029" s="2">
        <v>847</v>
      </c>
      <c r="C1029" s="2">
        <v>2095</v>
      </c>
      <c r="D1029" s="2">
        <v>306</v>
      </c>
      <c r="E1029" s="4">
        <v>45355</v>
      </c>
      <c r="F1029" s="4">
        <v>45358</v>
      </c>
      <c r="G1029" s="2">
        <f t="shared" si="16"/>
        <v>3</v>
      </c>
      <c r="H1029" s="2">
        <v>62</v>
      </c>
      <c r="I1029" t="s">
        <v>39</v>
      </c>
      <c r="J1029" t="s">
        <v>13</v>
      </c>
      <c r="K1029" s="2">
        <v>38.81</v>
      </c>
      <c r="L1029" s="3">
        <v>761.63</v>
      </c>
      <c r="M1029" s="3">
        <f>orders_1[[#This Row],[products.Base_Price]]*orders_1[[#This Row],[Quantity]]</f>
        <v>47221.06</v>
      </c>
      <c r="N1029" t="s">
        <v>8</v>
      </c>
      <c r="O1029" t="s">
        <v>10</v>
      </c>
      <c r="P1029" t="s">
        <v>16</v>
      </c>
    </row>
    <row r="1030" spans="1:16" x14ac:dyDescent="0.3">
      <c r="A1030" s="2">
        <v>11029</v>
      </c>
      <c r="B1030" s="2">
        <v>809</v>
      </c>
      <c r="C1030" s="2">
        <v>2073</v>
      </c>
      <c r="D1030" s="2">
        <v>318</v>
      </c>
      <c r="E1030" s="4">
        <v>45582</v>
      </c>
      <c r="F1030" s="4">
        <v>45587</v>
      </c>
      <c r="G1030" s="2">
        <f t="shared" si="16"/>
        <v>5</v>
      </c>
      <c r="H1030" s="2">
        <v>70</v>
      </c>
      <c r="I1030" t="s">
        <v>39</v>
      </c>
      <c r="J1030" t="s">
        <v>9</v>
      </c>
      <c r="K1030" s="2">
        <v>11.78</v>
      </c>
      <c r="L1030" s="3">
        <v>416.74</v>
      </c>
      <c r="M1030" s="3">
        <f>orders_1[[#This Row],[products.Base_Price]]*orders_1[[#This Row],[Quantity]]</f>
        <v>29171.8</v>
      </c>
      <c r="N1030" t="s">
        <v>17</v>
      </c>
      <c r="O1030" t="s">
        <v>10</v>
      </c>
      <c r="P1030" t="s">
        <v>19</v>
      </c>
    </row>
    <row r="1031" spans="1:16" x14ac:dyDescent="0.3">
      <c r="A1031" s="2">
        <v>11030</v>
      </c>
      <c r="B1031" s="2">
        <v>620</v>
      </c>
      <c r="C1031" s="2">
        <v>2083</v>
      </c>
      <c r="D1031" s="2">
        <v>305</v>
      </c>
      <c r="E1031" s="4">
        <v>45328</v>
      </c>
      <c r="F1031" s="4">
        <v>45335</v>
      </c>
      <c r="G1031" s="2">
        <f t="shared" si="16"/>
        <v>7</v>
      </c>
      <c r="H1031" s="2">
        <v>36</v>
      </c>
      <c r="I1031" t="s">
        <v>78</v>
      </c>
      <c r="J1031" t="s">
        <v>22</v>
      </c>
      <c r="K1031" s="2">
        <v>13.79</v>
      </c>
      <c r="L1031" s="3">
        <v>843.82</v>
      </c>
      <c r="M1031" s="3">
        <f>orders_1[[#This Row],[products.Base_Price]]*orders_1[[#This Row],[Quantity]]</f>
        <v>30377.52</v>
      </c>
      <c r="N1031" t="s">
        <v>20</v>
      </c>
      <c r="O1031" t="s">
        <v>10</v>
      </c>
      <c r="P1031" t="s">
        <v>19</v>
      </c>
    </row>
    <row r="1032" spans="1:16" x14ac:dyDescent="0.3">
      <c r="A1032" s="2">
        <v>11031</v>
      </c>
      <c r="B1032" s="2">
        <v>606</v>
      </c>
      <c r="C1032" s="2">
        <v>2064</v>
      </c>
      <c r="D1032" s="2">
        <v>319</v>
      </c>
      <c r="E1032" s="4">
        <v>45313</v>
      </c>
      <c r="F1032" s="4">
        <v>45319</v>
      </c>
      <c r="G1032" s="2">
        <f t="shared" si="16"/>
        <v>6</v>
      </c>
      <c r="H1032" s="2">
        <v>16</v>
      </c>
      <c r="I1032" t="s">
        <v>36</v>
      </c>
      <c r="J1032" t="s">
        <v>21</v>
      </c>
      <c r="K1032" s="2">
        <v>15.41</v>
      </c>
      <c r="L1032" s="3">
        <v>203.79</v>
      </c>
      <c r="M1032" s="3">
        <f>orders_1[[#This Row],[products.Base_Price]]*orders_1[[#This Row],[Quantity]]</f>
        <v>3260.64</v>
      </c>
      <c r="N1032" t="s">
        <v>20</v>
      </c>
      <c r="O1032" t="s">
        <v>18</v>
      </c>
      <c r="P1032" t="s">
        <v>11</v>
      </c>
    </row>
    <row r="1033" spans="1:16" x14ac:dyDescent="0.3">
      <c r="A1033" s="2">
        <v>11032</v>
      </c>
      <c r="B1033" s="2">
        <v>665</v>
      </c>
      <c r="C1033" s="2">
        <v>2076</v>
      </c>
      <c r="D1033" s="2">
        <v>303</v>
      </c>
      <c r="E1033" s="4">
        <v>45448</v>
      </c>
      <c r="F1033" s="4">
        <v>45458</v>
      </c>
      <c r="G1033" s="2">
        <f t="shared" si="16"/>
        <v>10</v>
      </c>
      <c r="H1033" s="2">
        <v>81</v>
      </c>
      <c r="I1033" t="s">
        <v>39</v>
      </c>
      <c r="J1033" t="s">
        <v>13</v>
      </c>
      <c r="K1033" s="2">
        <v>14.63</v>
      </c>
      <c r="L1033" s="3">
        <v>638.11</v>
      </c>
      <c r="M1033" s="3">
        <f>orders_1[[#This Row],[products.Base_Price]]*orders_1[[#This Row],[Quantity]]</f>
        <v>51686.91</v>
      </c>
      <c r="N1033" t="s">
        <v>15</v>
      </c>
      <c r="O1033" t="s">
        <v>10</v>
      </c>
      <c r="P1033" t="s">
        <v>16</v>
      </c>
    </row>
    <row r="1034" spans="1:16" x14ac:dyDescent="0.3">
      <c r="A1034" s="2">
        <v>11033</v>
      </c>
      <c r="B1034" s="2">
        <v>794</v>
      </c>
      <c r="C1034" s="2">
        <v>2012</v>
      </c>
      <c r="D1034" s="2">
        <v>311</v>
      </c>
      <c r="E1034" s="4">
        <v>45476</v>
      </c>
      <c r="F1034" s="4">
        <v>45484</v>
      </c>
      <c r="G1034" s="2">
        <f t="shared" si="16"/>
        <v>8</v>
      </c>
      <c r="H1034" s="2">
        <v>45</v>
      </c>
      <c r="I1034" t="s">
        <v>39</v>
      </c>
      <c r="J1034" t="s">
        <v>21</v>
      </c>
      <c r="K1034" s="2">
        <v>34.93</v>
      </c>
      <c r="L1034" s="3">
        <v>327.92</v>
      </c>
      <c r="M1034" s="3">
        <f>orders_1[[#This Row],[products.Base_Price]]*orders_1[[#This Row],[Quantity]]</f>
        <v>14756.400000000001</v>
      </c>
      <c r="N1034" t="s">
        <v>26</v>
      </c>
      <c r="O1034" t="s">
        <v>10</v>
      </c>
      <c r="P1034" t="s">
        <v>11</v>
      </c>
    </row>
    <row r="1035" spans="1:16" x14ac:dyDescent="0.3">
      <c r="A1035" s="2">
        <v>11034</v>
      </c>
      <c r="B1035" s="2">
        <v>755</v>
      </c>
      <c r="C1035" s="2">
        <v>2085</v>
      </c>
      <c r="D1035" s="2">
        <v>320</v>
      </c>
      <c r="E1035" s="4">
        <v>45510</v>
      </c>
      <c r="F1035" s="4">
        <v>45512</v>
      </c>
      <c r="G1035" s="2">
        <f t="shared" si="16"/>
        <v>2</v>
      </c>
      <c r="H1035" s="2">
        <v>90</v>
      </c>
      <c r="I1035" t="s">
        <v>39</v>
      </c>
      <c r="J1035" t="s">
        <v>22</v>
      </c>
      <c r="K1035" s="2">
        <v>47.56</v>
      </c>
      <c r="L1035" s="3">
        <v>131.63</v>
      </c>
      <c r="M1035" s="3">
        <f>orders_1[[#This Row],[products.Base_Price]]*orders_1[[#This Row],[Quantity]]</f>
        <v>11846.699999999999</v>
      </c>
      <c r="N1035" t="s">
        <v>15</v>
      </c>
      <c r="O1035" t="s">
        <v>25</v>
      </c>
      <c r="P1035" t="s">
        <v>11</v>
      </c>
    </row>
    <row r="1036" spans="1:16" x14ac:dyDescent="0.3">
      <c r="A1036" s="2">
        <v>11035</v>
      </c>
      <c r="B1036" s="2">
        <v>734</v>
      </c>
      <c r="C1036" s="2">
        <v>2055</v>
      </c>
      <c r="D1036" s="2">
        <v>312</v>
      </c>
      <c r="E1036" s="4">
        <v>45521</v>
      </c>
      <c r="F1036" s="4">
        <v>45522</v>
      </c>
      <c r="G1036" s="2">
        <f t="shared" si="16"/>
        <v>1</v>
      </c>
      <c r="H1036" s="2">
        <v>78</v>
      </c>
      <c r="I1036" t="s">
        <v>39</v>
      </c>
      <c r="J1036" t="s">
        <v>27</v>
      </c>
      <c r="K1036" s="2">
        <v>26.24</v>
      </c>
      <c r="L1036" s="3">
        <v>312.67</v>
      </c>
      <c r="M1036" s="3">
        <f>orders_1[[#This Row],[products.Base_Price]]*orders_1[[#This Row],[Quantity]]</f>
        <v>24388.260000000002</v>
      </c>
      <c r="N1036" t="s">
        <v>15</v>
      </c>
      <c r="O1036" t="s">
        <v>10</v>
      </c>
      <c r="P1036" t="s">
        <v>11</v>
      </c>
    </row>
    <row r="1037" spans="1:16" x14ac:dyDescent="0.3">
      <c r="A1037" s="2">
        <v>11036</v>
      </c>
      <c r="B1037" s="2">
        <v>785</v>
      </c>
      <c r="C1037" s="2">
        <v>2013</v>
      </c>
      <c r="D1037" s="2">
        <v>307</v>
      </c>
      <c r="E1037" s="4">
        <v>45635</v>
      </c>
      <c r="F1037" s="4">
        <v>45642</v>
      </c>
      <c r="G1037" s="2">
        <f t="shared" si="16"/>
        <v>7</v>
      </c>
      <c r="H1037" s="2">
        <v>4</v>
      </c>
      <c r="I1037" t="s">
        <v>42</v>
      </c>
      <c r="J1037" t="s">
        <v>13</v>
      </c>
      <c r="K1037" s="2">
        <v>19.53</v>
      </c>
      <c r="L1037" s="3">
        <v>563.69000000000005</v>
      </c>
      <c r="M1037" s="3">
        <f>orders_1[[#This Row],[products.Base_Price]]*orders_1[[#This Row],[Quantity]]</f>
        <v>2254.7600000000002</v>
      </c>
      <c r="N1037" t="s">
        <v>17</v>
      </c>
      <c r="O1037" t="s">
        <v>10</v>
      </c>
      <c r="P1037" t="s">
        <v>11</v>
      </c>
    </row>
    <row r="1038" spans="1:16" x14ac:dyDescent="0.3">
      <c r="A1038" s="2">
        <v>11037</v>
      </c>
      <c r="B1038" s="2">
        <v>601</v>
      </c>
      <c r="C1038" s="2">
        <v>2078</v>
      </c>
      <c r="D1038" s="2">
        <v>314</v>
      </c>
      <c r="E1038" s="4">
        <v>45593</v>
      </c>
      <c r="F1038" s="4">
        <v>45599</v>
      </c>
      <c r="G1038" s="2">
        <f t="shared" si="16"/>
        <v>6</v>
      </c>
      <c r="H1038" s="2">
        <v>91</v>
      </c>
      <c r="I1038" t="s">
        <v>78</v>
      </c>
      <c r="J1038" t="s">
        <v>21</v>
      </c>
      <c r="K1038" s="2">
        <v>14.85</v>
      </c>
      <c r="L1038" s="3">
        <v>517.03</v>
      </c>
      <c r="M1038" s="3">
        <f>orders_1[[#This Row],[products.Base_Price]]*orders_1[[#This Row],[Quantity]]</f>
        <v>47049.729999999996</v>
      </c>
      <c r="N1038" t="s">
        <v>17</v>
      </c>
      <c r="O1038" t="s">
        <v>14</v>
      </c>
      <c r="P1038" t="s">
        <v>19</v>
      </c>
    </row>
    <row r="1039" spans="1:16" x14ac:dyDescent="0.3">
      <c r="A1039" s="2">
        <v>11038</v>
      </c>
      <c r="B1039" s="2">
        <v>738</v>
      </c>
      <c r="C1039" s="2">
        <v>2009</v>
      </c>
      <c r="D1039" s="2">
        <v>316</v>
      </c>
      <c r="E1039" s="4">
        <v>45351</v>
      </c>
      <c r="F1039" s="4">
        <v>45361</v>
      </c>
      <c r="G1039" s="2">
        <f t="shared" si="16"/>
        <v>10</v>
      </c>
      <c r="H1039" s="2">
        <v>92</v>
      </c>
      <c r="I1039" t="s">
        <v>39</v>
      </c>
      <c r="J1039" t="s">
        <v>21</v>
      </c>
      <c r="K1039" s="2">
        <v>16.82</v>
      </c>
      <c r="L1039" s="3">
        <v>376.01</v>
      </c>
      <c r="M1039" s="3">
        <f>orders_1[[#This Row],[products.Base_Price]]*orders_1[[#This Row],[Quantity]]</f>
        <v>34592.92</v>
      </c>
      <c r="N1039" t="s">
        <v>24</v>
      </c>
      <c r="O1039" t="s">
        <v>25</v>
      </c>
      <c r="P1039" t="s">
        <v>19</v>
      </c>
    </row>
    <row r="1040" spans="1:16" x14ac:dyDescent="0.3">
      <c r="A1040" s="2">
        <v>11039</v>
      </c>
      <c r="B1040" s="2">
        <v>730</v>
      </c>
      <c r="C1040" s="2">
        <v>2053</v>
      </c>
      <c r="D1040" s="2">
        <v>302</v>
      </c>
      <c r="E1040" s="4">
        <v>45643</v>
      </c>
      <c r="F1040" s="4">
        <v>45653</v>
      </c>
      <c r="G1040" s="2">
        <f t="shared" si="16"/>
        <v>10</v>
      </c>
      <c r="H1040" s="2">
        <v>93</v>
      </c>
      <c r="I1040" t="s">
        <v>36</v>
      </c>
      <c r="J1040" t="s">
        <v>22</v>
      </c>
      <c r="K1040" s="2">
        <v>34.54</v>
      </c>
      <c r="L1040" s="3">
        <v>162.21</v>
      </c>
      <c r="M1040" s="3">
        <f>orders_1[[#This Row],[products.Base_Price]]*orders_1[[#This Row],[Quantity]]</f>
        <v>15085.53</v>
      </c>
      <c r="N1040" t="s">
        <v>12</v>
      </c>
      <c r="O1040" t="s">
        <v>14</v>
      </c>
      <c r="P1040" t="s">
        <v>11</v>
      </c>
    </row>
    <row r="1041" spans="1:16" x14ac:dyDescent="0.3">
      <c r="A1041" s="2">
        <v>11040</v>
      </c>
      <c r="B1041" s="2">
        <v>615</v>
      </c>
      <c r="C1041" s="2">
        <v>2084</v>
      </c>
      <c r="D1041" s="2">
        <v>305</v>
      </c>
      <c r="E1041" s="4">
        <v>45385</v>
      </c>
      <c r="F1041" s="4">
        <v>45386</v>
      </c>
      <c r="G1041" s="2">
        <f t="shared" si="16"/>
        <v>1</v>
      </c>
      <c r="H1041" s="2">
        <v>37</v>
      </c>
      <c r="I1041" t="s">
        <v>78</v>
      </c>
      <c r="J1041" t="s">
        <v>21</v>
      </c>
      <c r="K1041" s="2">
        <v>14.27</v>
      </c>
      <c r="L1041" s="3">
        <v>223.58</v>
      </c>
      <c r="M1041" s="3">
        <f>orders_1[[#This Row],[products.Base_Price]]*orders_1[[#This Row],[Quantity]]</f>
        <v>8272.4600000000009</v>
      </c>
      <c r="N1041" t="s">
        <v>20</v>
      </c>
      <c r="O1041" t="s">
        <v>10</v>
      </c>
      <c r="P1041" t="s">
        <v>19</v>
      </c>
    </row>
    <row r="1042" spans="1:16" x14ac:dyDescent="0.3">
      <c r="A1042" s="2">
        <v>11041</v>
      </c>
      <c r="B1042" s="2">
        <v>838</v>
      </c>
      <c r="C1042" s="2">
        <v>2068</v>
      </c>
      <c r="D1042" s="2">
        <v>317</v>
      </c>
      <c r="E1042" s="4">
        <v>45581</v>
      </c>
      <c r="F1042" s="4">
        <v>45587</v>
      </c>
      <c r="G1042" s="2">
        <f t="shared" si="16"/>
        <v>6</v>
      </c>
      <c r="H1042" s="2">
        <v>96</v>
      </c>
      <c r="I1042" t="s">
        <v>39</v>
      </c>
      <c r="J1042" t="s">
        <v>27</v>
      </c>
      <c r="K1042" s="2">
        <v>47.08</v>
      </c>
      <c r="L1042" s="3">
        <v>501.03</v>
      </c>
      <c r="M1042" s="3">
        <f>orders_1[[#This Row],[products.Base_Price]]*orders_1[[#This Row],[Quantity]]</f>
        <v>48098.879999999997</v>
      </c>
      <c r="N1042" t="s">
        <v>20</v>
      </c>
      <c r="O1042" t="s">
        <v>25</v>
      </c>
      <c r="P1042" t="s">
        <v>19</v>
      </c>
    </row>
    <row r="1043" spans="1:16" x14ac:dyDescent="0.3">
      <c r="A1043" s="2">
        <v>11042</v>
      </c>
      <c r="B1043" s="2">
        <v>656</v>
      </c>
      <c r="C1043" s="2">
        <v>2060</v>
      </c>
      <c r="D1043" s="2">
        <v>309</v>
      </c>
      <c r="E1043" s="4">
        <v>45426</v>
      </c>
      <c r="F1043" s="4">
        <v>45433</v>
      </c>
      <c r="G1043" s="2">
        <f t="shared" si="16"/>
        <v>7</v>
      </c>
      <c r="H1043" s="2">
        <v>43</v>
      </c>
      <c r="I1043" t="s">
        <v>36</v>
      </c>
      <c r="J1043" t="s">
        <v>21</v>
      </c>
      <c r="K1043" s="2">
        <v>3.65</v>
      </c>
      <c r="L1043" s="3">
        <v>173.1</v>
      </c>
      <c r="M1043" s="3">
        <f>orders_1[[#This Row],[products.Base_Price]]*orders_1[[#This Row],[Quantity]]</f>
        <v>7443.3</v>
      </c>
      <c r="N1043" t="s">
        <v>24</v>
      </c>
      <c r="O1043" t="s">
        <v>25</v>
      </c>
      <c r="P1043" t="s">
        <v>16</v>
      </c>
    </row>
    <row r="1044" spans="1:16" x14ac:dyDescent="0.3">
      <c r="A1044" s="2">
        <v>11043</v>
      </c>
      <c r="B1044" s="2">
        <v>653</v>
      </c>
      <c r="C1044" s="2">
        <v>2033</v>
      </c>
      <c r="D1044" s="2">
        <v>306</v>
      </c>
      <c r="E1044" s="4">
        <v>45588</v>
      </c>
      <c r="F1044" s="4">
        <v>45596</v>
      </c>
      <c r="G1044" s="2">
        <f t="shared" si="16"/>
        <v>8</v>
      </c>
      <c r="H1044" s="2">
        <v>59</v>
      </c>
      <c r="I1044" t="s">
        <v>42</v>
      </c>
      <c r="J1044" t="s">
        <v>22</v>
      </c>
      <c r="K1044" s="2">
        <v>8.33</v>
      </c>
      <c r="L1044" s="3">
        <v>629.69000000000005</v>
      </c>
      <c r="M1044" s="3">
        <f>orders_1[[#This Row],[products.Base_Price]]*orders_1[[#This Row],[Quantity]]</f>
        <v>37151.710000000006</v>
      </c>
      <c r="N1044" t="s">
        <v>8</v>
      </c>
      <c r="O1044" t="s">
        <v>10</v>
      </c>
      <c r="P1044" t="s">
        <v>16</v>
      </c>
    </row>
    <row r="1045" spans="1:16" x14ac:dyDescent="0.3">
      <c r="A1045" s="2">
        <v>11044</v>
      </c>
      <c r="B1045" s="2">
        <v>859</v>
      </c>
      <c r="C1045" s="2">
        <v>2072</v>
      </c>
      <c r="D1045" s="2">
        <v>313</v>
      </c>
      <c r="E1045" s="4">
        <v>45602</v>
      </c>
      <c r="F1045" s="4">
        <v>45605</v>
      </c>
      <c r="G1045" s="2">
        <f t="shared" si="16"/>
        <v>3</v>
      </c>
      <c r="H1045" s="2">
        <v>43</v>
      </c>
      <c r="I1045" t="s">
        <v>78</v>
      </c>
      <c r="J1045" t="s">
        <v>9</v>
      </c>
      <c r="K1045" s="2">
        <v>26.22</v>
      </c>
      <c r="L1045" s="3">
        <v>576.57000000000005</v>
      </c>
      <c r="M1045" s="3">
        <f>orders_1[[#This Row],[products.Base_Price]]*orders_1[[#This Row],[Quantity]]</f>
        <v>24792.510000000002</v>
      </c>
      <c r="N1045" t="s">
        <v>15</v>
      </c>
      <c r="O1045" t="s">
        <v>25</v>
      </c>
      <c r="P1045" t="s">
        <v>16</v>
      </c>
    </row>
    <row r="1046" spans="1:16" x14ac:dyDescent="0.3">
      <c r="A1046" s="2">
        <v>11045</v>
      </c>
      <c r="B1046" s="2">
        <v>773</v>
      </c>
      <c r="C1046" s="2">
        <v>2067</v>
      </c>
      <c r="D1046" s="2">
        <v>314</v>
      </c>
      <c r="E1046" s="4">
        <v>45419</v>
      </c>
      <c r="F1046" s="4">
        <v>45428</v>
      </c>
      <c r="G1046" s="2">
        <f t="shared" si="16"/>
        <v>9</v>
      </c>
      <c r="H1046" s="2">
        <v>87</v>
      </c>
      <c r="I1046" t="s">
        <v>39</v>
      </c>
      <c r="J1046" t="s">
        <v>9</v>
      </c>
      <c r="K1046" s="2">
        <v>24.79</v>
      </c>
      <c r="L1046" s="3">
        <v>48.68</v>
      </c>
      <c r="M1046" s="3">
        <f>orders_1[[#This Row],[products.Base_Price]]*orders_1[[#This Row],[Quantity]]</f>
        <v>4235.16</v>
      </c>
      <c r="N1046" t="s">
        <v>17</v>
      </c>
      <c r="O1046" t="s">
        <v>14</v>
      </c>
      <c r="P1046" t="s">
        <v>19</v>
      </c>
    </row>
    <row r="1047" spans="1:16" x14ac:dyDescent="0.3">
      <c r="A1047" s="2">
        <v>11046</v>
      </c>
      <c r="B1047" s="2">
        <v>507</v>
      </c>
      <c r="C1047" s="2">
        <v>2042</v>
      </c>
      <c r="D1047" s="2">
        <v>306</v>
      </c>
      <c r="E1047" s="4">
        <v>45614</v>
      </c>
      <c r="F1047" s="4">
        <v>45620</v>
      </c>
      <c r="G1047" s="2">
        <f t="shared" si="16"/>
        <v>6</v>
      </c>
      <c r="H1047" s="2">
        <v>83</v>
      </c>
      <c r="I1047" t="s">
        <v>36</v>
      </c>
      <c r="J1047" t="s">
        <v>27</v>
      </c>
      <c r="K1047" s="2">
        <v>46.87</v>
      </c>
      <c r="L1047" s="3">
        <v>313.88</v>
      </c>
      <c r="M1047" s="3">
        <f>orders_1[[#This Row],[products.Base_Price]]*orders_1[[#This Row],[Quantity]]</f>
        <v>26052.04</v>
      </c>
      <c r="N1047" t="s">
        <v>8</v>
      </c>
      <c r="O1047" t="s">
        <v>10</v>
      </c>
      <c r="P1047" t="s">
        <v>16</v>
      </c>
    </row>
    <row r="1048" spans="1:16" x14ac:dyDescent="0.3">
      <c r="A1048" s="2">
        <v>11047</v>
      </c>
      <c r="B1048" s="2">
        <v>881</v>
      </c>
      <c r="C1048" s="2">
        <v>2026</v>
      </c>
      <c r="D1048" s="2">
        <v>305</v>
      </c>
      <c r="E1048" s="4">
        <v>45408</v>
      </c>
      <c r="F1048" s="4">
        <v>45412</v>
      </c>
      <c r="G1048" s="2">
        <f t="shared" si="16"/>
        <v>4</v>
      </c>
      <c r="H1048" s="2">
        <v>30</v>
      </c>
      <c r="I1048" t="s">
        <v>36</v>
      </c>
      <c r="J1048" t="s">
        <v>22</v>
      </c>
      <c r="K1048" s="2">
        <v>23.02</v>
      </c>
      <c r="L1048" s="3">
        <v>858.57</v>
      </c>
      <c r="M1048" s="3">
        <f>orders_1[[#This Row],[products.Base_Price]]*orders_1[[#This Row],[Quantity]]</f>
        <v>25757.100000000002</v>
      </c>
      <c r="N1048" t="s">
        <v>20</v>
      </c>
      <c r="O1048" t="s">
        <v>10</v>
      </c>
      <c r="P1048" t="s">
        <v>19</v>
      </c>
    </row>
    <row r="1049" spans="1:16" x14ac:dyDescent="0.3">
      <c r="A1049" s="2">
        <v>11048</v>
      </c>
      <c r="B1049" s="2">
        <v>790</v>
      </c>
      <c r="C1049" s="2">
        <v>2036</v>
      </c>
      <c r="D1049" s="2">
        <v>302</v>
      </c>
      <c r="E1049" s="4">
        <v>45312</v>
      </c>
      <c r="F1049" s="4">
        <v>45313</v>
      </c>
      <c r="G1049" s="2">
        <f t="shared" si="16"/>
        <v>1</v>
      </c>
      <c r="H1049" s="2">
        <v>46</v>
      </c>
      <c r="I1049" t="s">
        <v>78</v>
      </c>
      <c r="J1049" t="s">
        <v>22</v>
      </c>
      <c r="K1049" s="2">
        <v>39.39</v>
      </c>
      <c r="L1049" s="3">
        <v>745.86</v>
      </c>
      <c r="M1049" s="3">
        <f>orders_1[[#This Row],[products.Base_Price]]*orders_1[[#This Row],[Quantity]]</f>
        <v>34309.56</v>
      </c>
      <c r="N1049" t="s">
        <v>12</v>
      </c>
      <c r="O1049" t="s">
        <v>14</v>
      </c>
      <c r="P1049" t="s">
        <v>11</v>
      </c>
    </row>
    <row r="1050" spans="1:16" x14ac:dyDescent="0.3">
      <c r="A1050" s="2">
        <v>11049</v>
      </c>
      <c r="B1050" s="2">
        <v>641</v>
      </c>
      <c r="C1050" s="2">
        <v>2021</v>
      </c>
      <c r="D1050" s="2">
        <v>303</v>
      </c>
      <c r="E1050" s="4">
        <v>45566</v>
      </c>
      <c r="F1050" s="4">
        <v>45570</v>
      </c>
      <c r="G1050" s="2">
        <f t="shared" si="16"/>
        <v>4</v>
      </c>
      <c r="H1050" s="2">
        <v>40</v>
      </c>
      <c r="I1050" t="s">
        <v>78</v>
      </c>
      <c r="J1050" t="s">
        <v>9</v>
      </c>
      <c r="K1050" s="2">
        <v>18.77</v>
      </c>
      <c r="L1050" s="3">
        <v>259.72000000000003</v>
      </c>
      <c r="M1050" s="3">
        <f>orders_1[[#This Row],[products.Base_Price]]*orders_1[[#This Row],[Quantity]]</f>
        <v>10388.800000000001</v>
      </c>
      <c r="N1050" t="s">
        <v>15</v>
      </c>
      <c r="O1050" t="s">
        <v>10</v>
      </c>
      <c r="P1050" t="s">
        <v>16</v>
      </c>
    </row>
    <row r="1051" spans="1:16" x14ac:dyDescent="0.3">
      <c r="A1051" s="2">
        <v>11050</v>
      </c>
      <c r="B1051" s="2">
        <v>623</v>
      </c>
      <c r="C1051" s="2">
        <v>2086</v>
      </c>
      <c r="D1051" s="2">
        <v>303</v>
      </c>
      <c r="E1051" s="4">
        <v>45452</v>
      </c>
      <c r="F1051" s="4">
        <v>45455</v>
      </c>
      <c r="G1051" s="2">
        <f t="shared" si="16"/>
        <v>3</v>
      </c>
      <c r="H1051" s="2">
        <v>64</v>
      </c>
      <c r="I1051" t="s">
        <v>42</v>
      </c>
      <c r="J1051" t="s">
        <v>27</v>
      </c>
      <c r="K1051" s="2">
        <v>27.73</v>
      </c>
      <c r="L1051" s="3">
        <v>417.42</v>
      </c>
      <c r="M1051" s="3">
        <f>orders_1[[#This Row],[products.Base_Price]]*orders_1[[#This Row],[Quantity]]</f>
        <v>26714.880000000001</v>
      </c>
      <c r="N1051" t="s">
        <v>15</v>
      </c>
      <c r="O1051" t="s">
        <v>10</v>
      </c>
      <c r="P1051" t="s">
        <v>16</v>
      </c>
    </row>
    <row r="1052" spans="1:16" x14ac:dyDescent="0.3">
      <c r="A1052" s="2">
        <v>11051</v>
      </c>
      <c r="B1052" s="2">
        <v>749</v>
      </c>
      <c r="C1052" s="2">
        <v>2035</v>
      </c>
      <c r="D1052" s="2">
        <v>307</v>
      </c>
      <c r="E1052" s="4">
        <v>45446</v>
      </c>
      <c r="F1052" s="4">
        <v>45448</v>
      </c>
      <c r="G1052" s="2">
        <f t="shared" si="16"/>
        <v>2</v>
      </c>
      <c r="H1052" s="2">
        <v>83</v>
      </c>
      <c r="I1052" t="s">
        <v>39</v>
      </c>
      <c r="J1052" t="s">
        <v>27</v>
      </c>
      <c r="K1052" s="2">
        <v>18.55</v>
      </c>
      <c r="L1052" s="3">
        <v>636.37</v>
      </c>
      <c r="M1052" s="3">
        <f>orders_1[[#This Row],[products.Base_Price]]*orders_1[[#This Row],[Quantity]]</f>
        <v>52818.71</v>
      </c>
      <c r="N1052" t="s">
        <v>17</v>
      </c>
      <c r="O1052" t="s">
        <v>10</v>
      </c>
      <c r="P1052" t="s">
        <v>11</v>
      </c>
    </row>
    <row r="1053" spans="1:16" x14ac:dyDescent="0.3">
      <c r="A1053" s="2">
        <v>11052</v>
      </c>
      <c r="B1053" s="2">
        <v>683</v>
      </c>
      <c r="C1053" s="2">
        <v>2013</v>
      </c>
      <c r="D1053" s="2">
        <v>315</v>
      </c>
      <c r="E1053" s="4">
        <v>45427</v>
      </c>
      <c r="F1053" s="4">
        <v>45429</v>
      </c>
      <c r="G1053" s="2">
        <f t="shared" si="16"/>
        <v>2</v>
      </c>
      <c r="H1053" s="2">
        <v>44</v>
      </c>
      <c r="I1053" t="s">
        <v>42</v>
      </c>
      <c r="J1053" t="s">
        <v>13</v>
      </c>
      <c r="K1053" s="2">
        <v>19.53</v>
      </c>
      <c r="L1053" s="3">
        <v>563.69000000000005</v>
      </c>
      <c r="M1053" s="3">
        <f>orders_1[[#This Row],[products.Base_Price]]*orders_1[[#This Row],[Quantity]]</f>
        <v>24802.36</v>
      </c>
      <c r="N1053" t="s">
        <v>15</v>
      </c>
      <c r="O1053" t="s">
        <v>25</v>
      </c>
      <c r="P1053" t="s">
        <v>19</v>
      </c>
    </row>
    <row r="1054" spans="1:16" x14ac:dyDescent="0.3">
      <c r="A1054" s="2">
        <v>11053</v>
      </c>
      <c r="B1054" s="2">
        <v>718</v>
      </c>
      <c r="C1054" s="2">
        <v>2090</v>
      </c>
      <c r="D1054" s="2">
        <v>317</v>
      </c>
      <c r="E1054" s="4">
        <v>45302</v>
      </c>
      <c r="F1054" s="4">
        <v>45309</v>
      </c>
      <c r="G1054" s="2">
        <f t="shared" si="16"/>
        <v>7</v>
      </c>
      <c r="H1054" s="2">
        <v>79</v>
      </c>
      <c r="I1054" t="s">
        <v>78</v>
      </c>
      <c r="J1054" t="s">
        <v>22</v>
      </c>
      <c r="K1054" s="2">
        <v>38.729999999999997</v>
      </c>
      <c r="L1054" s="3">
        <v>913.68</v>
      </c>
      <c r="M1054" s="3">
        <f>orders_1[[#This Row],[products.Base_Price]]*orders_1[[#This Row],[Quantity]]</f>
        <v>72180.72</v>
      </c>
      <c r="N1054" t="s">
        <v>20</v>
      </c>
      <c r="O1054" t="s">
        <v>25</v>
      </c>
      <c r="P1054" t="s">
        <v>19</v>
      </c>
    </row>
    <row r="1055" spans="1:16" x14ac:dyDescent="0.3">
      <c r="A1055" s="2">
        <v>11054</v>
      </c>
      <c r="B1055" s="2">
        <v>609</v>
      </c>
      <c r="C1055" s="2">
        <v>2028</v>
      </c>
      <c r="D1055" s="2">
        <v>314</v>
      </c>
      <c r="E1055" s="4">
        <v>45422</v>
      </c>
      <c r="F1055" s="4">
        <v>45432</v>
      </c>
      <c r="G1055" s="2">
        <f t="shared" si="16"/>
        <v>10</v>
      </c>
      <c r="H1055" s="2">
        <v>97</v>
      </c>
      <c r="I1055" t="s">
        <v>36</v>
      </c>
      <c r="J1055" t="s">
        <v>13</v>
      </c>
      <c r="K1055" s="2">
        <v>30.34</v>
      </c>
      <c r="L1055" s="3">
        <v>630.65</v>
      </c>
      <c r="M1055" s="3">
        <f>orders_1[[#This Row],[products.Base_Price]]*orders_1[[#This Row],[Quantity]]</f>
        <v>61173.049999999996</v>
      </c>
      <c r="N1055" t="s">
        <v>17</v>
      </c>
      <c r="O1055" t="s">
        <v>14</v>
      </c>
      <c r="P1055" t="s">
        <v>19</v>
      </c>
    </row>
    <row r="1056" spans="1:16" x14ac:dyDescent="0.3">
      <c r="A1056" s="2">
        <v>11055</v>
      </c>
      <c r="B1056" s="2">
        <v>747</v>
      </c>
      <c r="C1056" s="2">
        <v>2088</v>
      </c>
      <c r="D1056" s="2">
        <v>319</v>
      </c>
      <c r="E1056" s="4">
        <v>45446</v>
      </c>
      <c r="F1056" s="4">
        <v>45456</v>
      </c>
      <c r="G1056" s="2">
        <f t="shared" si="16"/>
        <v>10</v>
      </c>
      <c r="H1056" s="2">
        <v>88</v>
      </c>
      <c r="I1056" t="s">
        <v>78</v>
      </c>
      <c r="J1056" t="s">
        <v>13</v>
      </c>
      <c r="K1056" s="2">
        <v>27.71</v>
      </c>
      <c r="L1056" s="3">
        <v>820.21</v>
      </c>
      <c r="M1056" s="3">
        <f>orders_1[[#This Row],[products.Base_Price]]*orders_1[[#This Row],[Quantity]]</f>
        <v>72178.48000000001</v>
      </c>
      <c r="N1056" t="s">
        <v>20</v>
      </c>
      <c r="O1056" t="s">
        <v>18</v>
      </c>
      <c r="P1056" t="s">
        <v>11</v>
      </c>
    </row>
    <row r="1057" spans="1:16" x14ac:dyDescent="0.3">
      <c r="A1057" s="2">
        <v>11056</v>
      </c>
      <c r="B1057" s="2">
        <v>762</v>
      </c>
      <c r="C1057" s="2">
        <v>2100</v>
      </c>
      <c r="D1057" s="2">
        <v>320</v>
      </c>
      <c r="E1057" s="4">
        <v>45463</v>
      </c>
      <c r="F1057" s="4">
        <v>45470</v>
      </c>
      <c r="G1057" s="2">
        <f t="shared" si="16"/>
        <v>7</v>
      </c>
      <c r="H1057" s="2">
        <v>77</v>
      </c>
      <c r="I1057" t="s">
        <v>36</v>
      </c>
      <c r="J1057" t="s">
        <v>27</v>
      </c>
      <c r="K1057" s="2">
        <v>2.2799999999999998</v>
      </c>
      <c r="L1057" s="3">
        <v>813.8</v>
      </c>
      <c r="M1057" s="3">
        <f>orders_1[[#This Row],[products.Base_Price]]*orders_1[[#This Row],[Quantity]]</f>
        <v>62662.6</v>
      </c>
      <c r="N1057" t="s">
        <v>15</v>
      </c>
      <c r="O1057" t="s">
        <v>25</v>
      </c>
      <c r="P1057" t="s">
        <v>11</v>
      </c>
    </row>
    <row r="1058" spans="1:16" x14ac:dyDescent="0.3">
      <c r="A1058" s="2">
        <v>11057</v>
      </c>
      <c r="B1058" s="2">
        <v>874</v>
      </c>
      <c r="C1058" s="2">
        <v>2096</v>
      </c>
      <c r="D1058" s="2">
        <v>309</v>
      </c>
      <c r="E1058" s="4">
        <v>45504</v>
      </c>
      <c r="F1058" s="4">
        <v>45510</v>
      </c>
      <c r="G1058" s="2">
        <f t="shared" si="16"/>
        <v>6</v>
      </c>
      <c r="H1058" s="2">
        <v>43</v>
      </c>
      <c r="I1058" t="s">
        <v>42</v>
      </c>
      <c r="J1058" t="s">
        <v>22</v>
      </c>
      <c r="K1058" s="2">
        <v>20.04</v>
      </c>
      <c r="L1058" s="3">
        <v>70.19</v>
      </c>
      <c r="M1058" s="3">
        <f>orders_1[[#This Row],[products.Base_Price]]*orders_1[[#This Row],[Quantity]]</f>
        <v>3018.17</v>
      </c>
      <c r="N1058" t="s">
        <v>24</v>
      </c>
      <c r="O1058" t="s">
        <v>25</v>
      </c>
      <c r="P1058" t="s">
        <v>16</v>
      </c>
    </row>
    <row r="1059" spans="1:16" x14ac:dyDescent="0.3">
      <c r="A1059" s="2">
        <v>11058</v>
      </c>
      <c r="B1059" s="2">
        <v>768</v>
      </c>
      <c r="C1059" s="2">
        <v>2009</v>
      </c>
      <c r="D1059" s="2">
        <v>307</v>
      </c>
      <c r="E1059" s="4">
        <v>45314</v>
      </c>
      <c r="F1059" s="4">
        <v>45322</v>
      </c>
      <c r="G1059" s="2">
        <f t="shared" si="16"/>
        <v>8</v>
      </c>
      <c r="H1059" s="2">
        <v>47</v>
      </c>
      <c r="I1059" t="s">
        <v>36</v>
      </c>
      <c r="J1059" t="s">
        <v>21</v>
      </c>
      <c r="K1059" s="2">
        <v>16.82</v>
      </c>
      <c r="L1059" s="3">
        <v>376.01</v>
      </c>
      <c r="M1059" s="3">
        <f>orders_1[[#This Row],[products.Base_Price]]*orders_1[[#This Row],[Quantity]]</f>
        <v>17672.47</v>
      </c>
      <c r="N1059" t="s">
        <v>17</v>
      </c>
      <c r="O1059" t="s">
        <v>10</v>
      </c>
      <c r="P1059" t="s">
        <v>11</v>
      </c>
    </row>
    <row r="1060" spans="1:16" x14ac:dyDescent="0.3">
      <c r="A1060" s="2">
        <v>11059</v>
      </c>
      <c r="B1060" s="2">
        <v>663</v>
      </c>
      <c r="C1060" s="2">
        <v>2048</v>
      </c>
      <c r="D1060" s="2">
        <v>314</v>
      </c>
      <c r="E1060" s="4">
        <v>45377</v>
      </c>
      <c r="F1060" s="4">
        <v>45384</v>
      </c>
      <c r="G1060" s="2">
        <f t="shared" si="16"/>
        <v>7</v>
      </c>
      <c r="H1060" s="2">
        <v>67</v>
      </c>
      <c r="I1060" t="s">
        <v>78</v>
      </c>
      <c r="J1060" t="s">
        <v>22</v>
      </c>
      <c r="K1060" s="2">
        <v>6.74</v>
      </c>
      <c r="L1060" s="3">
        <v>864.57</v>
      </c>
      <c r="M1060" s="3">
        <f>orders_1[[#This Row],[products.Base_Price]]*orders_1[[#This Row],[Quantity]]</f>
        <v>57926.19</v>
      </c>
      <c r="N1060" t="s">
        <v>17</v>
      </c>
      <c r="O1060" t="s">
        <v>14</v>
      </c>
      <c r="P1060" t="s">
        <v>19</v>
      </c>
    </row>
    <row r="1061" spans="1:16" x14ac:dyDescent="0.3">
      <c r="A1061" s="2">
        <v>11060</v>
      </c>
      <c r="B1061" s="2">
        <v>566</v>
      </c>
      <c r="C1061" s="2">
        <v>2024</v>
      </c>
      <c r="D1061" s="2">
        <v>310</v>
      </c>
      <c r="E1061" s="4">
        <v>45425</v>
      </c>
      <c r="F1061" s="4">
        <v>45432</v>
      </c>
      <c r="G1061" s="2">
        <f t="shared" si="16"/>
        <v>7</v>
      </c>
      <c r="H1061" s="2">
        <v>81</v>
      </c>
      <c r="I1061" t="s">
        <v>36</v>
      </c>
      <c r="J1061" t="s">
        <v>13</v>
      </c>
      <c r="K1061" s="2">
        <v>21.16</v>
      </c>
      <c r="L1061" s="3">
        <v>291.08</v>
      </c>
      <c r="M1061" s="3">
        <f>orders_1[[#This Row],[products.Base_Price]]*orders_1[[#This Row],[Quantity]]</f>
        <v>23577.48</v>
      </c>
      <c r="N1061" t="s">
        <v>26</v>
      </c>
      <c r="O1061" t="s">
        <v>25</v>
      </c>
      <c r="P1061" t="s">
        <v>11</v>
      </c>
    </row>
    <row r="1062" spans="1:16" x14ac:dyDescent="0.3">
      <c r="A1062" s="2">
        <v>11061</v>
      </c>
      <c r="B1062" s="2">
        <v>771</v>
      </c>
      <c r="C1062" s="2">
        <v>2051</v>
      </c>
      <c r="D1062" s="2">
        <v>311</v>
      </c>
      <c r="E1062" s="4">
        <v>45450</v>
      </c>
      <c r="F1062" s="4">
        <v>45452</v>
      </c>
      <c r="G1062" s="2">
        <f t="shared" si="16"/>
        <v>2</v>
      </c>
      <c r="H1062" s="2">
        <v>80</v>
      </c>
      <c r="I1062" t="s">
        <v>39</v>
      </c>
      <c r="J1062" t="s">
        <v>9</v>
      </c>
      <c r="K1062" s="2">
        <v>47.82</v>
      </c>
      <c r="L1062" s="3">
        <v>376.19</v>
      </c>
      <c r="M1062" s="3">
        <f>orders_1[[#This Row],[products.Base_Price]]*orders_1[[#This Row],[Quantity]]</f>
        <v>30095.200000000001</v>
      </c>
      <c r="N1062" t="s">
        <v>26</v>
      </c>
      <c r="O1062" t="s">
        <v>10</v>
      </c>
      <c r="P1062" t="s">
        <v>11</v>
      </c>
    </row>
    <row r="1063" spans="1:16" x14ac:dyDescent="0.3">
      <c r="A1063" s="2">
        <v>11062</v>
      </c>
      <c r="B1063" s="2">
        <v>697</v>
      </c>
      <c r="C1063" s="2">
        <v>2056</v>
      </c>
      <c r="D1063" s="2">
        <v>316</v>
      </c>
      <c r="E1063" s="4">
        <v>45292</v>
      </c>
      <c r="F1063" s="4">
        <v>45299</v>
      </c>
      <c r="G1063" s="2">
        <f t="shared" si="16"/>
        <v>7</v>
      </c>
      <c r="H1063" s="2">
        <v>67</v>
      </c>
      <c r="I1063" t="s">
        <v>42</v>
      </c>
      <c r="J1063" t="s">
        <v>9</v>
      </c>
      <c r="K1063" s="2">
        <v>18.559999999999999</v>
      </c>
      <c r="L1063" s="3">
        <v>564.01</v>
      </c>
      <c r="M1063" s="3">
        <f>orders_1[[#This Row],[products.Base_Price]]*orders_1[[#This Row],[Quantity]]</f>
        <v>37788.67</v>
      </c>
      <c r="N1063" t="s">
        <v>24</v>
      </c>
      <c r="O1063" t="s">
        <v>25</v>
      </c>
      <c r="P1063" t="s">
        <v>19</v>
      </c>
    </row>
    <row r="1064" spans="1:16" x14ac:dyDescent="0.3">
      <c r="A1064" s="2">
        <v>11063</v>
      </c>
      <c r="B1064" s="2">
        <v>560</v>
      </c>
      <c r="C1064" s="2">
        <v>2087</v>
      </c>
      <c r="D1064" s="2">
        <v>301</v>
      </c>
      <c r="E1064" s="4">
        <v>45471</v>
      </c>
      <c r="F1064" s="4">
        <v>45473</v>
      </c>
      <c r="G1064" s="2">
        <f t="shared" si="16"/>
        <v>2</v>
      </c>
      <c r="H1064" s="2">
        <v>71</v>
      </c>
      <c r="I1064" t="s">
        <v>42</v>
      </c>
      <c r="J1064" t="s">
        <v>9</v>
      </c>
      <c r="K1064" s="2">
        <v>35.82</v>
      </c>
      <c r="L1064" s="3">
        <v>47.38</v>
      </c>
      <c r="M1064" s="3">
        <f>orders_1[[#This Row],[products.Base_Price]]*orders_1[[#This Row],[Quantity]]</f>
        <v>3363.98</v>
      </c>
      <c r="N1064" t="s">
        <v>8</v>
      </c>
      <c r="O1064" t="s">
        <v>10</v>
      </c>
      <c r="P1064" t="s">
        <v>11</v>
      </c>
    </row>
    <row r="1065" spans="1:16" x14ac:dyDescent="0.3">
      <c r="A1065" s="2">
        <v>11064</v>
      </c>
      <c r="B1065" s="2">
        <v>776</v>
      </c>
      <c r="C1065" s="2">
        <v>2048</v>
      </c>
      <c r="D1065" s="2">
        <v>314</v>
      </c>
      <c r="E1065" s="4">
        <v>45352</v>
      </c>
      <c r="F1065" s="4">
        <v>45360</v>
      </c>
      <c r="G1065" s="2">
        <f t="shared" si="16"/>
        <v>8</v>
      </c>
      <c r="H1065" s="2">
        <v>1</v>
      </c>
      <c r="I1065" t="s">
        <v>78</v>
      </c>
      <c r="J1065" t="s">
        <v>22</v>
      </c>
      <c r="K1065" s="2">
        <v>6.74</v>
      </c>
      <c r="L1065" s="3">
        <v>864.57</v>
      </c>
      <c r="M1065" s="3">
        <f>orders_1[[#This Row],[products.Base_Price]]*orders_1[[#This Row],[Quantity]]</f>
        <v>864.57</v>
      </c>
      <c r="N1065" t="s">
        <v>17</v>
      </c>
      <c r="O1065" t="s">
        <v>14</v>
      </c>
      <c r="P1065" t="s">
        <v>19</v>
      </c>
    </row>
    <row r="1066" spans="1:16" x14ac:dyDescent="0.3">
      <c r="A1066" s="2">
        <v>11065</v>
      </c>
      <c r="B1066" s="2">
        <v>777</v>
      </c>
      <c r="C1066" s="2">
        <v>2100</v>
      </c>
      <c r="D1066" s="2">
        <v>310</v>
      </c>
      <c r="E1066" s="4">
        <v>45414</v>
      </c>
      <c r="F1066" s="4">
        <v>45424</v>
      </c>
      <c r="G1066" s="2">
        <f t="shared" si="16"/>
        <v>10</v>
      </c>
      <c r="H1066" s="2">
        <v>56</v>
      </c>
      <c r="I1066" t="s">
        <v>42</v>
      </c>
      <c r="J1066" t="s">
        <v>27</v>
      </c>
      <c r="K1066" s="2">
        <v>2.2799999999999998</v>
      </c>
      <c r="L1066" s="3">
        <v>813.8</v>
      </c>
      <c r="M1066" s="3">
        <f>orders_1[[#This Row],[products.Base_Price]]*orders_1[[#This Row],[Quantity]]</f>
        <v>45572.799999999996</v>
      </c>
      <c r="N1066" t="s">
        <v>26</v>
      </c>
      <c r="O1066" t="s">
        <v>25</v>
      </c>
      <c r="P1066" t="s">
        <v>11</v>
      </c>
    </row>
    <row r="1067" spans="1:16" x14ac:dyDescent="0.3">
      <c r="A1067" s="2">
        <v>11066</v>
      </c>
      <c r="B1067" s="2">
        <v>547</v>
      </c>
      <c r="C1067" s="2">
        <v>2083</v>
      </c>
      <c r="D1067" s="2">
        <v>315</v>
      </c>
      <c r="E1067" s="4">
        <v>45440</v>
      </c>
      <c r="F1067" s="4">
        <v>45447</v>
      </c>
      <c r="G1067" s="2">
        <f t="shared" si="16"/>
        <v>7</v>
      </c>
      <c r="H1067" s="2">
        <v>85</v>
      </c>
      <c r="I1067" t="s">
        <v>42</v>
      </c>
      <c r="J1067" t="s">
        <v>22</v>
      </c>
      <c r="K1067" s="2">
        <v>13.79</v>
      </c>
      <c r="L1067" s="3">
        <v>843.82</v>
      </c>
      <c r="M1067" s="3">
        <f>orders_1[[#This Row],[products.Base_Price]]*orders_1[[#This Row],[Quantity]]</f>
        <v>71724.7</v>
      </c>
      <c r="N1067" t="s">
        <v>15</v>
      </c>
      <c r="O1067" t="s">
        <v>25</v>
      </c>
      <c r="P1067" t="s">
        <v>19</v>
      </c>
    </row>
    <row r="1068" spans="1:16" x14ac:dyDescent="0.3">
      <c r="A1068" s="2">
        <v>11067</v>
      </c>
      <c r="B1068" s="2">
        <v>584</v>
      </c>
      <c r="C1068" s="2">
        <v>2029</v>
      </c>
      <c r="D1068" s="2">
        <v>306</v>
      </c>
      <c r="E1068" s="4">
        <v>45326</v>
      </c>
      <c r="F1068" s="4">
        <v>45328</v>
      </c>
      <c r="G1068" s="2">
        <f t="shared" si="16"/>
        <v>2</v>
      </c>
      <c r="H1068" s="2">
        <v>68</v>
      </c>
      <c r="I1068" t="s">
        <v>78</v>
      </c>
      <c r="J1068" t="s">
        <v>21</v>
      </c>
      <c r="K1068" s="2">
        <v>9.19</v>
      </c>
      <c r="L1068" s="3">
        <v>357.06</v>
      </c>
      <c r="M1068" s="3">
        <f>orders_1[[#This Row],[products.Base_Price]]*orders_1[[#This Row],[Quantity]]</f>
        <v>24280.080000000002</v>
      </c>
      <c r="N1068" t="s">
        <v>8</v>
      </c>
      <c r="O1068" t="s">
        <v>10</v>
      </c>
      <c r="P1068" t="s">
        <v>16</v>
      </c>
    </row>
    <row r="1069" spans="1:16" x14ac:dyDescent="0.3">
      <c r="A1069" s="2">
        <v>11068</v>
      </c>
      <c r="B1069" s="2">
        <v>539</v>
      </c>
      <c r="C1069" s="2">
        <v>2074</v>
      </c>
      <c r="D1069" s="2">
        <v>306</v>
      </c>
      <c r="E1069" s="4">
        <v>45487</v>
      </c>
      <c r="F1069" s="4">
        <v>45491</v>
      </c>
      <c r="G1069" s="2">
        <f t="shared" si="16"/>
        <v>4</v>
      </c>
      <c r="H1069" s="2">
        <v>81</v>
      </c>
      <c r="I1069" t="s">
        <v>42</v>
      </c>
      <c r="J1069" t="s">
        <v>13</v>
      </c>
      <c r="K1069" s="2">
        <v>41.45</v>
      </c>
      <c r="L1069" s="3">
        <v>650.42999999999995</v>
      </c>
      <c r="M1069" s="3">
        <f>orders_1[[#This Row],[products.Base_Price]]*orders_1[[#This Row],[Quantity]]</f>
        <v>52684.829999999994</v>
      </c>
      <c r="N1069" t="s">
        <v>8</v>
      </c>
      <c r="O1069" t="s">
        <v>10</v>
      </c>
      <c r="P1069" t="s">
        <v>16</v>
      </c>
    </row>
    <row r="1070" spans="1:16" x14ac:dyDescent="0.3">
      <c r="A1070" s="2">
        <v>11069</v>
      </c>
      <c r="B1070" s="2">
        <v>861</v>
      </c>
      <c r="C1070" s="2">
        <v>2001</v>
      </c>
      <c r="D1070" s="2">
        <v>301</v>
      </c>
      <c r="E1070" s="4">
        <v>45495</v>
      </c>
      <c r="F1070" s="4">
        <v>45501</v>
      </c>
      <c r="G1070" s="2">
        <f t="shared" si="16"/>
        <v>6</v>
      </c>
      <c r="H1070" s="2">
        <v>39</v>
      </c>
      <c r="I1070" t="s">
        <v>78</v>
      </c>
      <c r="J1070" t="s">
        <v>9</v>
      </c>
      <c r="K1070" s="2">
        <v>49.85</v>
      </c>
      <c r="L1070" s="3">
        <v>471.41</v>
      </c>
      <c r="M1070" s="3">
        <f>orders_1[[#This Row],[products.Base_Price]]*orders_1[[#This Row],[Quantity]]</f>
        <v>18384.990000000002</v>
      </c>
      <c r="N1070" t="s">
        <v>8</v>
      </c>
      <c r="O1070" t="s">
        <v>10</v>
      </c>
      <c r="P1070" t="s">
        <v>11</v>
      </c>
    </row>
    <row r="1071" spans="1:16" x14ac:dyDescent="0.3">
      <c r="A1071" s="2">
        <v>11070</v>
      </c>
      <c r="B1071" s="2">
        <v>533</v>
      </c>
      <c r="C1071" s="2">
        <v>2034</v>
      </c>
      <c r="D1071" s="2">
        <v>311</v>
      </c>
      <c r="E1071" s="4">
        <v>45461</v>
      </c>
      <c r="F1071" s="4">
        <v>45471</v>
      </c>
      <c r="G1071" s="2">
        <f t="shared" si="16"/>
        <v>10</v>
      </c>
      <c r="H1071" s="2">
        <v>74</v>
      </c>
      <c r="I1071" t="s">
        <v>78</v>
      </c>
      <c r="J1071" t="s">
        <v>27</v>
      </c>
      <c r="K1071" s="2">
        <v>26.17</v>
      </c>
      <c r="L1071" s="3">
        <v>540.23</v>
      </c>
      <c r="M1071" s="3">
        <f>orders_1[[#This Row],[products.Base_Price]]*orders_1[[#This Row],[Quantity]]</f>
        <v>39977.020000000004</v>
      </c>
      <c r="N1071" t="s">
        <v>26</v>
      </c>
      <c r="O1071" t="s">
        <v>10</v>
      </c>
      <c r="P1071" t="s">
        <v>11</v>
      </c>
    </row>
    <row r="1072" spans="1:16" x14ac:dyDescent="0.3">
      <c r="A1072" s="2">
        <v>11071</v>
      </c>
      <c r="B1072" s="2">
        <v>709</v>
      </c>
      <c r="C1072" s="2">
        <v>2081</v>
      </c>
      <c r="D1072" s="2">
        <v>307</v>
      </c>
      <c r="E1072" s="4">
        <v>45406</v>
      </c>
      <c r="F1072" s="4">
        <v>45415</v>
      </c>
      <c r="G1072" s="2">
        <f t="shared" si="16"/>
        <v>9</v>
      </c>
      <c r="H1072" s="2">
        <v>26</v>
      </c>
      <c r="I1072" t="s">
        <v>78</v>
      </c>
      <c r="J1072" t="s">
        <v>21</v>
      </c>
      <c r="K1072" s="2">
        <v>20.72</v>
      </c>
      <c r="L1072" s="3">
        <v>668.31</v>
      </c>
      <c r="M1072" s="3">
        <f>orders_1[[#This Row],[products.Base_Price]]*orders_1[[#This Row],[Quantity]]</f>
        <v>17376.059999999998</v>
      </c>
      <c r="N1072" t="s">
        <v>17</v>
      </c>
      <c r="O1072" t="s">
        <v>10</v>
      </c>
      <c r="P1072" t="s">
        <v>11</v>
      </c>
    </row>
    <row r="1073" spans="1:16" x14ac:dyDescent="0.3">
      <c r="A1073" s="2">
        <v>11072</v>
      </c>
      <c r="B1073" s="2">
        <v>669</v>
      </c>
      <c r="C1073" s="2">
        <v>2026</v>
      </c>
      <c r="D1073" s="2">
        <v>302</v>
      </c>
      <c r="E1073" s="4">
        <v>45644</v>
      </c>
      <c r="F1073" s="4">
        <v>45645</v>
      </c>
      <c r="G1073" s="2">
        <f t="shared" si="16"/>
        <v>1</v>
      </c>
      <c r="H1073" s="2">
        <v>80</v>
      </c>
      <c r="I1073" t="s">
        <v>39</v>
      </c>
      <c r="J1073" t="s">
        <v>22</v>
      </c>
      <c r="K1073" s="2">
        <v>23.02</v>
      </c>
      <c r="L1073" s="3">
        <v>858.57</v>
      </c>
      <c r="M1073" s="3">
        <f>orders_1[[#This Row],[products.Base_Price]]*orders_1[[#This Row],[Quantity]]</f>
        <v>68685.600000000006</v>
      </c>
      <c r="N1073" t="s">
        <v>12</v>
      </c>
      <c r="O1073" t="s">
        <v>14</v>
      </c>
      <c r="P1073" t="s">
        <v>11</v>
      </c>
    </row>
    <row r="1074" spans="1:16" x14ac:dyDescent="0.3">
      <c r="A1074" s="2">
        <v>11073</v>
      </c>
      <c r="B1074" s="2">
        <v>847</v>
      </c>
      <c r="C1074" s="2">
        <v>2024</v>
      </c>
      <c r="D1074" s="2">
        <v>308</v>
      </c>
      <c r="E1074" s="4">
        <v>45336</v>
      </c>
      <c r="F1074" s="4">
        <v>45345</v>
      </c>
      <c r="G1074" s="2">
        <f t="shared" si="16"/>
        <v>9</v>
      </c>
      <c r="H1074" s="2">
        <v>19</v>
      </c>
      <c r="I1074" t="s">
        <v>42</v>
      </c>
      <c r="J1074" t="s">
        <v>13</v>
      </c>
      <c r="K1074" s="2">
        <v>21.16</v>
      </c>
      <c r="L1074" s="3">
        <v>291.08</v>
      </c>
      <c r="M1074" s="3">
        <f>orders_1[[#This Row],[products.Base_Price]]*orders_1[[#This Row],[Quantity]]</f>
        <v>5530.5199999999995</v>
      </c>
      <c r="N1074" t="s">
        <v>23</v>
      </c>
      <c r="O1074" t="s">
        <v>14</v>
      </c>
      <c r="P1074" t="s">
        <v>19</v>
      </c>
    </row>
    <row r="1075" spans="1:16" x14ac:dyDescent="0.3">
      <c r="A1075" s="2">
        <v>11074</v>
      </c>
      <c r="B1075" s="2">
        <v>846</v>
      </c>
      <c r="C1075" s="2">
        <v>2008</v>
      </c>
      <c r="D1075" s="2">
        <v>301</v>
      </c>
      <c r="E1075" s="4">
        <v>45586</v>
      </c>
      <c r="F1075" s="4">
        <v>45592</v>
      </c>
      <c r="G1075" s="2">
        <f t="shared" si="16"/>
        <v>6</v>
      </c>
      <c r="H1075" s="2">
        <v>87</v>
      </c>
      <c r="I1075" t="s">
        <v>42</v>
      </c>
      <c r="J1075" t="s">
        <v>21</v>
      </c>
      <c r="K1075" s="2">
        <v>8.5</v>
      </c>
      <c r="L1075" s="3">
        <v>899.21</v>
      </c>
      <c r="M1075" s="3">
        <f>orders_1[[#This Row],[products.Base_Price]]*orders_1[[#This Row],[Quantity]]</f>
        <v>78231.27</v>
      </c>
      <c r="N1075" t="s">
        <v>8</v>
      </c>
      <c r="O1075" t="s">
        <v>10</v>
      </c>
      <c r="P1075" t="s">
        <v>11</v>
      </c>
    </row>
    <row r="1076" spans="1:16" x14ac:dyDescent="0.3">
      <c r="A1076" s="2">
        <v>11075</v>
      </c>
      <c r="B1076" s="2">
        <v>514</v>
      </c>
      <c r="C1076" s="2">
        <v>2020</v>
      </c>
      <c r="D1076" s="2">
        <v>319</v>
      </c>
      <c r="E1076" s="4">
        <v>45523</v>
      </c>
      <c r="F1076" s="4">
        <v>45530</v>
      </c>
      <c r="G1076" s="2">
        <f t="shared" si="16"/>
        <v>7</v>
      </c>
      <c r="H1076" s="2">
        <v>38</v>
      </c>
      <c r="I1076" t="s">
        <v>42</v>
      </c>
      <c r="J1076" t="s">
        <v>27</v>
      </c>
      <c r="K1076" s="2">
        <v>35.94</v>
      </c>
      <c r="L1076" s="3">
        <v>44.04</v>
      </c>
      <c r="M1076" s="3">
        <f>orders_1[[#This Row],[products.Base_Price]]*orders_1[[#This Row],[Quantity]]</f>
        <v>1673.52</v>
      </c>
      <c r="N1076" t="s">
        <v>20</v>
      </c>
      <c r="O1076" t="s">
        <v>18</v>
      </c>
      <c r="P1076" t="s">
        <v>11</v>
      </c>
    </row>
    <row r="1077" spans="1:16" x14ac:dyDescent="0.3">
      <c r="A1077" s="2">
        <v>11076</v>
      </c>
      <c r="B1077" s="2">
        <v>839</v>
      </c>
      <c r="C1077" s="2">
        <v>2009</v>
      </c>
      <c r="D1077" s="2">
        <v>319</v>
      </c>
      <c r="E1077" s="4">
        <v>45475</v>
      </c>
      <c r="F1077" s="4">
        <v>45479</v>
      </c>
      <c r="G1077" s="2">
        <f t="shared" si="16"/>
        <v>4</v>
      </c>
      <c r="H1077" s="2">
        <v>34</v>
      </c>
      <c r="I1077" t="s">
        <v>39</v>
      </c>
      <c r="J1077" t="s">
        <v>21</v>
      </c>
      <c r="K1077" s="2">
        <v>16.82</v>
      </c>
      <c r="L1077" s="3">
        <v>376.01</v>
      </c>
      <c r="M1077" s="3">
        <f>orders_1[[#This Row],[products.Base_Price]]*orders_1[[#This Row],[Quantity]]</f>
        <v>12784.34</v>
      </c>
      <c r="N1077" t="s">
        <v>20</v>
      </c>
      <c r="O1077" t="s">
        <v>18</v>
      </c>
      <c r="P1077" t="s">
        <v>11</v>
      </c>
    </row>
    <row r="1078" spans="1:16" x14ac:dyDescent="0.3">
      <c r="A1078" s="2">
        <v>11077</v>
      </c>
      <c r="B1078" s="2">
        <v>754</v>
      </c>
      <c r="C1078" s="2">
        <v>2085</v>
      </c>
      <c r="D1078" s="2">
        <v>308</v>
      </c>
      <c r="E1078" s="4">
        <v>45562</v>
      </c>
      <c r="F1078" s="4">
        <v>45564</v>
      </c>
      <c r="G1078" s="2">
        <f t="shared" si="16"/>
        <v>2</v>
      </c>
      <c r="H1078" s="2">
        <v>86</v>
      </c>
      <c r="I1078" t="s">
        <v>39</v>
      </c>
      <c r="J1078" t="s">
        <v>22</v>
      </c>
      <c r="K1078" s="2">
        <v>47.56</v>
      </c>
      <c r="L1078" s="3">
        <v>131.63</v>
      </c>
      <c r="M1078" s="3">
        <f>orders_1[[#This Row],[products.Base_Price]]*orders_1[[#This Row],[Quantity]]</f>
        <v>11320.18</v>
      </c>
      <c r="N1078" t="s">
        <v>23</v>
      </c>
      <c r="O1078" t="s">
        <v>14</v>
      </c>
      <c r="P1078" t="s">
        <v>19</v>
      </c>
    </row>
    <row r="1079" spans="1:16" x14ac:dyDescent="0.3">
      <c r="A1079" s="2">
        <v>11078</v>
      </c>
      <c r="B1079" s="2">
        <v>547</v>
      </c>
      <c r="C1079" s="2">
        <v>2074</v>
      </c>
      <c r="D1079" s="2">
        <v>306</v>
      </c>
      <c r="E1079" s="4">
        <v>45595</v>
      </c>
      <c r="F1079" s="4">
        <v>45598</v>
      </c>
      <c r="G1079" s="2">
        <f t="shared" si="16"/>
        <v>3</v>
      </c>
      <c r="H1079" s="2">
        <v>84</v>
      </c>
      <c r="I1079" t="s">
        <v>36</v>
      </c>
      <c r="J1079" t="s">
        <v>13</v>
      </c>
      <c r="K1079" s="2">
        <v>41.45</v>
      </c>
      <c r="L1079" s="3">
        <v>650.42999999999995</v>
      </c>
      <c r="M1079" s="3">
        <f>orders_1[[#This Row],[products.Base_Price]]*orders_1[[#This Row],[Quantity]]</f>
        <v>54636.119999999995</v>
      </c>
      <c r="N1079" t="s">
        <v>8</v>
      </c>
      <c r="O1079" t="s">
        <v>10</v>
      </c>
      <c r="P1079" t="s">
        <v>16</v>
      </c>
    </row>
    <row r="1080" spans="1:16" x14ac:dyDescent="0.3">
      <c r="A1080" s="2">
        <v>11079</v>
      </c>
      <c r="B1080" s="2">
        <v>668</v>
      </c>
      <c r="C1080" s="2">
        <v>2021</v>
      </c>
      <c r="D1080" s="2">
        <v>316</v>
      </c>
      <c r="E1080" s="4">
        <v>45383</v>
      </c>
      <c r="F1080" s="4">
        <v>45385</v>
      </c>
      <c r="G1080" s="2">
        <f t="shared" si="16"/>
        <v>2</v>
      </c>
      <c r="H1080" s="2">
        <v>73</v>
      </c>
      <c r="I1080" t="s">
        <v>42</v>
      </c>
      <c r="J1080" t="s">
        <v>9</v>
      </c>
      <c r="K1080" s="2">
        <v>18.77</v>
      </c>
      <c r="L1080" s="3">
        <v>259.72000000000003</v>
      </c>
      <c r="M1080" s="3">
        <f>orders_1[[#This Row],[products.Base_Price]]*orders_1[[#This Row],[Quantity]]</f>
        <v>18959.560000000001</v>
      </c>
      <c r="N1080" t="s">
        <v>24</v>
      </c>
      <c r="O1080" t="s">
        <v>25</v>
      </c>
      <c r="P1080" t="s">
        <v>19</v>
      </c>
    </row>
    <row r="1081" spans="1:16" x14ac:dyDescent="0.3">
      <c r="A1081" s="2">
        <v>11080</v>
      </c>
      <c r="B1081" s="2">
        <v>715</v>
      </c>
      <c r="C1081" s="2">
        <v>2032</v>
      </c>
      <c r="D1081" s="2">
        <v>307</v>
      </c>
      <c r="E1081" s="4">
        <v>45306</v>
      </c>
      <c r="F1081" s="4">
        <v>45315</v>
      </c>
      <c r="G1081" s="2">
        <f t="shared" si="16"/>
        <v>9</v>
      </c>
      <c r="H1081" s="2">
        <v>67</v>
      </c>
      <c r="I1081" t="s">
        <v>36</v>
      </c>
      <c r="J1081" t="s">
        <v>9</v>
      </c>
      <c r="K1081" s="2">
        <v>3.81</v>
      </c>
      <c r="L1081" s="3">
        <v>682.41</v>
      </c>
      <c r="M1081" s="3">
        <f>orders_1[[#This Row],[products.Base_Price]]*orders_1[[#This Row],[Quantity]]</f>
        <v>45721.47</v>
      </c>
      <c r="N1081" t="s">
        <v>17</v>
      </c>
      <c r="O1081" t="s">
        <v>10</v>
      </c>
      <c r="P1081" t="s">
        <v>11</v>
      </c>
    </row>
    <row r="1082" spans="1:16" x14ac:dyDescent="0.3">
      <c r="A1082" s="2">
        <v>11081</v>
      </c>
      <c r="B1082" s="2">
        <v>763</v>
      </c>
      <c r="C1082" s="2">
        <v>2030</v>
      </c>
      <c r="D1082" s="2">
        <v>309</v>
      </c>
      <c r="E1082" s="4">
        <v>45573</v>
      </c>
      <c r="F1082" s="4">
        <v>45575</v>
      </c>
      <c r="G1082" s="2">
        <f t="shared" si="16"/>
        <v>2</v>
      </c>
      <c r="H1082" s="2">
        <v>31</v>
      </c>
      <c r="I1082" t="s">
        <v>39</v>
      </c>
      <c r="J1082" t="s">
        <v>13</v>
      </c>
      <c r="K1082" s="2">
        <v>27.52</v>
      </c>
      <c r="L1082" s="3">
        <v>537.03</v>
      </c>
      <c r="M1082" s="3">
        <f>orders_1[[#This Row],[products.Base_Price]]*orders_1[[#This Row],[Quantity]]</f>
        <v>16647.93</v>
      </c>
      <c r="N1082" t="s">
        <v>24</v>
      </c>
      <c r="O1082" t="s">
        <v>25</v>
      </c>
      <c r="P1082" t="s">
        <v>16</v>
      </c>
    </row>
    <row r="1083" spans="1:16" x14ac:dyDescent="0.3">
      <c r="A1083" s="2">
        <v>11082</v>
      </c>
      <c r="B1083" s="2">
        <v>539</v>
      </c>
      <c r="C1083" s="2">
        <v>2087</v>
      </c>
      <c r="D1083" s="2">
        <v>315</v>
      </c>
      <c r="E1083" s="4">
        <v>45588</v>
      </c>
      <c r="F1083" s="4">
        <v>45595</v>
      </c>
      <c r="G1083" s="2">
        <f t="shared" si="16"/>
        <v>7</v>
      </c>
      <c r="H1083" s="2">
        <v>19</v>
      </c>
      <c r="I1083" t="s">
        <v>36</v>
      </c>
      <c r="J1083" t="s">
        <v>9</v>
      </c>
      <c r="K1083" s="2">
        <v>35.82</v>
      </c>
      <c r="L1083" s="3">
        <v>47.38</v>
      </c>
      <c r="M1083" s="3">
        <f>orders_1[[#This Row],[products.Base_Price]]*orders_1[[#This Row],[Quantity]]</f>
        <v>900.22</v>
      </c>
      <c r="N1083" t="s">
        <v>15</v>
      </c>
      <c r="O1083" t="s">
        <v>25</v>
      </c>
      <c r="P1083" t="s">
        <v>19</v>
      </c>
    </row>
    <row r="1084" spans="1:16" x14ac:dyDescent="0.3">
      <c r="A1084" s="2">
        <v>11083</v>
      </c>
      <c r="B1084" s="2">
        <v>800</v>
      </c>
      <c r="C1084" s="2">
        <v>2026</v>
      </c>
      <c r="D1084" s="2">
        <v>320</v>
      </c>
      <c r="E1084" s="4">
        <v>45398</v>
      </c>
      <c r="F1084" s="4">
        <v>45403</v>
      </c>
      <c r="G1084" s="2">
        <f t="shared" si="16"/>
        <v>5</v>
      </c>
      <c r="H1084" s="2">
        <v>83</v>
      </c>
      <c r="I1084" t="s">
        <v>78</v>
      </c>
      <c r="J1084" t="s">
        <v>22</v>
      </c>
      <c r="K1084" s="2">
        <v>23.02</v>
      </c>
      <c r="L1084" s="3">
        <v>858.57</v>
      </c>
      <c r="M1084" s="3">
        <f>orders_1[[#This Row],[products.Base_Price]]*orders_1[[#This Row],[Quantity]]</f>
        <v>71261.31</v>
      </c>
      <c r="N1084" t="s">
        <v>15</v>
      </c>
      <c r="O1084" t="s">
        <v>25</v>
      </c>
      <c r="P1084" t="s">
        <v>11</v>
      </c>
    </row>
    <row r="1085" spans="1:16" x14ac:dyDescent="0.3">
      <c r="A1085" s="2">
        <v>11084</v>
      </c>
      <c r="B1085" s="2">
        <v>790</v>
      </c>
      <c r="C1085" s="2">
        <v>2048</v>
      </c>
      <c r="D1085" s="2">
        <v>305</v>
      </c>
      <c r="E1085" s="4">
        <v>45617</v>
      </c>
      <c r="F1085" s="4">
        <v>45623</v>
      </c>
      <c r="G1085" s="2">
        <f t="shared" si="16"/>
        <v>6</v>
      </c>
      <c r="H1085" s="2">
        <v>82</v>
      </c>
      <c r="I1085" t="s">
        <v>36</v>
      </c>
      <c r="J1085" t="s">
        <v>22</v>
      </c>
      <c r="K1085" s="2">
        <v>6.74</v>
      </c>
      <c r="L1085" s="3">
        <v>864.57</v>
      </c>
      <c r="M1085" s="3">
        <f>orders_1[[#This Row],[products.Base_Price]]*orders_1[[#This Row],[Quantity]]</f>
        <v>70894.740000000005</v>
      </c>
      <c r="N1085" t="s">
        <v>20</v>
      </c>
      <c r="O1085" t="s">
        <v>10</v>
      </c>
      <c r="P1085" t="s">
        <v>19</v>
      </c>
    </row>
    <row r="1086" spans="1:16" x14ac:dyDescent="0.3">
      <c r="A1086" s="2">
        <v>11085</v>
      </c>
      <c r="B1086" s="2">
        <v>764</v>
      </c>
      <c r="C1086" s="2">
        <v>2091</v>
      </c>
      <c r="D1086" s="2">
        <v>311</v>
      </c>
      <c r="E1086" s="4">
        <v>45549</v>
      </c>
      <c r="F1086" s="4">
        <v>45553</v>
      </c>
      <c r="G1086" s="2">
        <f t="shared" si="16"/>
        <v>4</v>
      </c>
      <c r="H1086" s="2">
        <v>53</v>
      </c>
      <c r="I1086" t="s">
        <v>78</v>
      </c>
      <c r="J1086" t="s">
        <v>21</v>
      </c>
      <c r="K1086" s="2">
        <v>10.41</v>
      </c>
      <c r="L1086" s="3">
        <v>271.61</v>
      </c>
      <c r="M1086" s="3">
        <f>orders_1[[#This Row],[products.Base_Price]]*orders_1[[#This Row],[Quantity]]</f>
        <v>14395.33</v>
      </c>
      <c r="N1086" t="s">
        <v>26</v>
      </c>
      <c r="O1086" t="s">
        <v>10</v>
      </c>
      <c r="P1086" t="s">
        <v>11</v>
      </c>
    </row>
    <row r="1087" spans="1:16" x14ac:dyDescent="0.3">
      <c r="A1087" s="2">
        <v>11086</v>
      </c>
      <c r="B1087" s="2">
        <v>806</v>
      </c>
      <c r="C1087" s="2">
        <v>2034</v>
      </c>
      <c r="D1087" s="2">
        <v>320</v>
      </c>
      <c r="E1087" s="4">
        <v>45496</v>
      </c>
      <c r="F1087" s="4">
        <v>45506</v>
      </c>
      <c r="G1087" s="2">
        <f t="shared" si="16"/>
        <v>10</v>
      </c>
      <c r="H1087" s="2">
        <v>47</v>
      </c>
      <c r="I1087" t="s">
        <v>42</v>
      </c>
      <c r="J1087" t="s">
        <v>27</v>
      </c>
      <c r="K1087" s="2">
        <v>26.17</v>
      </c>
      <c r="L1087" s="3">
        <v>540.23</v>
      </c>
      <c r="M1087" s="3">
        <f>orders_1[[#This Row],[products.Base_Price]]*orders_1[[#This Row],[Quantity]]</f>
        <v>25390.81</v>
      </c>
      <c r="N1087" t="s">
        <v>15</v>
      </c>
      <c r="O1087" t="s">
        <v>25</v>
      </c>
      <c r="P1087" t="s">
        <v>11</v>
      </c>
    </row>
    <row r="1088" spans="1:16" x14ac:dyDescent="0.3">
      <c r="A1088" s="2">
        <v>11087</v>
      </c>
      <c r="B1088" s="2">
        <v>765</v>
      </c>
      <c r="C1088" s="2">
        <v>2035</v>
      </c>
      <c r="D1088" s="2">
        <v>316</v>
      </c>
      <c r="E1088" s="4">
        <v>45460</v>
      </c>
      <c r="F1088" s="4">
        <v>45467</v>
      </c>
      <c r="G1088" s="2">
        <f t="shared" si="16"/>
        <v>7</v>
      </c>
      <c r="H1088" s="2">
        <v>85</v>
      </c>
      <c r="I1088" t="s">
        <v>39</v>
      </c>
      <c r="J1088" t="s">
        <v>27</v>
      </c>
      <c r="K1088" s="2">
        <v>18.55</v>
      </c>
      <c r="L1088" s="3">
        <v>636.37</v>
      </c>
      <c r="M1088" s="3">
        <f>orders_1[[#This Row],[products.Base_Price]]*orders_1[[#This Row],[Quantity]]</f>
        <v>54091.45</v>
      </c>
      <c r="N1088" t="s">
        <v>24</v>
      </c>
      <c r="O1088" t="s">
        <v>25</v>
      </c>
      <c r="P1088" t="s">
        <v>19</v>
      </c>
    </row>
    <row r="1089" spans="1:16" x14ac:dyDescent="0.3">
      <c r="A1089" s="2">
        <v>11088</v>
      </c>
      <c r="B1089" s="2">
        <v>687</v>
      </c>
      <c r="C1089" s="2">
        <v>2046</v>
      </c>
      <c r="D1089" s="2">
        <v>314</v>
      </c>
      <c r="E1089" s="4">
        <v>45339</v>
      </c>
      <c r="F1089" s="4">
        <v>45349</v>
      </c>
      <c r="G1089" s="2">
        <f t="shared" si="16"/>
        <v>10</v>
      </c>
      <c r="H1089" s="2">
        <v>46</v>
      </c>
      <c r="I1089" t="s">
        <v>78</v>
      </c>
      <c r="J1089" t="s">
        <v>27</v>
      </c>
      <c r="K1089" s="2">
        <v>38.130000000000003</v>
      </c>
      <c r="L1089" s="3">
        <v>649.34</v>
      </c>
      <c r="M1089" s="3">
        <f>orders_1[[#This Row],[products.Base_Price]]*orders_1[[#This Row],[Quantity]]</f>
        <v>29869.640000000003</v>
      </c>
      <c r="N1089" t="s">
        <v>17</v>
      </c>
      <c r="O1089" t="s">
        <v>14</v>
      </c>
      <c r="P1089" t="s">
        <v>19</v>
      </c>
    </row>
    <row r="1090" spans="1:16" x14ac:dyDescent="0.3">
      <c r="A1090" s="2">
        <v>11089</v>
      </c>
      <c r="B1090" s="2">
        <v>733</v>
      </c>
      <c r="C1090" s="2">
        <v>2086</v>
      </c>
      <c r="D1090" s="2">
        <v>312</v>
      </c>
      <c r="E1090" s="4">
        <v>45432</v>
      </c>
      <c r="F1090" s="4">
        <v>45436</v>
      </c>
      <c r="G1090" s="2">
        <f t="shared" ref="G1090:G1153" si="17">F1090-E1090</f>
        <v>4</v>
      </c>
      <c r="H1090" s="2">
        <v>7</v>
      </c>
      <c r="I1090" t="s">
        <v>42</v>
      </c>
      <c r="J1090" t="s">
        <v>27</v>
      </c>
      <c r="K1090" s="2">
        <v>27.73</v>
      </c>
      <c r="L1090" s="3">
        <v>417.42</v>
      </c>
      <c r="M1090" s="3">
        <f>orders_1[[#This Row],[products.Base_Price]]*orders_1[[#This Row],[Quantity]]</f>
        <v>2921.94</v>
      </c>
      <c r="N1090" t="s">
        <v>15</v>
      </c>
      <c r="O1090" t="s">
        <v>10</v>
      </c>
      <c r="P1090" t="s">
        <v>11</v>
      </c>
    </row>
    <row r="1091" spans="1:16" x14ac:dyDescent="0.3">
      <c r="A1091" s="2">
        <v>11090</v>
      </c>
      <c r="B1091" s="2">
        <v>804</v>
      </c>
      <c r="C1091" s="2">
        <v>2081</v>
      </c>
      <c r="D1091" s="2">
        <v>307</v>
      </c>
      <c r="E1091" s="4">
        <v>45393</v>
      </c>
      <c r="F1091" s="4">
        <v>45398</v>
      </c>
      <c r="G1091" s="2">
        <f t="shared" si="17"/>
        <v>5</v>
      </c>
      <c r="H1091" s="2">
        <v>10</v>
      </c>
      <c r="I1091" t="s">
        <v>78</v>
      </c>
      <c r="J1091" t="s">
        <v>21</v>
      </c>
      <c r="K1091" s="2">
        <v>20.72</v>
      </c>
      <c r="L1091" s="3">
        <v>668.31</v>
      </c>
      <c r="M1091" s="3">
        <f>orders_1[[#This Row],[products.Base_Price]]*orders_1[[#This Row],[Quantity]]</f>
        <v>6683.0999999999995</v>
      </c>
      <c r="N1091" t="s">
        <v>17</v>
      </c>
      <c r="O1091" t="s">
        <v>10</v>
      </c>
      <c r="P1091" t="s">
        <v>11</v>
      </c>
    </row>
    <row r="1092" spans="1:16" x14ac:dyDescent="0.3">
      <c r="A1092" s="2">
        <v>11091</v>
      </c>
      <c r="B1092" s="2">
        <v>537</v>
      </c>
      <c r="C1092" s="2">
        <v>2059</v>
      </c>
      <c r="D1092" s="2">
        <v>307</v>
      </c>
      <c r="E1092" s="4">
        <v>45372</v>
      </c>
      <c r="F1092" s="4">
        <v>45374</v>
      </c>
      <c r="G1092" s="2">
        <f t="shared" si="17"/>
        <v>2</v>
      </c>
      <c r="H1092" s="2">
        <v>19</v>
      </c>
      <c r="I1092" t="s">
        <v>39</v>
      </c>
      <c r="J1092" t="s">
        <v>9</v>
      </c>
      <c r="K1092" s="2">
        <v>17.760000000000002</v>
      </c>
      <c r="L1092" s="3">
        <v>279.55</v>
      </c>
      <c r="M1092" s="3">
        <f>orders_1[[#This Row],[products.Base_Price]]*orders_1[[#This Row],[Quantity]]</f>
        <v>5311.45</v>
      </c>
      <c r="N1092" t="s">
        <v>17</v>
      </c>
      <c r="O1092" t="s">
        <v>10</v>
      </c>
      <c r="P1092" t="s">
        <v>11</v>
      </c>
    </row>
    <row r="1093" spans="1:16" x14ac:dyDescent="0.3">
      <c r="A1093" s="2">
        <v>11092</v>
      </c>
      <c r="B1093" s="2">
        <v>563</v>
      </c>
      <c r="C1093" s="2">
        <v>2075</v>
      </c>
      <c r="D1093" s="2">
        <v>316</v>
      </c>
      <c r="E1093" s="4">
        <v>45651</v>
      </c>
      <c r="F1093" s="4">
        <v>45655</v>
      </c>
      <c r="G1093" s="2">
        <f t="shared" si="17"/>
        <v>4</v>
      </c>
      <c r="H1093" s="2">
        <v>56</v>
      </c>
      <c r="I1093" t="s">
        <v>42</v>
      </c>
      <c r="J1093" t="s">
        <v>27</v>
      </c>
      <c r="K1093" s="2">
        <v>16.57</v>
      </c>
      <c r="L1093" s="3">
        <v>429.9</v>
      </c>
      <c r="M1093" s="3">
        <f>orders_1[[#This Row],[products.Base_Price]]*orders_1[[#This Row],[Quantity]]</f>
        <v>24074.399999999998</v>
      </c>
      <c r="N1093" t="s">
        <v>24</v>
      </c>
      <c r="O1093" t="s">
        <v>25</v>
      </c>
      <c r="P1093" t="s">
        <v>19</v>
      </c>
    </row>
    <row r="1094" spans="1:16" x14ac:dyDescent="0.3">
      <c r="A1094" s="2">
        <v>11093</v>
      </c>
      <c r="B1094" s="2">
        <v>634</v>
      </c>
      <c r="C1094" s="2">
        <v>2078</v>
      </c>
      <c r="D1094" s="2">
        <v>307</v>
      </c>
      <c r="E1094" s="4">
        <v>45503</v>
      </c>
      <c r="F1094" s="4">
        <v>45505</v>
      </c>
      <c r="G1094" s="2">
        <f t="shared" si="17"/>
        <v>2</v>
      </c>
      <c r="H1094" s="2">
        <v>33</v>
      </c>
      <c r="I1094" t="s">
        <v>36</v>
      </c>
      <c r="J1094" t="s">
        <v>21</v>
      </c>
      <c r="K1094" s="2">
        <v>14.85</v>
      </c>
      <c r="L1094" s="3">
        <v>517.03</v>
      </c>
      <c r="M1094" s="3">
        <f>orders_1[[#This Row],[products.Base_Price]]*orders_1[[#This Row],[Quantity]]</f>
        <v>17061.989999999998</v>
      </c>
      <c r="N1094" t="s">
        <v>17</v>
      </c>
      <c r="O1094" t="s">
        <v>10</v>
      </c>
      <c r="P1094" t="s">
        <v>11</v>
      </c>
    </row>
    <row r="1095" spans="1:16" x14ac:dyDescent="0.3">
      <c r="A1095" s="2">
        <v>11094</v>
      </c>
      <c r="B1095" s="2">
        <v>889</v>
      </c>
      <c r="C1095" s="2">
        <v>2006</v>
      </c>
      <c r="D1095" s="2">
        <v>318</v>
      </c>
      <c r="E1095" s="4">
        <v>45616</v>
      </c>
      <c r="F1095" s="4">
        <v>45622</v>
      </c>
      <c r="G1095" s="2">
        <f t="shared" si="17"/>
        <v>6</v>
      </c>
      <c r="H1095" s="2">
        <v>85</v>
      </c>
      <c r="I1095" t="s">
        <v>42</v>
      </c>
      <c r="J1095" t="s">
        <v>22</v>
      </c>
      <c r="K1095" s="2">
        <v>41.47</v>
      </c>
      <c r="L1095" s="3">
        <v>541.85</v>
      </c>
      <c r="M1095" s="3">
        <f>orders_1[[#This Row],[products.Base_Price]]*orders_1[[#This Row],[Quantity]]</f>
        <v>46057.25</v>
      </c>
      <c r="N1095" t="s">
        <v>17</v>
      </c>
      <c r="O1095" t="s">
        <v>10</v>
      </c>
      <c r="P1095" t="s">
        <v>19</v>
      </c>
    </row>
    <row r="1096" spans="1:16" x14ac:dyDescent="0.3">
      <c r="A1096" s="2">
        <v>11095</v>
      </c>
      <c r="B1096" s="2">
        <v>884</v>
      </c>
      <c r="C1096" s="2">
        <v>2044</v>
      </c>
      <c r="D1096" s="2">
        <v>313</v>
      </c>
      <c r="E1096" s="4">
        <v>45382</v>
      </c>
      <c r="F1096" s="4">
        <v>45391</v>
      </c>
      <c r="G1096" s="2">
        <f t="shared" si="17"/>
        <v>9</v>
      </c>
      <c r="H1096" s="2">
        <v>53</v>
      </c>
      <c r="I1096" t="s">
        <v>36</v>
      </c>
      <c r="J1096" t="s">
        <v>21</v>
      </c>
      <c r="K1096" s="2">
        <v>11.44</v>
      </c>
      <c r="L1096" s="3">
        <v>939.99</v>
      </c>
      <c r="M1096" s="3">
        <f>orders_1[[#This Row],[products.Base_Price]]*orders_1[[#This Row],[Quantity]]</f>
        <v>49819.47</v>
      </c>
      <c r="N1096" t="s">
        <v>15</v>
      </c>
      <c r="O1096" t="s">
        <v>25</v>
      </c>
      <c r="P1096" t="s">
        <v>16</v>
      </c>
    </row>
    <row r="1097" spans="1:16" x14ac:dyDescent="0.3">
      <c r="A1097" s="2">
        <v>11096</v>
      </c>
      <c r="B1097" s="2">
        <v>528</v>
      </c>
      <c r="C1097" s="2">
        <v>2066</v>
      </c>
      <c r="D1097" s="2">
        <v>305</v>
      </c>
      <c r="E1097" s="4">
        <v>45467</v>
      </c>
      <c r="F1097" s="4">
        <v>45474</v>
      </c>
      <c r="G1097" s="2">
        <f t="shared" si="17"/>
        <v>7</v>
      </c>
      <c r="H1097" s="2">
        <v>46</v>
      </c>
      <c r="I1097" t="s">
        <v>78</v>
      </c>
      <c r="J1097" t="s">
        <v>9</v>
      </c>
      <c r="K1097" s="2">
        <v>43.64</v>
      </c>
      <c r="L1097" s="3">
        <v>832.31</v>
      </c>
      <c r="M1097" s="3">
        <f>orders_1[[#This Row],[products.Base_Price]]*orders_1[[#This Row],[Quantity]]</f>
        <v>38286.259999999995</v>
      </c>
      <c r="N1097" t="s">
        <v>20</v>
      </c>
      <c r="O1097" t="s">
        <v>10</v>
      </c>
      <c r="P1097" t="s">
        <v>19</v>
      </c>
    </row>
    <row r="1098" spans="1:16" x14ac:dyDescent="0.3">
      <c r="A1098" s="2">
        <v>11097</v>
      </c>
      <c r="B1098" s="2">
        <v>538</v>
      </c>
      <c r="C1098" s="2">
        <v>2097</v>
      </c>
      <c r="D1098" s="2">
        <v>308</v>
      </c>
      <c r="E1098" s="4">
        <v>45312</v>
      </c>
      <c r="F1098" s="4">
        <v>45318</v>
      </c>
      <c r="G1098" s="2">
        <f t="shared" si="17"/>
        <v>6</v>
      </c>
      <c r="H1098" s="2">
        <v>22</v>
      </c>
      <c r="I1098" t="s">
        <v>39</v>
      </c>
      <c r="J1098" t="s">
        <v>27</v>
      </c>
      <c r="K1098" s="2">
        <v>30.63</v>
      </c>
      <c r="L1098" s="3">
        <v>828.74</v>
      </c>
      <c r="M1098" s="3">
        <f>orders_1[[#This Row],[products.Base_Price]]*orders_1[[#This Row],[Quantity]]</f>
        <v>18232.28</v>
      </c>
      <c r="N1098" t="s">
        <v>23</v>
      </c>
      <c r="O1098" t="s">
        <v>14</v>
      </c>
      <c r="P1098" t="s">
        <v>19</v>
      </c>
    </row>
    <row r="1099" spans="1:16" x14ac:dyDescent="0.3">
      <c r="A1099" s="2">
        <v>11098</v>
      </c>
      <c r="B1099" s="2">
        <v>602</v>
      </c>
      <c r="C1099" s="2">
        <v>2081</v>
      </c>
      <c r="D1099" s="2">
        <v>301</v>
      </c>
      <c r="E1099" s="4">
        <v>45535</v>
      </c>
      <c r="F1099" s="4">
        <v>45539</v>
      </c>
      <c r="G1099" s="2">
        <f t="shared" si="17"/>
        <v>4</v>
      </c>
      <c r="H1099" s="2">
        <v>96</v>
      </c>
      <c r="I1099" t="s">
        <v>39</v>
      </c>
      <c r="J1099" t="s">
        <v>21</v>
      </c>
      <c r="K1099" s="2">
        <v>20.72</v>
      </c>
      <c r="L1099" s="3">
        <v>668.31</v>
      </c>
      <c r="M1099" s="3">
        <f>orders_1[[#This Row],[products.Base_Price]]*orders_1[[#This Row],[Quantity]]</f>
        <v>64157.759999999995</v>
      </c>
      <c r="N1099" t="s">
        <v>8</v>
      </c>
      <c r="O1099" t="s">
        <v>10</v>
      </c>
      <c r="P1099" t="s">
        <v>11</v>
      </c>
    </row>
    <row r="1100" spans="1:16" x14ac:dyDescent="0.3">
      <c r="A1100" s="2">
        <v>11099</v>
      </c>
      <c r="B1100" s="2">
        <v>862</v>
      </c>
      <c r="C1100" s="2">
        <v>2073</v>
      </c>
      <c r="D1100" s="2">
        <v>312</v>
      </c>
      <c r="E1100" s="4">
        <v>45555</v>
      </c>
      <c r="F1100" s="4">
        <v>45560</v>
      </c>
      <c r="G1100" s="2">
        <f t="shared" si="17"/>
        <v>5</v>
      </c>
      <c r="H1100" s="2">
        <v>80</v>
      </c>
      <c r="I1100" t="s">
        <v>78</v>
      </c>
      <c r="J1100" t="s">
        <v>9</v>
      </c>
      <c r="K1100" s="2">
        <v>11.78</v>
      </c>
      <c r="L1100" s="3">
        <v>416.74</v>
      </c>
      <c r="M1100" s="3">
        <f>orders_1[[#This Row],[products.Base_Price]]*orders_1[[#This Row],[Quantity]]</f>
        <v>33339.199999999997</v>
      </c>
      <c r="N1100" t="s">
        <v>15</v>
      </c>
      <c r="O1100" t="s">
        <v>10</v>
      </c>
      <c r="P1100" t="s">
        <v>11</v>
      </c>
    </row>
    <row r="1101" spans="1:16" x14ac:dyDescent="0.3">
      <c r="A1101" s="2">
        <v>11100</v>
      </c>
      <c r="B1101" s="2">
        <v>671</v>
      </c>
      <c r="C1101" s="2">
        <v>2025</v>
      </c>
      <c r="D1101" s="2">
        <v>308</v>
      </c>
      <c r="E1101" s="4">
        <v>45401</v>
      </c>
      <c r="F1101" s="4">
        <v>45407</v>
      </c>
      <c r="G1101" s="2">
        <f t="shared" si="17"/>
        <v>6</v>
      </c>
      <c r="H1101" s="2">
        <v>77</v>
      </c>
      <c r="I1101" t="s">
        <v>42</v>
      </c>
      <c r="J1101" t="s">
        <v>13</v>
      </c>
      <c r="K1101" s="2">
        <v>3.39</v>
      </c>
      <c r="L1101" s="3">
        <v>303.87</v>
      </c>
      <c r="M1101" s="3">
        <f>orders_1[[#This Row],[products.Base_Price]]*orders_1[[#This Row],[Quantity]]</f>
        <v>23397.99</v>
      </c>
      <c r="N1101" t="s">
        <v>23</v>
      </c>
      <c r="O1101" t="s">
        <v>14</v>
      </c>
      <c r="P1101" t="s">
        <v>19</v>
      </c>
    </row>
    <row r="1102" spans="1:16" x14ac:dyDescent="0.3">
      <c r="A1102" s="2">
        <v>11101</v>
      </c>
      <c r="B1102" s="2">
        <v>701</v>
      </c>
      <c r="C1102" s="2">
        <v>2047</v>
      </c>
      <c r="D1102" s="2">
        <v>305</v>
      </c>
      <c r="E1102" s="4">
        <v>45546</v>
      </c>
      <c r="F1102" s="4">
        <v>45555</v>
      </c>
      <c r="G1102" s="2">
        <f t="shared" si="17"/>
        <v>9</v>
      </c>
      <c r="H1102" s="2">
        <v>89</v>
      </c>
      <c r="I1102" t="s">
        <v>36</v>
      </c>
      <c r="J1102" t="s">
        <v>27</v>
      </c>
      <c r="K1102" s="2">
        <v>31.72</v>
      </c>
      <c r="L1102" s="3">
        <v>210.46</v>
      </c>
      <c r="M1102" s="3">
        <f>orders_1[[#This Row],[products.Base_Price]]*orders_1[[#This Row],[Quantity]]</f>
        <v>18730.940000000002</v>
      </c>
      <c r="N1102" t="s">
        <v>20</v>
      </c>
      <c r="O1102" t="s">
        <v>10</v>
      </c>
      <c r="P1102" t="s">
        <v>19</v>
      </c>
    </row>
    <row r="1103" spans="1:16" x14ac:dyDescent="0.3">
      <c r="A1103" s="2">
        <v>11102</v>
      </c>
      <c r="B1103" s="2">
        <v>539</v>
      </c>
      <c r="C1103" s="2">
        <v>2087</v>
      </c>
      <c r="D1103" s="2">
        <v>309</v>
      </c>
      <c r="E1103" s="4">
        <v>45557</v>
      </c>
      <c r="F1103" s="4">
        <v>45562</v>
      </c>
      <c r="G1103" s="2">
        <f t="shared" si="17"/>
        <v>5</v>
      </c>
      <c r="H1103" s="2">
        <v>88</v>
      </c>
      <c r="I1103" t="s">
        <v>39</v>
      </c>
      <c r="J1103" t="s">
        <v>9</v>
      </c>
      <c r="K1103" s="2">
        <v>35.82</v>
      </c>
      <c r="L1103" s="3">
        <v>47.38</v>
      </c>
      <c r="M1103" s="3">
        <f>orders_1[[#This Row],[products.Base_Price]]*orders_1[[#This Row],[Quantity]]</f>
        <v>4169.4400000000005</v>
      </c>
      <c r="N1103" t="s">
        <v>24</v>
      </c>
      <c r="O1103" t="s">
        <v>25</v>
      </c>
      <c r="P1103" t="s">
        <v>16</v>
      </c>
    </row>
    <row r="1104" spans="1:16" x14ac:dyDescent="0.3">
      <c r="A1104" s="2">
        <v>11103</v>
      </c>
      <c r="B1104" s="2">
        <v>575</v>
      </c>
      <c r="C1104" s="2">
        <v>2062</v>
      </c>
      <c r="D1104" s="2">
        <v>313</v>
      </c>
      <c r="E1104" s="4">
        <v>45412</v>
      </c>
      <c r="F1104" s="4">
        <v>45421</v>
      </c>
      <c r="G1104" s="2">
        <f t="shared" si="17"/>
        <v>9</v>
      </c>
      <c r="H1104" s="2">
        <v>68</v>
      </c>
      <c r="I1104" t="s">
        <v>42</v>
      </c>
      <c r="J1104" t="s">
        <v>9</v>
      </c>
      <c r="K1104" s="2">
        <v>32.479999999999997</v>
      </c>
      <c r="L1104" s="3">
        <v>409.49</v>
      </c>
      <c r="M1104" s="3">
        <f>orders_1[[#This Row],[products.Base_Price]]*orders_1[[#This Row],[Quantity]]</f>
        <v>27845.32</v>
      </c>
      <c r="N1104" t="s">
        <v>15</v>
      </c>
      <c r="O1104" t="s">
        <v>25</v>
      </c>
      <c r="P1104" t="s">
        <v>16</v>
      </c>
    </row>
    <row r="1105" spans="1:16" x14ac:dyDescent="0.3">
      <c r="A1105" s="2">
        <v>11104</v>
      </c>
      <c r="B1105" s="2">
        <v>579</v>
      </c>
      <c r="C1105" s="2">
        <v>2030</v>
      </c>
      <c r="D1105" s="2">
        <v>319</v>
      </c>
      <c r="E1105" s="4">
        <v>45567</v>
      </c>
      <c r="F1105" s="4">
        <v>45568</v>
      </c>
      <c r="G1105" s="2">
        <f t="shared" si="17"/>
        <v>1</v>
      </c>
      <c r="H1105" s="2">
        <v>26</v>
      </c>
      <c r="I1105" t="s">
        <v>36</v>
      </c>
      <c r="J1105" t="s">
        <v>13</v>
      </c>
      <c r="K1105" s="2">
        <v>27.52</v>
      </c>
      <c r="L1105" s="3">
        <v>537.03</v>
      </c>
      <c r="M1105" s="3">
        <f>orders_1[[#This Row],[products.Base_Price]]*orders_1[[#This Row],[Quantity]]</f>
        <v>13962.779999999999</v>
      </c>
      <c r="N1105" t="s">
        <v>20</v>
      </c>
      <c r="O1105" t="s">
        <v>18</v>
      </c>
      <c r="P1105" t="s">
        <v>11</v>
      </c>
    </row>
    <row r="1106" spans="1:16" x14ac:dyDescent="0.3">
      <c r="A1106" s="2">
        <v>11105</v>
      </c>
      <c r="B1106" s="2">
        <v>731</v>
      </c>
      <c r="C1106" s="2">
        <v>2026</v>
      </c>
      <c r="D1106" s="2">
        <v>303</v>
      </c>
      <c r="E1106" s="4">
        <v>45496</v>
      </c>
      <c r="F1106" s="4">
        <v>45499</v>
      </c>
      <c r="G1106" s="2">
        <f t="shared" si="17"/>
        <v>3</v>
      </c>
      <c r="H1106" s="2">
        <v>98</v>
      </c>
      <c r="I1106" t="s">
        <v>36</v>
      </c>
      <c r="J1106" t="s">
        <v>22</v>
      </c>
      <c r="K1106" s="2">
        <v>23.02</v>
      </c>
      <c r="L1106" s="3">
        <v>858.57</v>
      </c>
      <c r="M1106" s="3">
        <f>orders_1[[#This Row],[products.Base_Price]]*orders_1[[#This Row],[Quantity]]</f>
        <v>84139.86</v>
      </c>
      <c r="N1106" t="s">
        <v>15</v>
      </c>
      <c r="O1106" t="s">
        <v>10</v>
      </c>
      <c r="P1106" t="s">
        <v>16</v>
      </c>
    </row>
    <row r="1107" spans="1:16" x14ac:dyDescent="0.3">
      <c r="A1107" s="2">
        <v>11106</v>
      </c>
      <c r="B1107" s="2">
        <v>684</v>
      </c>
      <c r="C1107" s="2">
        <v>2053</v>
      </c>
      <c r="D1107" s="2">
        <v>308</v>
      </c>
      <c r="E1107" s="4">
        <v>45620</v>
      </c>
      <c r="F1107" s="4">
        <v>45621</v>
      </c>
      <c r="G1107" s="2">
        <f t="shared" si="17"/>
        <v>1</v>
      </c>
      <c r="H1107" s="2">
        <v>5</v>
      </c>
      <c r="I1107" t="s">
        <v>39</v>
      </c>
      <c r="J1107" t="s">
        <v>22</v>
      </c>
      <c r="K1107" s="2">
        <v>34.54</v>
      </c>
      <c r="L1107" s="3">
        <v>162.21</v>
      </c>
      <c r="M1107" s="3">
        <f>orders_1[[#This Row],[products.Base_Price]]*orders_1[[#This Row],[Quantity]]</f>
        <v>811.05000000000007</v>
      </c>
      <c r="N1107" t="s">
        <v>23</v>
      </c>
      <c r="O1107" t="s">
        <v>14</v>
      </c>
      <c r="P1107" t="s">
        <v>19</v>
      </c>
    </row>
    <row r="1108" spans="1:16" x14ac:dyDescent="0.3">
      <c r="A1108" s="2">
        <v>11107</v>
      </c>
      <c r="B1108" s="2">
        <v>724</v>
      </c>
      <c r="C1108" s="2">
        <v>2060</v>
      </c>
      <c r="D1108" s="2">
        <v>314</v>
      </c>
      <c r="E1108" s="4">
        <v>45392</v>
      </c>
      <c r="F1108" s="4">
        <v>45402</v>
      </c>
      <c r="G1108" s="2">
        <f t="shared" si="17"/>
        <v>10</v>
      </c>
      <c r="H1108" s="2">
        <v>93</v>
      </c>
      <c r="I1108" t="s">
        <v>78</v>
      </c>
      <c r="J1108" t="s">
        <v>21</v>
      </c>
      <c r="K1108" s="2">
        <v>3.65</v>
      </c>
      <c r="L1108" s="3">
        <v>173.1</v>
      </c>
      <c r="M1108" s="3">
        <f>orders_1[[#This Row],[products.Base_Price]]*orders_1[[#This Row],[Quantity]]</f>
        <v>16098.3</v>
      </c>
      <c r="N1108" t="s">
        <v>17</v>
      </c>
      <c r="O1108" t="s">
        <v>14</v>
      </c>
      <c r="P1108" t="s">
        <v>19</v>
      </c>
    </row>
    <row r="1109" spans="1:16" x14ac:dyDescent="0.3">
      <c r="A1109" s="2">
        <v>11108</v>
      </c>
      <c r="B1109" s="2">
        <v>746</v>
      </c>
      <c r="C1109" s="2">
        <v>2021</v>
      </c>
      <c r="D1109" s="2">
        <v>311</v>
      </c>
      <c r="E1109" s="4">
        <v>45300</v>
      </c>
      <c r="F1109" s="4">
        <v>45305</v>
      </c>
      <c r="G1109" s="2">
        <f t="shared" si="17"/>
        <v>5</v>
      </c>
      <c r="H1109" s="2">
        <v>44</v>
      </c>
      <c r="I1109" t="s">
        <v>36</v>
      </c>
      <c r="J1109" t="s">
        <v>9</v>
      </c>
      <c r="K1109" s="2">
        <v>18.77</v>
      </c>
      <c r="L1109" s="3">
        <v>259.72000000000003</v>
      </c>
      <c r="M1109" s="3">
        <f>orders_1[[#This Row],[products.Base_Price]]*orders_1[[#This Row],[Quantity]]</f>
        <v>11427.68</v>
      </c>
      <c r="N1109" t="s">
        <v>26</v>
      </c>
      <c r="O1109" t="s">
        <v>10</v>
      </c>
      <c r="P1109" t="s">
        <v>11</v>
      </c>
    </row>
    <row r="1110" spans="1:16" x14ac:dyDescent="0.3">
      <c r="A1110" s="2">
        <v>11109</v>
      </c>
      <c r="B1110" s="2">
        <v>620</v>
      </c>
      <c r="C1110" s="2">
        <v>2028</v>
      </c>
      <c r="D1110" s="2">
        <v>317</v>
      </c>
      <c r="E1110" s="4">
        <v>45372</v>
      </c>
      <c r="F1110" s="4">
        <v>45380</v>
      </c>
      <c r="G1110" s="2">
        <f t="shared" si="17"/>
        <v>8</v>
      </c>
      <c r="H1110" s="2">
        <v>56</v>
      </c>
      <c r="I1110" t="s">
        <v>36</v>
      </c>
      <c r="J1110" t="s">
        <v>13</v>
      </c>
      <c r="K1110" s="2">
        <v>30.34</v>
      </c>
      <c r="L1110" s="3">
        <v>630.65</v>
      </c>
      <c r="M1110" s="3">
        <f>orders_1[[#This Row],[products.Base_Price]]*orders_1[[#This Row],[Quantity]]</f>
        <v>35316.400000000001</v>
      </c>
      <c r="N1110" t="s">
        <v>20</v>
      </c>
      <c r="O1110" t="s">
        <v>25</v>
      </c>
      <c r="P1110" t="s">
        <v>19</v>
      </c>
    </row>
    <row r="1111" spans="1:16" x14ac:dyDescent="0.3">
      <c r="A1111" s="2">
        <v>11110</v>
      </c>
      <c r="B1111" s="2">
        <v>792</v>
      </c>
      <c r="C1111" s="2">
        <v>2098</v>
      </c>
      <c r="D1111" s="2">
        <v>307</v>
      </c>
      <c r="E1111" s="4">
        <v>45414</v>
      </c>
      <c r="F1111" s="4">
        <v>45417</v>
      </c>
      <c r="G1111" s="2">
        <f t="shared" si="17"/>
        <v>3</v>
      </c>
      <c r="H1111" s="2">
        <v>99</v>
      </c>
      <c r="I1111" t="s">
        <v>39</v>
      </c>
      <c r="J1111" t="s">
        <v>13</v>
      </c>
      <c r="K1111" s="2">
        <v>25.35</v>
      </c>
      <c r="L1111" s="3">
        <v>571.58000000000004</v>
      </c>
      <c r="M1111" s="3">
        <f>orders_1[[#This Row],[products.Base_Price]]*orders_1[[#This Row],[Quantity]]</f>
        <v>56586.420000000006</v>
      </c>
      <c r="N1111" t="s">
        <v>17</v>
      </c>
      <c r="O1111" t="s">
        <v>10</v>
      </c>
      <c r="P1111" t="s">
        <v>11</v>
      </c>
    </row>
    <row r="1112" spans="1:16" x14ac:dyDescent="0.3">
      <c r="A1112" s="2">
        <v>11111</v>
      </c>
      <c r="B1112" s="2">
        <v>697</v>
      </c>
      <c r="C1112" s="2">
        <v>2058</v>
      </c>
      <c r="D1112" s="2">
        <v>307</v>
      </c>
      <c r="E1112" s="4">
        <v>45309</v>
      </c>
      <c r="F1112" s="4">
        <v>45316</v>
      </c>
      <c r="G1112" s="2">
        <f t="shared" si="17"/>
        <v>7</v>
      </c>
      <c r="H1112" s="2">
        <v>15</v>
      </c>
      <c r="I1112" t="s">
        <v>39</v>
      </c>
      <c r="J1112" t="s">
        <v>27</v>
      </c>
      <c r="K1112" s="2">
        <v>28.48</v>
      </c>
      <c r="L1112" s="3">
        <v>13.34</v>
      </c>
      <c r="M1112" s="3">
        <f>orders_1[[#This Row],[products.Base_Price]]*orders_1[[#This Row],[Quantity]]</f>
        <v>200.1</v>
      </c>
      <c r="N1112" t="s">
        <v>17</v>
      </c>
      <c r="O1112" t="s">
        <v>10</v>
      </c>
      <c r="P1112" t="s">
        <v>11</v>
      </c>
    </row>
    <row r="1113" spans="1:16" x14ac:dyDescent="0.3">
      <c r="A1113" s="2">
        <v>11112</v>
      </c>
      <c r="B1113" s="2">
        <v>665</v>
      </c>
      <c r="C1113" s="2">
        <v>2080</v>
      </c>
      <c r="D1113" s="2">
        <v>312</v>
      </c>
      <c r="E1113" s="4">
        <v>45382</v>
      </c>
      <c r="F1113" s="4">
        <v>45383</v>
      </c>
      <c r="G1113" s="2">
        <f t="shared" si="17"/>
        <v>1</v>
      </c>
      <c r="H1113" s="2">
        <v>90</v>
      </c>
      <c r="I1113" t="s">
        <v>42</v>
      </c>
      <c r="J1113" t="s">
        <v>9</v>
      </c>
      <c r="K1113" s="2">
        <v>29.56</v>
      </c>
      <c r="L1113" s="3">
        <v>143.84</v>
      </c>
      <c r="M1113" s="3">
        <f>orders_1[[#This Row],[products.Base_Price]]*orders_1[[#This Row],[Quantity]]</f>
        <v>12945.6</v>
      </c>
      <c r="N1113" t="s">
        <v>15</v>
      </c>
      <c r="O1113" t="s">
        <v>10</v>
      </c>
      <c r="P1113" t="s">
        <v>11</v>
      </c>
    </row>
    <row r="1114" spans="1:16" x14ac:dyDescent="0.3">
      <c r="A1114" s="2">
        <v>11113</v>
      </c>
      <c r="B1114" s="2">
        <v>840</v>
      </c>
      <c r="C1114" s="2">
        <v>2053</v>
      </c>
      <c r="D1114" s="2">
        <v>306</v>
      </c>
      <c r="E1114" s="4">
        <v>45507</v>
      </c>
      <c r="F1114" s="4">
        <v>45509</v>
      </c>
      <c r="G1114" s="2">
        <f t="shared" si="17"/>
        <v>2</v>
      </c>
      <c r="H1114" s="2">
        <v>73</v>
      </c>
      <c r="I1114" t="s">
        <v>36</v>
      </c>
      <c r="J1114" t="s">
        <v>22</v>
      </c>
      <c r="K1114" s="2">
        <v>34.54</v>
      </c>
      <c r="L1114" s="3">
        <v>162.21</v>
      </c>
      <c r="M1114" s="3">
        <f>orders_1[[#This Row],[products.Base_Price]]*orders_1[[#This Row],[Quantity]]</f>
        <v>11841.33</v>
      </c>
      <c r="N1114" t="s">
        <v>8</v>
      </c>
      <c r="O1114" t="s">
        <v>10</v>
      </c>
      <c r="P1114" t="s">
        <v>16</v>
      </c>
    </row>
    <row r="1115" spans="1:16" x14ac:dyDescent="0.3">
      <c r="A1115" s="2">
        <v>11114</v>
      </c>
      <c r="B1115" s="2">
        <v>883</v>
      </c>
      <c r="C1115" s="2">
        <v>2004</v>
      </c>
      <c r="D1115" s="2">
        <v>309</v>
      </c>
      <c r="E1115" s="4">
        <v>45509</v>
      </c>
      <c r="F1115" s="4">
        <v>45518</v>
      </c>
      <c r="G1115" s="2">
        <f t="shared" si="17"/>
        <v>9</v>
      </c>
      <c r="H1115" s="2">
        <v>47</v>
      </c>
      <c r="I1115" t="s">
        <v>42</v>
      </c>
      <c r="J1115" t="s">
        <v>9</v>
      </c>
      <c r="K1115" s="2">
        <v>4.34</v>
      </c>
      <c r="L1115" s="3">
        <v>52.14</v>
      </c>
      <c r="M1115" s="3">
        <f>orders_1[[#This Row],[products.Base_Price]]*orders_1[[#This Row],[Quantity]]</f>
        <v>2450.58</v>
      </c>
      <c r="N1115" t="s">
        <v>24</v>
      </c>
      <c r="O1115" t="s">
        <v>25</v>
      </c>
      <c r="P1115" t="s">
        <v>16</v>
      </c>
    </row>
    <row r="1116" spans="1:16" x14ac:dyDescent="0.3">
      <c r="A1116" s="2">
        <v>11115</v>
      </c>
      <c r="B1116" s="2">
        <v>763</v>
      </c>
      <c r="C1116" s="2">
        <v>2031</v>
      </c>
      <c r="D1116" s="2">
        <v>315</v>
      </c>
      <c r="E1116" s="4">
        <v>45328</v>
      </c>
      <c r="F1116" s="4">
        <v>45332</v>
      </c>
      <c r="G1116" s="2">
        <f t="shared" si="17"/>
        <v>4</v>
      </c>
      <c r="H1116" s="2">
        <v>10</v>
      </c>
      <c r="I1116" t="s">
        <v>78</v>
      </c>
      <c r="J1116" t="s">
        <v>27</v>
      </c>
      <c r="K1116" s="2">
        <v>24.61</v>
      </c>
      <c r="L1116" s="3">
        <v>342.86</v>
      </c>
      <c r="M1116" s="3">
        <f>orders_1[[#This Row],[products.Base_Price]]*orders_1[[#This Row],[Quantity]]</f>
        <v>3428.6000000000004</v>
      </c>
      <c r="N1116" t="s">
        <v>15</v>
      </c>
      <c r="O1116" t="s">
        <v>25</v>
      </c>
      <c r="P1116" t="s">
        <v>19</v>
      </c>
    </row>
    <row r="1117" spans="1:16" x14ac:dyDescent="0.3">
      <c r="A1117" s="2">
        <v>11116</v>
      </c>
      <c r="B1117" s="2">
        <v>810</v>
      </c>
      <c r="C1117" s="2">
        <v>2008</v>
      </c>
      <c r="D1117" s="2">
        <v>316</v>
      </c>
      <c r="E1117" s="4">
        <v>45424</v>
      </c>
      <c r="F1117" s="4">
        <v>45431</v>
      </c>
      <c r="G1117" s="2">
        <f t="shared" si="17"/>
        <v>7</v>
      </c>
      <c r="H1117" s="2">
        <v>6</v>
      </c>
      <c r="I1117" t="s">
        <v>36</v>
      </c>
      <c r="J1117" t="s">
        <v>21</v>
      </c>
      <c r="K1117" s="2">
        <v>8.5</v>
      </c>
      <c r="L1117" s="3">
        <v>899.21</v>
      </c>
      <c r="M1117" s="3">
        <f>orders_1[[#This Row],[products.Base_Price]]*orders_1[[#This Row],[Quantity]]</f>
        <v>5395.26</v>
      </c>
      <c r="N1117" t="s">
        <v>24</v>
      </c>
      <c r="O1117" t="s">
        <v>25</v>
      </c>
      <c r="P1117" t="s">
        <v>19</v>
      </c>
    </row>
    <row r="1118" spans="1:16" x14ac:dyDescent="0.3">
      <c r="A1118" s="2">
        <v>11117</v>
      </c>
      <c r="B1118" s="2">
        <v>613</v>
      </c>
      <c r="C1118" s="2">
        <v>2094</v>
      </c>
      <c r="D1118" s="2">
        <v>311</v>
      </c>
      <c r="E1118" s="4">
        <v>45493</v>
      </c>
      <c r="F1118" s="4">
        <v>45500</v>
      </c>
      <c r="G1118" s="2">
        <f t="shared" si="17"/>
        <v>7</v>
      </c>
      <c r="H1118" s="2">
        <v>51</v>
      </c>
      <c r="I1118" t="s">
        <v>39</v>
      </c>
      <c r="J1118" t="s">
        <v>27</v>
      </c>
      <c r="K1118" s="2">
        <v>22.56</v>
      </c>
      <c r="L1118" s="3">
        <v>393.53</v>
      </c>
      <c r="M1118" s="3">
        <f>orders_1[[#This Row],[products.Base_Price]]*orders_1[[#This Row],[Quantity]]</f>
        <v>20070.03</v>
      </c>
      <c r="N1118" t="s">
        <v>26</v>
      </c>
      <c r="O1118" t="s">
        <v>10</v>
      </c>
      <c r="P1118" t="s">
        <v>11</v>
      </c>
    </row>
    <row r="1119" spans="1:16" x14ac:dyDescent="0.3">
      <c r="A1119" s="2">
        <v>11118</v>
      </c>
      <c r="B1119" s="2">
        <v>725</v>
      </c>
      <c r="C1119" s="2">
        <v>2030</v>
      </c>
      <c r="D1119" s="2">
        <v>306</v>
      </c>
      <c r="E1119" s="4">
        <v>45443</v>
      </c>
      <c r="F1119" s="4">
        <v>45448</v>
      </c>
      <c r="G1119" s="2">
        <f t="shared" si="17"/>
        <v>5</v>
      </c>
      <c r="H1119" s="2">
        <v>89</v>
      </c>
      <c r="I1119" t="s">
        <v>42</v>
      </c>
      <c r="J1119" t="s">
        <v>13</v>
      </c>
      <c r="K1119" s="2">
        <v>27.52</v>
      </c>
      <c r="L1119" s="3">
        <v>537.03</v>
      </c>
      <c r="M1119" s="3">
        <f>orders_1[[#This Row],[products.Base_Price]]*orders_1[[#This Row],[Quantity]]</f>
        <v>47795.67</v>
      </c>
      <c r="N1119" t="s">
        <v>8</v>
      </c>
      <c r="O1119" t="s">
        <v>10</v>
      </c>
      <c r="P1119" t="s">
        <v>16</v>
      </c>
    </row>
    <row r="1120" spans="1:16" x14ac:dyDescent="0.3">
      <c r="A1120" s="2">
        <v>11119</v>
      </c>
      <c r="B1120" s="2">
        <v>823</v>
      </c>
      <c r="C1120" s="2">
        <v>2010</v>
      </c>
      <c r="D1120" s="2">
        <v>309</v>
      </c>
      <c r="E1120" s="4">
        <v>45313</v>
      </c>
      <c r="F1120" s="4">
        <v>45315</v>
      </c>
      <c r="G1120" s="2">
        <f t="shared" si="17"/>
        <v>2</v>
      </c>
      <c r="H1120" s="2">
        <v>63</v>
      </c>
      <c r="I1120" t="s">
        <v>78</v>
      </c>
      <c r="J1120" t="s">
        <v>13</v>
      </c>
      <c r="K1120" s="2">
        <v>9.58</v>
      </c>
      <c r="L1120" s="3">
        <v>440.93</v>
      </c>
      <c r="M1120" s="3">
        <f>orders_1[[#This Row],[products.Base_Price]]*orders_1[[#This Row],[Quantity]]</f>
        <v>27778.59</v>
      </c>
      <c r="N1120" t="s">
        <v>24</v>
      </c>
      <c r="O1120" t="s">
        <v>25</v>
      </c>
      <c r="P1120" t="s">
        <v>16</v>
      </c>
    </row>
    <row r="1121" spans="1:16" x14ac:dyDescent="0.3">
      <c r="A1121" s="2">
        <v>11120</v>
      </c>
      <c r="B1121" s="2">
        <v>717</v>
      </c>
      <c r="C1121" s="2">
        <v>2064</v>
      </c>
      <c r="D1121" s="2">
        <v>317</v>
      </c>
      <c r="E1121" s="4">
        <v>45448</v>
      </c>
      <c r="F1121" s="4">
        <v>45451</v>
      </c>
      <c r="G1121" s="2">
        <f t="shared" si="17"/>
        <v>3</v>
      </c>
      <c r="H1121" s="2">
        <v>10</v>
      </c>
      <c r="I1121" t="s">
        <v>39</v>
      </c>
      <c r="J1121" t="s">
        <v>21</v>
      </c>
      <c r="K1121" s="2">
        <v>15.41</v>
      </c>
      <c r="L1121" s="3">
        <v>203.79</v>
      </c>
      <c r="M1121" s="3">
        <f>orders_1[[#This Row],[products.Base_Price]]*orders_1[[#This Row],[Quantity]]</f>
        <v>2037.8999999999999</v>
      </c>
      <c r="N1121" t="s">
        <v>20</v>
      </c>
      <c r="O1121" t="s">
        <v>25</v>
      </c>
      <c r="P1121" t="s">
        <v>19</v>
      </c>
    </row>
    <row r="1122" spans="1:16" x14ac:dyDescent="0.3">
      <c r="A1122" s="2">
        <v>11121</v>
      </c>
      <c r="B1122" s="2">
        <v>865</v>
      </c>
      <c r="C1122" s="2">
        <v>2084</v>
      </c>
      <c r="D1122" s="2">
        <v>312</v>
      </c>
      <c r="E1122" s="4">
        <v>45413</v>
      </c>
      <c r="F1122" s="4">
        <v>45416</v>
      </c>
      <c r="G1122" s="2">
        <f t="shared" si="17"/>
        <v>3</v>
      </c>
      <c r="H1122" s="2">
        <v>83</v>
      </c>
      <c r="I1122" t="s">
        <v>36</v>
      </c>
      <c r="J1122" t="s">
        <v>21</v>
      </c>
      <c r="K1122" s="2">
        <v>14.27</v>
      </c>
      <c r="L1122" s="3">
        <v>223.58</v>
      </c>
      <c r="M1122" s="3">
        <f>orders_1[[#This Row],[products.Base_Price]]*orders_1[[#This Row],[Quantity]]</f>
        <v>18557.14</v>
      </c>
      <c r="N1122" t="s">
        <v>15</v>
      </c>
      <c r="O1122" t="s">
        <v>10</v>
      </c>
      <c r="P1122" t="s">
        <v>11</v>
      </c>
    </row>
    <row r="1123" spans="1:16" x14ac:dyDescent="0.3">
      <c r="A1123" s="2">
        <v>11122</v>
      </c>
      <c r="B1123" s="2">
        <v>686</v>
      </c>
      <c r="C1123" s="2">
        <v>2085</v>
      </c>
      <c r="D1123" s="2">
        <v>313</v>
      </c>
      <c r="E1123" s="4">
        <v>45430</v>
      </c>
      <c r="F1123" s="4">
        <v>45440</v>
      </c>
      <c r="G1123" s="2">
        <f t="shared" si="17"/>
        <v>10</v>
      </c>
      <c r="H1123" s="2">
        <v>18</v>
      </c>
      <c r="I1123" t="s">
        <v>39</v>
      </c>
      <c r="J1123" t="s">
        <v>22</v>
      </c>
      <c r="K1123" s="2">
        <v>47.56</v>
      </c>
      <c r="L1123" s="3">
        <v>131.63</v>
      </c>
      <c r="M1123" s="3">
        <f>orders_1[[#This Row],[products.Base_Price]]*orders_1[[#This Row],[Quantity]]</f>
        <v>2369.34</v>
      </c>
      <c r="N1123" t="s">
        <v>15</v>
      </c>
      <c r="O1123" t="s">
        <v>25</v>
      </c>
      <c r="P1123" t="s">
        <v>16</v>
      </c>
    </row>
    <row r="1124" spans="1:16" x14ac:dyDescent="0.3">
      <c r="A1124" s="2">
        <v>11123</v>
      </c>
      <c r="B1124" s="2">
        <v>723</v>
      </c>
      <c r="C1124" s="2">
        <v>2064</v>
      </c>
      <c r="D1124" s="2">
        <v>306</v>
      </c>
      <c r="E1124" s="4">
        <v>45490</v>
      </c>
      <c r="F1124" s="4">
        <v>45493</v>
      </c>
      <c r="G1124" s="2">
        <f t="shared" si="17"/>
        <v>3</v>
      </c>
      <c r="H1124" s="2">
        <v>66</v>
      </c>
      <c r="I1124" t="s">
        <v>78</v>
      </c>
      <c r="J1124" t="s">
        <v>21</v>
      </c>
      <c r="K1124" s="2">
        <v>15.41</v>
      </c>
      <c r="L1124" s="3">
        <v>203.79</v>
      </c>
      <c r="M1124" s="3">
        <f>orders_1[[#This Row],[products.Base_Price]]*orders_1[[#This Row],[Quantity]]</f>
        <v>13450.14</v>
      </c>
      <c r="N1124" t="s">
        <v>8</v>
      </c>
      <c r="O1124" t="s">
        <v>10</v>
      </c>
      <c r="P1124" t="s">
        <v>16</v>
      </c>
    </row>
    <row r="1125" spans="1:16" x14ac:dyDescent="0.3">
      <c r="A1125" s="2">
        <v>11124</v>
      </c>
      <c r="B1125" s="2">
        <v>890</v>
      </c>
      <c r="C1125" s="2">
        <v>2031</v>
      </c>
      <c r="D1125" s="2">
        <v>318</v>
      </c>
      <c r="E1125" s="4">
        <v>45503</v>
      </c>
      <c r="F1125" s="4">
        <v>45512</v>
      </c>
      <c r="G1125" s="2">
        <f t="shared" si="17"/>
        <v>9</v>
      </c>
      <c r="H1125" s="2">
        <v>48</v>
      </c>
      <c r="I1125" t="s">
        <v>36</v>
      </c>
      <c r="J1125" t="s">
        <v>27</v>
      </c>
      <c r="K1125" s="2">
        <v>24.61</v>
      </c>
      <c r="L1125" s="3">
        <v>342.86</v>
      </c>
      <c r="M1125" s="3">
        <f>orders_1[[#This Row],[products.Base_Price]]*orders_1[[#This Row],[Quantity]]</f>
        <v>16457.28</v>
      </c>
      <c r="N1125" t="s">
        <v>17</v>
      </c>
      <c r="O1125" t="s">
        <v>10</v>
      </c>
      <c r="P1125" t="s">
        <v>19</v>
      </c>
    </row>
    <row r="1126" spans="1:16" x14ac:dyDescent="0.3">
      <c r="A1126" s="2">
        <v>11125</v>
      </c>
      <c r="B1126" s="2">
        <v>768</v>
      </c>
      <c r="C1126" s="2">
        <v>2048</v>
      </c>
      <c r="D1126" s="2">
        <v>313</v>
      </c>
      <c r="E1126" s="4">
        <v>45430</v>
      </c>
      <c r="F1126" s="4">
        <v>45436</v>
      </c>
      <c r="G1126" s="2">
        <f t="shared" si="17"/>
        <v>6</v>
      </c>
      <c r="H1126" s="2">
        <v>20</v>
      </c>
      <c r="I1126" t="s">
        <v>39</v>
      </c>
      <c r="J1126" t="s">
        <v>22</v>
      </c>
      <c r="K1126" s="2">
        <v>6.74</v>
      </c>
      <c r="L1126" s="3">
        <v>864.57</v>
      </c>
      <c r="M1126" s="3">
        <f>orders_1[[#This Row],[products.Base_Price]]*orders_1[[#This Row],[Quantity]]</f>
        <v>17291.400000000001</v>
      </c>
      <c r="N1126" t="s">
        <v>15</v>
      </c>
      <c r="O1126" t="s">
        <v>25</v>
      </c>
      <c r="P1126" t="s">
        <v>16</v>
      </c>
    </row>
    <row r="1127" spans="1:16" x14ac:dyDescent="0.3">
      <c r="A1127" s="2">
        <v>11126</v>
      </c>
      <c r="B1127" s="2">
        <v>505</v>
      </c>
      <c r="C1127" s="2">
        <v>2095</v>
      </c>
      <c r="D1127" s="2">
        <v>305</v>
      </c>
      <c r="E1127" s="4">
        <v>45618</v>
      </c>
      <c r="F1127" s="4">
        <v>45626</v>
      </c>
      <c r="G1127" s="2">
        <f t="shared" si="17"/>
        <v>8</v>
      </c>
      <c r="H1127" s="2">
        <v>96</v>
      </c>
      <c r="I1127" t="s">
        <v>42</v>
      </c>
      <c r="J1127" t="s">
        <v>13</v>
      </c>
      <c r="K1127" s="2">
        <v>38.81</v>
      </c>
      <c r="L1127" s="3">
        <v>761.63</v>
      </c>
      <c r="M1127" s="3">
        <f>orders_1[[#This Row],[products.Base_Price]]*orders_1[[#This Row],[Quantity]]</f>
        <v>73116.479999999996</v>
      </c>
      <c r="N1127" t="s">
        <v>20</v>
      </c>
      <c r="O1127" t="s">
        <v>10</v>
      </c>
      <c r="P1127" t="s">
        <v>19</v>
      </c>
    </row>
    <row r="1128" spans="1:16" x14ac:dyDescent="0.3">
      <c r="A1128" s="2">
        <v>11127</v>
      </c>
      <c r="B1128" s="2">
        <v>879</v>
      </c>
      <c r="C1128" s="2">
        <v>2063</v>
      </c>
      <c r="D1128" s="2">
        <v>311</v>
      </c>
      <c r="E1128" s="4">
        <v>45515</v>
      </c>
      <c r="F1128" s="4">
        <v>45516</v>
      </c>
      <c r="G1128" s="2">
        <f t="shared" si="17"/>
        <v>1</v>
      </c>
      <c r="H1128" s="2">
        <v>97</v>
      </c>
      <c r="I1128" t="s">
        <v>42</v>
      </c>
      <c r="J1128" t="s">
        <v>9</v>
      </c>
      <c r="K1128" s="2">
        <v>13.23</v>
      </c>
      <c r="L1128" s="3">
        <v>151.69999999999999</v>
      </c>
      <c r="M1128" s="3">
        <f>orders_1[[#This Row],[products.Base_Price]]*orders_1[[#This Row],[Quantity]]</f>
        <v>14714.9</v>
      </c>
      <c r="N1128" t="s">
        <v>26</v>
      </c>
      <c r="O1128" t="s">
        <v>10</v>
      </c>
      <c r="P1128" t="s">
        <v>11</v>
      </c>
    </row>
    <row r="1129" spans="1:16" x14ac:dyDescent="0.3">
      <c r="A1129" s="2">
        <v>11128</v>
      </c>
      <c r="B1129" s="2">
        <v>675</v>
      </c>
      <c r="C1129" s="2">
        <v>2082</v>
      </c>
      <c r="D1129" s="2">
        <v>308</v>
      </c>
      <c r="E1129" s="4">
        <v>45488</v>
      </c>
      <c r="F1129" s="4">
        <v>45492</v>
      </c>
      <c r="G1129" s="2">
        <f t="shared" si="17"/>
        <v>4</v>
      </c>
      <c r="H1129" s="2">
        <v>73</v>
      </c>
      <c r="I1129" t="s">
        <v>36</v>
      </c>
      <c r="J1129" t="s">
        <v>22</v>
      </c>
      <c r="K1129" s="2">
        <v>41.79</v>
      </c>
      <c r="L1129" s="3">
        <v>352.17</v>
      </c>
      <c r="M1129" s="3">
        <f>orders_1[[#This Row],[products.Base_Price]]*orders_1[[#This Row],[Quantity]]</f>
        <v>25708.41</v>
      </c>
      <c r="N1129" t="s">
        <v>23</v>
      </c>
      <c r="O1129" t="s">
        <v>14</v>
      </c>
      <c r="P1129" t="s">
        <v>19</v>
      </c>
    </row>
    <row r="1130" spans="1:16" x14ac:dyDescent="0.3">
      <c r="A1130" s="2">
        <v>11129</v>
      </c>
      <c r="B1130" s="2">
        <v>865</v>
      </c>
      <c r="C1130" s="2">
        <v>2044</v>
      </c>
      <c r="D1130" s="2">
        <v>303</v>
      </c>
      <c r="E1130" s="4">
        <v>45459</v>
      </c>
      <c r="F1130" s="4">
        <v>45467</v>
      </c>
      <c r="G1130" s="2">
        <f t="shared" si="17"/>
        <v>8</v>
      </c>
      <c r="H1130" s="2">
        <v>22</v>
      </c>
      <c r="I1130" t="s">
        <v>42</v>
      </c>
      <c r="J1130" t="s">
        <v>21</v>
      </c>
      <c r="K1130" s="2">
        <v>11.44</v>
      </c>
      <c r="L1130" s="3">
        <v>939.99</v>
      </c>
      <c r="M1130" s="3">
        <f>orders_1[[#This Row],[products.Base_Price]]*orders_1[[#This Row],[Quantity]]</f>
        <v>20679.78</v>
      </c>
      <c r="N1130" t="s">
        <v>15</v>
      </c>
      <c r="O1130" t="s">
        <v>10</v>
      </c>
      <c r="P1130" t="s">
        <v>16</v>
      </c>
    </row>
    <row r="1131" spans="1:16" x14ac:dyDescent="0.3">
      <c r="A1131" s="2">
        <v>11130</v>
      </c>
      <c r="B1131" s="2">
        <v>716</v>
      </c>
      <c r="C1131" s="2">
        <v>2006</v>
      </c>
      <c r="D1131" s="2">
        <v>307</v>
      </c>
      <c r="E1131" s="4">
        <v>45382</v>
      </c>
      <c r="F1131" s="4">
        <v>45388</v>
      </c>
      <c r="G1131" s="2">
        <f t="shared" si="17"/>
        <v>6</v>
      </c>
      <c r="H1131" s="2">
        <v>92</v>
      </c>
      <c r="I1131" t="s">
        <v>39</v>
      </c>
      <c r="J1131" t="s">
        <v>22</v>
      </c>
      <c r="K1131" s="2">
        <v>41.47</v>
      </c>
      <c r="L1131" s="3">
        <v>541.85</v>
      </c>
      <c r="M1131" s="3">
        <f>orders_1[[#This Row],[products.Base_Price]]*orders_1[[#This Row],[Quantity]]</f>
        <v>49850.200000000004</v>
      </c>
      <c r="N1131" t="s">
        <v>17</v>
      </c>
      <c r="O1131" t="s">
        <v>10</v>
      </c>
      <c r="P1131" t="s">
        <v>11</v>
      </c>
    </row>
    <row r="1132" spans="1:16" x14ac:dyDescent="0.3">
      <c r="A1132" s="2">
        <v>11131</v>
      </c>
      <c r="B1132" s="2">
        <v>625</v>
      </c>
      <c r="C1132" s="2">
        <v>2042</v>
      </c>
      <c r="D1132" s="2">
        <v>312</v>
      </c>
      <c r="E1132" s="4">
        <v>45481</v>
      </c>
      <c r="F1132" s="4">
        <v>45490</v>
      </c>
      <c r="G1132" s="2">
        <f t="shared" si="17"/>
        <v>9</v>
      </c>
      <c r="H1132" s="2">
        <v>20</v>
      </c>
      <c r="I1132" t="s">
        <v>78</v>
      </c>
      <c r="J1132" t="s">
        <v>27</v>
      </c>
      <c r="K1132" s="2">
        <v>46.87</v>
      </c>
      <c r="L1132" s="3">
        <v>313.88</v>
      </c>
      <c r="M1132" s="3">
        <f>orders_1[[#This Row],[products.Base_Price]]*orders_1[[#This Row],[Quantity]]</f>
        <v>6277.6</v>
      </c>
      <c r="N1132" t="s">
        <v>15</v>
      </c>
      <c r="O1132" t="s">
        <v>10</v>
      </c>
      <c r="P1132" t="s">
        <v>11</v>
      </c>
    </row>
    <row r="1133" spans="1:16" x14ac:dyDescent="0.3">
      <c r="A1133" s="2">
        <v>11132</v>
      </c>
      <c r="B1133" s="2">
        <v>866</v>
      </c>
      <c r="C1133" s="2">
        <v>2041</v>
      </c>
      <c r="D1133" s="2">
        <v>317</v>
      </c>
      <c r="E1133" s="4">
        <v>45631</v>
      </c>
      <c r="F1133" s="4">
        <v>45641</v>
      </c>
      <c r="G1133" s="2">
        <f t="shared" si="17"/>
        <v>10</v>
      </c>
      <c r="H1133" s="2">
        <v>44</v>
      </c>
      <c r="I1133" t="s">
        <v>42</v>
      </c>
      <c r="J1133" t="s">
        <v>22</v>
      </c>
      <c r="K1133" s="2">
        <v>48.2</v>
      </c>
      <c r="L1133" s="3">
        <v>792.77</v>
      </c>
      <c r="M1133" s="3">
        <f>orders_1[[#This Row],[products.Base_Price]]*orders_1[[#This Row],[Quantity]]</f>
        <v>34881.879999999997</v>
      </c>
      <c r="N1133" t="s">
        <v>20</v>
      </c>
      <c r="O1133" t="s">
        <v>25</v>
      </c>
      <c r="P1133" t="s">
        <v>19</v>
      </c>
    </row>
    <row r="1134" spans="1:16" x14ac:dyDescent="0.3">
      <c r="A1134" s="2">
        <v>11133</v>
      </c>
      <c r="B1134" s="2">
        <v>608</v>
      </c>
      <c r="C1134" s="2">
        <v>2073</v>
      </c>
      <c r="D1134" s="2">
        <v>311</v>
      </c>
      <c r="E1134" s="4">
        <v>45481</v>
      </c>
      <c r="F1134" s="4">
        <v>45482</v>
      </c>
      <c r="G1134" s="2">
        <f t="shared" si="17"/>
        <v>1</v>
      </c>
      <c r="H1134" s="2">
        <v>51</v>
      </c>
      <c r="I1134" t="s">
        <v>36</v>
      </c>
      <c r="J1134" t="s">
        <v>9</v>
      </c>
      <c r="K1134" s="2">
        <v>11.78</v>
      </c>
      <c r="L1134" s="3">
        <v>416.74</v>
      </c>
      <c r="M1134" s="3">
        <f>orders_1[[#This Row],[products.Base_Price]]*orders_1[[#This Row],[Quantity]]</f>
        <v>21253.74</v>
      </c>
      <c r="N1134" t="s">
        <v>26</v>
      </c>
      <c r="O1134" t="s">
        <v>10</v>
      </c>
      <c r="P1134" t="s">
        <v>11</v>
      </c>
    </row>
    <row r="1135" spans="1:16" x14ac:dyDescent="0.3">
      <c r="A1135" s="2">
        <v>11134</v>
      </c>
      <c r="B1135" s="2">
        <v>555</v>
      </c>
      <c r="C1135" s="2">
        <v>2055</v>
      </c>
      <c r="D1135" s="2">
        <v>307</v>
      </c>
      <c r="E1135" s="4">
        <v>45456</v>
      </c>
      <c r="F1135" s="4">
        <v>45464</v>
      </c>
      <c r="G1135" s="2">
        <f t="shared" si="17"/>
        <v>8</v>
      </c>
      <c r="H1135" s="2">
        <v>20</v>
      </c>
      <c r="I1135" t="s">
        <v>78</v>
      </c>
      <c r="J1135" t="s">
        <v>27</v>
      </c>
      <c r="K1135" s="2">
        <v>26.24</v>
      </c>
      <c r="L1135" s="3">
        <v>312.67</v>
      </c>
      <c r="M1135" s="3">
        <f>orders_1[[#This Row],[products.Base_Price]]*orders_1[[#This Row],[Quantity]]</f>
        <v>6253.4000000000005</v>
      </c>
      <c r="N1135" t="s">
        <v>17</v>
      </c>
      <c r="O1135" t="s">
        <v>10</v>
      </c>
      <c r="P1135" t="s">
        <v>11</v>
      </c>
    </row>
    <row r="1136" spans="1:16" x14ac:dyDescent="0.3">
      <c r="A1136" s="2">
        <v>11135</v>
      </c>
      <c r="B1136" s="2">
        <v>652</v>
      </c>
      <c r="C1136" s="2">
        <v>2072</v>
      </c>
      <c r="D1136" s="2">
        <v>308</v>
      </c>
      <c r="E1136" s="4">
        <v>45640</v>
      </c>
      <c r="F1136" s="4">
        <v>45643</v>
      </c>
      <c r="G1136" s="2">
        <f t="shared" si="17"/>
        <v>3</v>
      </c>
      <c r="H1136" s="2">
        <v>82</v>
      </c>
      <c r="I1136" t="s">
        <v>39</v>
      </c>
      <c r="J1136" t="s">
        <v>9</v>
      </c>
      <c r="K1136" s="2">
        <v>26.22</v>
      </c>
      <c r="L1136" s="3">
        <v>576.57000000000005</v>
      </c>
      <c r="M1136" s="3">
        <f>orders_1[[#This Row],[products.Base_Price]]*orders_1[[#This Row],[Quantity]]</f>
        <v>47278.740000000005</v>
      </c>
      <c r="N1136" t="s">
        <v>23</v>
      </c>
      <c r="O1136" t="s">
        <v>14</v>
      </c>
      <c r="P1136" t="s">
        <v>19</v>
      </c>
    </row>
    <row r="1137" spans="1:16" x14ac:dyDescent="0.3">
      <c r="A1137" s="2">
        <v>11136</v>
      </c>
      <c r="B1137" s="2">
        <v>524</v>
      </c>
      <c r="C1137" s="2">
        <v>2083</v>
      </c>
      <c r="D1137" s="2">
        <v>310</v>
      </c>
      <c r="E1137" s="4">
        <v>45602</v>
      </c>
      <c r="F1137" s="4">
        <v>45603</v>
      </c>
      <c r="G1137" s="2">
        <f t="shared" si="17"/>
        <v>1</v>
      </c>
      <c r="H1137" s="2">
        <v>12</v>
      </c>
      <c r="I1137" t="s">
        <v>78</v>
      </c>
      <c r="J1137" t="s">
        <v>22</v>
      </c>
      <c r="K1137" s="2">
        <v>13.79</v>
      </c>
      <c r="L1137" s="3">
        <v>843.82</v>
      </c>
      <c r="M1137" s="3">
        <f>orders_1[[#This Row],[products.Base_Price]]*orders_1[[#This Row],[Quantity]]</f>
        <v>10125.84</v>
      </c>
      <c r="N1137" t="s">
        <v>26</v>
      </c>
      <c r="O1137" t="s">
        <v>25</v>
      </c>
      <c r="P1137" t="s">
        <v>11</v>
      </c>
    </row>
    <row r="1138" spans="1:16" x14ac:dyDescent="0.3">
      <c r="A1138" s="2">
        <v>11137</v>
      </c>
      <c r="B1138" s="2">
        <v>805</v>
      </c>
      <c r="C1138" s="2">
        <v>2061</v>
      </c>
      <c r="D1138" s="2">
        <v>310</v>
      </c>
      <c r="E1138" s="4">
        <v>45649</v>
      </c>
      <c r="F1138" s="4">
        <v>45650</v>
      </c>
      <c r="G1138" s="2">
        <f t="shared" si="17"/>
        <v>1</v>
      </c>
      <c r="H1138" s="2">
        <v>52</v>
      </c>
      <c r="I1138" t="s">
        <v>39</v>
      </c>
      <c r="J1138" t="s">
        <v>13</v>
      </c>
      <c r="K1138" s="2">
        <v>46.64</v>
      </c>
      <c r="L1138" s="3">
        <v>620.16999999999996</v>
      </c>
      <c r="M1138" s="3">
        <f>orders_1[[#This Row],[products.Base_Price]]*orders_1[[#This Row],[Quantity]]</f>
        <v>32248.839999999997</v>
      </c>
      <c r="N1138" t="s">
        <v>26</v>
      </c>
      <c r="O1138" t="s">
        <v>25</v>
      </c>
      <c r="P1138" t="s">
        <v>11</v>
      </c>
    </row>
    <row r="1139" spans="1:16" x14ac:dyDescent="0.3">
      <c r="A1139" s="2">
        <v>11138</v>
      </c>
      <c r="B1139" s="2">
        <v>845</v>
      </c>
      <c r="C1139" s="2">
        <v>2018</v>
      </c>
      <c r="D1139" s="2">
        <v>315</v>
      </c>
      <c r="E1139" s="4">
        <v>45492</v>
      </c>
      <c r="F1139" s="4">
        <v>45493</v>
      </c>
      <c r="G1139" s="2">
        <f t="shared" si="17"/>
        <v>1</v>
      </c>
      <c r="H1139" s="2">
        <v>16</v>
      </c>
      <c r="I1139" t="s">
        <v>36</v>
      </c>
      <c r="J1139" t="s">
        <v>21</v>
      </c>
      <c r="K1139" s="2">
        <v>16.739999999999998</v>
      </c>
      <c r="L1139" s="3">
        <v>103.05</v>
      </c>
      <c r="M1139" s="3">
        <f>orders_1[[#This Row],[products.Base_Price]]*orders_1[[#This Row],[Quantity]]</f>
        <v>1648.8</v>
      </c>
      <c r="N1139" t="s">
        <v>15</v>
      </c>
      <c r="O1139" t="s">
        <v>25</v>
      </c>
      <c r="P1139" t="s">
        <v>19</v>
      </c>
    </row>
    <row r="1140" spans="1:16" x14ac:dyDescent="0.3">
      <c r="A1140" s="2">
        <v>11139</v>
      </c>
      <c r="B1140" s="2">
        <v>828</v>
      </c>
      <c r="C1140" s="2">
        <v>2083</v>
      </c>
      <c r="D1140" s="2">
        <v>306</v>
      </c>
      <c r="E1140" s="4">
        <v>45534</v>
      </c>
      <c r="F1140" s="4">
        <v>45541</v>
      </c>
      <c r="G1140" s="2">
        <f t="shared" si="17"/>
        <v>7</v>
      </c>
      <c r="H1140" s="2">
        <v>12</v>
      </c>
      <c r="I1140" t="s">
        <v>42</v>
      </c>
      <c r="J1140" t="s">
        <v>22</v>
      </c>
      <c r="K1140" s="2">
        <v>13.79</v>
      </c>
      <c r="L1140" s="3">
        <v>843.82</v>
      </c>
      <c r="M1140" s="3">
        <f>orders_1[[#This Row],[products.Base_Price]]*orders_1[[#This Row],[Quantity]]</f>
        <v>10125.84</v>
      </c>
      <c r="N1140" t="s">
        <v>8</v>
      </c>
      <c r="O1140" t="s">
        <v>10</v>
      </c>
      <c r="P1140" t="s">
        <v>16</v>
      </c>
    </row>
    <row r="1141" spans="1:16" x14ac:dyDescent="0.3">
      <c r="A1141" s="2">
        <v>11140</v>
      </c>
      <c r="B1141" s="2">
        <v>843</v>
      </c>
      <c r="C1141" s="2">
        <v>2038</v>
      </c>
      <c r="D1141" s="2">
        <v>309</v>
      </c>
      <c r="E1141" s="4">
        <v>45404</v>
      </c>
      <c r="F1141" s="4">
        <v>45413</v>
      </c>
      <c r="G1141" s="2">
        <f t="shared" si="17"/>
        <v>9</v>
      </c>
      <c r="H1141" s="2">
        <v>63</v>
      </c>
      <c r="I1141" t="s">
        <v>78</v>
      </c>
      <c r="J1141" t="s">
        <v>27</v>
      </c>
      <c r="K1141" s="2">
        <v>26.62</v>
      </c>
      <c r="L1141" s="3">
        <v>680</v>
      </c>
      <c r="M1141" s="3">
        <f>orders_1[[#This Row],[products.Base_Price]]*orders_1[[#This Row],[Quantity]]</f>
        <v>42840</v>
      </c>
      <c r="N1141" t="s">
        <v>24</v>
      </c>
      <c r="O1141" t="s">
        <v>25</v>
      </c>
      <c r="P1141" t="s">
        <v>16</v>
      </c>
    </row>
    <row r="1142" spans="1:16" x14ac:dyDescent="0.3">
      <c r="A1142" s="2">
        <v>11141</v>
      </c>
      <c r="B1142" s="2">
        <v>522</v>
      </c>
      <c r="C1142" s="2">
        <v>2083</v>
      </c>
      <c r="D1142" s="2">
        <v>318</v>
      </c>
      <c r="E1142" s="4">
        <v>45475</v>
      </c>
      <c r="F1142" s="4">
        <v>45476</v>
      </c>
      <c r="G1142" s="2">
        <f t="shared" si="17"/>
        <v>1</v>
      </c>
      <c r="H1142" s="2">
        <v>12</v>
      </c>
      <c r="I1142" t="s">
        <v>78</v>
      </c>
      <c r="J1142" t="s">
        <v>22</v>
      </c>
      <c r="K1142" s="2">
        <v>13.79</v>
      </c>
      <c r="L1142" s="3">
        <v>843.82</v>
      </c>
      <c r="M1142" s="3">
        <f>orders_1[[#This Row],[products.Base_Price]]*orders_1[[#This Row],[Quantity]]</f>
        <v>10125.84</v>
      </c>
      <c r="N1142" t="s">
        <v>17</v>
      </c>
      <c r="O1142" t="s">
        <v>10</v>
      </c>
      <c r="P1142" t="s">
        <v>19</v>
      </c>
    </row>
    <row r="1143" spans="1:16" x14ac:dyDescent="0.3">
      <c r="A1143" s="2">
        <v>11142</v>
      </c>
      <c r="B1143" s="2">
        <v>757</v>
      </c>
      <c r="C1143" s="2">
        <v>2095</v>
      </c>
      <c r="D1143" s="2">
        <v>320</v>
      </c>
      <c r="E1143" s="4">
        <v>45409</v>
      </c>
      <c r="F1143" s="4">
        <v>45414</v>
      </c>
      <c r="G1143" s="2">
        <f t="shared" si="17"/>
        <v>5</v>
      </c>
      <c r="H1143" s="2">
        <v>18</v>
      </c>
      <c r="I1143" t="s">
        <v>36</v>
      </c>
      <c r="J1143" t="s">
        <v>13</v>
      </c>
      <c r="K1143" s="2">
        <v>38.81</v>
      </c>
      <c r="L1143" s="3">
        <v>761.63</v>
      </c>
      <c r="M1143" s="3">
        <f>orders_1[[#This Row],[products.Base_Price]]*orders_1[[#This Row],[Quantity]]</f>
        <v>13709.34</v>
      </c>
      <c r="N1143" t="s">
        <v>15</v>
      </c>
      <c r="O1143" t="s">
        <v>25</v>
      </c>
      <c r="P1143" t="s">
        <v>11</v>
      </c>
    </row>
    <row r="1144" spans="1:16" x14ac:dyDescent="0.3">
      <c r="A1144" s="2">
        <v>11143</v>
      </c>
      <c r="B1144" s="2">
        <v>813</v>
      </c>
      <c r="C1144" s="2">
        <v>2087</v>
      </c>
      <c r="D1144" s="2">
        <v>316</v>
      </c>
      <c r="E1144" s="4">
        <v>45439</v>
      </c>
      <c r="F1144" s="4">
        <v>45440</v>
      </c>
      <c r="G1144" s="2">
        <f t="shared" si="17"/>
        <v>1</v>
      </c>
      <c r="H1144" s="2">
        <v>4</v>
      </c>
      <c r="I1144" t="s">
        <v>36</v>
      </c>
      <c r="J1144" t="s">
        <v>9</v>
      </c>
      <c r="K1144" s="2">
        <v>35.82</v>
      </c>
      <c r="L1144" s="3">
        <v>47.38</v>
      </c>
      <c r="M1144" s="3">
        <f>orders_1[[#This Row],[products.Base_Price]]*orders_1[[#This Row],[Quantity]]</f>
        <v>189.52</v>
      </c>
      <c r="N1144" t="s">
        <v>24</v>
      </c>
      <c r="O1144" t="s">
        <v>25</v>
      </c>
      <c r="P1144" t="s">
        <v>19</v>
      </c>
    </row>
    <row r="1145" spans="1:16" x14ac:dyDescent="0.3">
      <c r="A1145" s="2">
        <v>11144</v>
      </c>
      <c r="B1145" s="2">
        <v>636</v>
      </c>
      <c r="C1145" s="2">
        <v>2078</v>
      </c>
      <c r="D1145" s="2">
        <v>307</v>
      </c>
      <c r="E1145" s="4">
        <v>45605</v>
      </c>
      <c r="F1145" s="4">
        <v>45613</v>
      </c>
      <c r="G1145" s="2">
        <f t="shared" si="17"/>
        <v>8</v>
      </c>
      <c r="H1145" s="2">
        <v>41</v>
      </c>
      <c r="I1145" t="s">
        <v>42</v>
      </c>
      <c r="J1145" t="s">
        <v>21</v>
      </c>
      <c r="K1145" s="2">
        <v>14.85</v>
      </c>
      <c r="L1145" s="3">
        <v>517.03</v>
      </c>
      <c r="M1145" s="3">
        <f>orders_1[[#This Row],[products.Base_Price]]*orders_1[[#This Row],[Quantity]]</f>
        <v>21198.23</v>
      </c>
      <c r="N1145" t="s">
        <v>17</v>
      </c>
      <c r="O1145" t="s">
        <v>10</v>
      </c>
      <c r="P1145" t="s">
        <v>11</v>
      </c>
    </row>
    <row r="1146" spans="1:16" x14ac:dyDescent="0.3">
      <c r="A1146" s="2">
        <v>11145</v>
      </c>
      <c r="B1146" s="2">
        <v>853</v>
      </c>
      <c r="C1146" s="2">
        <v>2040</v>
      </c>
      <c r="D1146" s="2">
        <v>302</v>
      </c>
      <c r="E1146" s="4">
        <v>45635</v>
      </c>
      <c r="F1146" s="4">
        <v>45645</v>
      </c>
      <c r="G1146" s="2">
        <f t="shared" si="17"/>
        <v>10</v>
      </c>
      <c r="H1146" s="2">
        <v>32</v>
      </c>
      <c r="I1146" t="s">
        <v>39</v>
      </c>
      <c r="J1146" t="s">
        <v>27</v>
      </c>
      <c r="K1146" s="2">
        <v>3.71</v>
      </c>
      <c r="L1146" s="3">
        <v>27.53</v>
      </c>
      <c r="M1146" s="3">
        <f>orders_1[[#This Row],[products.Base_Price]]*orders_1[[#This Row],[Quantity]]</f>
        <v>880.96</v>
      </c>
      <c r="N1146" t="s">
        <v>12</v>
      </c>
      <c r="O1146" t="s">
        <v>14</v>
      </c>
      <c r="P1146" t="s">
        <v>11</v>
      </c>
    </row>
    <row r="1147" spans="1:16" x14ac:dyDescent="0.3">
      <c r="A1147" s="2">
        <v>11146</v>
      </c>
      <c r="B1147" s="2">
        <v>586</v>
      </c>
      <c r="C1147" s="2">
        <v>2029</v>
      </c>
      <c r="D1147" s="2">
        <v>317</v>
      </c>
      <c r="E1147" s="4">
        <v>45634</v>
      </c>
      <c r="F1147" s="4">
        <v>45644</v>
      </c>
      <c r="G1147" s="2">
        <f t="shared" si="17"/>
        <v>10</v>
      </c>
      <c r="H1147" s="2">
        <v>27</v>
      </c>
      <c r="I1147" t="s">
        <v>36</v>
      </c>
      <c r="J1147" t="s">
        <v>21</v>
      </c>
      <c r="K1147" s="2">
        <v>9.19</v>
      </c>
      <c r="L1147" s="3">
        <v>357.06</v>
      </c>
      <c r="M1147" s="3">
        <f>orders_1[[#This Row],[products.Base_Price]]*orders_1[[#This Row],[Quantity]]</f>
        <v>9640.6200000000008</v>
      </c>
      <c r="N1147" t="s">
        <v>20</v>
      </c>
      <c r="O1147" t="s">
        <v>25</v>
      </c>
      <c r="P1147" t="s">
        <v>19</v>
      </c>
    </row>
    <row r="1148" spans="1:16" x14ac:dyDescent="0.3">
      <c r="A1148" s="2">
        <v>11147</v>
      </c>
      <c r="B1148" s="2">
        <v>543</v>
      </c>
      <c r="C1148" s="2">
        <v>2095</v>
      </c>
      <c r="D1148" s="2">
        <v>303</v>
      </c>
      <c r="E1148" s="4">
        <v>45619</v>
      </c>
      <c r="F1148" s="4">
        <v>45622</v>
      </c>
      <c r="G1148" s="2">
        <f t="shared" si="17"/>
        <v>3</v>
      </c>
      <c r="H1148" s="2">
        <v>8</v>
      </c>
      <c r="I1148" t="s">
        <v>36</v>
      </c>
      <c r="J1148" t="s">
        <v>13</v>
      </c>
      <c r="K1148" s="2">
        <v>38.81</v>
      </c>
      <c r="L1148" s="3">
        <v>761.63</v>
      </c>
      <c r="M1148" s="3">
        <f>orders_1[[#This Row],[products.Base_Price]]*orders_1[[#This Row],[Quantity]]</f>
        <v>6093.04</v>
      </c>
      <c r="N1148" t="s">
        <v>15</v>
      </c>
      <c r="O1148" t="s">
        <v>10</v>
      </c>
      <c r="P1148" t="s">
        <v>16</v>
      </c>
    </row>
    <row r="1149" spans="1:16" x14ac:dyDescent="0.3">
      <c r="A1149" s="2">
        <v>11148</v>
      </c>
      <c r="B1149" s="2">
        <v>851</v>
      </c>
      <c r="C1149" s="2">
        <v>2036</v>
      </c>
      <c r="D1149" s="2">
        <v>313</v>
      </c>
      <c r="E1149" s="4">
        <v>45365</v>
      </c>
      <c r="F1149" s="4">
        <v>45370</v>
      </c>
      <c r="G1149" s="2">
        <f t="shared" si="17"/>
        <v>5</v>
      </c>
      <c r="H1149" s="2">
        <v>39</v>
      </c>
      <c r="I1149" t="s">
        <v>36</v>
      </c>
      <c r="J1149" t="s">
        <v>22</v>
      </c>
      <c r="K1149" s="2">
        <v>39.39</v>
      </c>
      <c r="L1149" s="3">
        <v>745.86</v>
      </c>
      <c r="M1149" s="3">
        <f>orders_1[[#This Row],[products.Base_Price]]*orders_1[[#This Row],[Quantity]]</f>
        <v>29088.54</v>
      </c>
      <c r="N1149" t="s">
        <v>15</v>
      </c>
      <c r="O1149" t="s">
        <v>25</v>
      </c>
      <c r="P1149" t="s">
        <v>16</v>
      </c>
    </row>
    <row r="1150" spans="1:16" x14ac:dyDescent="0.3">
      <c r="A1150" s="2">
        <v>11149</v>
      </c>
      <c r="B1150" s="2">
        <v>800</v>
      </c>
      <c r="C1150" s="2">
        <v>2071</v>
      </c>
      <c r="D1150" s="2">
        <v>319</v>
      </c>
      <c r="E1150" s="4">
        <v>45347</v>
      </c>
      <c r="F1150" s="4">
        <v>45349</v>
      </c>
      <c r="G1150" s="2">
        <f t="shared" si="17"/>
        <v>2</v>
      </c>
      <c r="H1150" s="2">
        <v>63</v>
      </c>
      <c r="I1150" t="s">
        <v>36</v>
      </c>
      <c r="J1150" t="s">
        <v>27</v>
      </c>
      <c r="K1150" s="2">
        <v>47.19</v>
      </c>
      <c r="L1150" s="3">
        <v>711.14</v>
      </c>
      <c r="M1150" s="3">
        <f>orders_1[[#This Row],[products.Base_Price]]*orders_1[[#This Row],[Quantity]]</f>
        <v>44801.82</v>
      </c>
      <c r="N1150" t="s">
        <v>20</v>
      </c>
      <c r="O1150" t="s">
        <v>18</v>
      </c>
      <c r="P1150" t="s">
        <v>11</v>
      </c>
    </row>
    <row r="1151" spans="1:16" x14ac:dyDescent="0.3">
      <c r="A1151" s="2">
        <v>11150</v>
      </c>
      <c r="B1151" s="2">
        <v>531</v>
      </c>
      <c r="C1151" s="2">
        <v>2047</v>
      </c>
      <c r="D1151" s="2">
        <v>307</v>
      </c>
      <c r="E1151" s="4">
        <v>45504</v>
      </c>
      <c r="F1151" s="4">
        <v>45514</v>
      </c>
      <c r="G1151" s="2">
        <f t="shared" si="17"/>
        <v>10</v>
      </c>
      <c r="H1151" s="2">
        <v>61</v>
      </c>
      <c r="I1151" t="s">
        <v>36</v>
      </c>
      <c r="J1151" t="s">
        <v>27</v>
      </c>
      <c r="K1151" s="2">
        <v>31.72</v>
      </c>
      <c r="L1151" s="3">
        <v>210.46</v>
      </c>
      <c r="M1151" s="3">
        <f>orders_1[[#This Row],[products.Base_Price]]*orders_1[[#This Row],[Quantity]]</f>
        <v>12838.060000000001</v>
      </c>
      <c r="N1151" t="s">
        <v>17</v>
      </c>
      <c r="O1151" t="s">
        <v>10</v>
      </c>
      <c r="P1151" t="s">
        <v>11</v>
      </c>
    </row>
    <row r="1152" spans="1:16" x14ac:dyDescent="0.3">
      <c r="A1152" s="2">
        <v>11151</v>
      </c>
      <c r="B1152" s="2">
        <v>746</v>
      </c>
      <c r="C1152" s="2">
        <v>2084</v>
      </c>
      <c r="D1152" s="2">
        <v>304</v>
      </c>
      <c r="E1152" s="4">
        <v>45561</v>
      </c>
      <c r="F1152" s="4">
        <v>45569</v>
      </c>
      <c r="G1152" s="2">
        <f t="shared" si="17"/>
        <v>8</v>
      </c>
      <c r="H1152" s="2">
        <v>29</v>
      </c>
      <c r="I1152" t="s">
        <v>36</v>
      </c>
      <c r="J1152" t="s">
        <v>21</v>
      </c>
      <c r="K1152" s="2">
        <v>14.27</v>
      </c>
      <c r="L1152" s="3">
        <v>223.58</v>
      </c>
      <c r="M1152" s="3">
        <f>orders_1[[#This Row],[products.Base_Price]]*orders_1[[#This Row],[Quantity]]</f>
        <v>6483.8200000000006</v>
      </c>
      <c r="N1152" t="s">
        <v>17</v>
      </c>
      <c r="O1152" t="s">
        <v>18</v>
      </c>
      <c r="P1152" t="s">
        <v>19</v>
      </c>
    </row>
    <row r="1153" spans="1:16" x14ac:dyDescent="0.3">
      <c r="A1153" s="2">
        <v>11152</v>
      </c>
      <c r="B1153" s="2">
        <v>597</v>
      </c>
      <c r="C1153" s="2">
        <v>2075</v>
      </c>
      <c r="D1153" s="2">
        <v>306</v>
      </c>
      <c r="E1153" s="4">
        <v>45422</v>
      </c>
      <c r="F1153" s="4">
        <v>45429</v>
      </c>
      <c r="G1153" s="2">
        <f t="shared" si="17"/>
        <v>7</v>
      </c>
      <c r="H1153" s="2">
        <v>18</v>
      </c>
      <c r="I1153" t="s">
        <v>42</v>
      </c>
      <c r="J1153" t="s">
        <v>27</v>
      </c>
      <c r="K1153" s="2">
        <v>16.57</v>
      </c>
      <c r="L1153" s="3">
        <v>429.9</v>
      </c>
      <c r="M1153" s="3">
        <f>orders_1[[#This Row],[products.Base_Price]]*orders_1[[#This Row],[Quantity]]</f>
        <v>7738.2</v>
      </c>
      <c r="N1153" t="s">
        <v>8</v>
      </c>
      <c r="O1153" t="s">
        <v>10</v>
      </c>
      <c r="P1153" t="s">
        <v>16</v>
      </c>
    </row>
    <row r="1154" spans="1:16" x14ac:dyDescent="0.3">
      <c r="A1154" s="2">
        <v>11153</v>
      </c>
      <c r="B1154" s="2">
        <v>650</v>
      </c>
      <c r="C1154" s="2">
        <v>2069</v>
      </c>
      <c r="D1154" s="2">
        <v>315</v>
      </c>
      <c r="E1154" s="4">
        <v>45440</v>
      </c>
      <c r="F1154" s="4">
        <v>45443</v>
      </c>
      <c r="G1154" s="2">
        <f t="shared" ref="G1154:G1217" si="18">F1154-E1154</f>
        <v>3</v>
      </c>
      <c r="H1154" s="2">
        <v>38</v>
      </c>
      <c r="I1154" t="s">
        <v>42</v>
      </c>
      <c r="J1154" t="s">
        <v>22</v>
      </c>
      <c r="K1154" s="2">
        <v>2.94</v>
      </c>
      <c r="L1154" s="3">
        <v>494.92</v>
      </c>
      <c r="M1154" s="3">
        <f>orders_1[[#This Row],[products.Base_Price]]*orders_1[[#This Row],[Quantity]]</f>
        <v>18806.96</v>
      </c>
      <c r="N1154" t="s">
        <v>15</v>
      </c>
      <c r="O1154" t="s">
        <v>25</v>
      </c>
      <c r="P1154" t="s">
        <v>19</v>
      </c>
    </row>
    <row r="1155" spans="1:16" x14ac:dyDescent="0.3">
      <c r="A1155" s="2">
        <v>11154</v>
      </c>
      <c r="B1155" s="2">
        <v>540</v>
      </c>
      <c r="C1155" s="2">
        <v>2056</v>
      </c>
      <c r="D1155" s="2">
        <v>313</v>
      </c>
      <c r="E1155" s="4">
        <v>45641</v>
      </c>
      <c r="F1155" s="4">
        <v>45649</v>
      </c>
      <c r="G1155" s="2">
        <f t="shared" si="18"/>
        <v>8</v>
      </c>
      <c r="H1155" s="2">
        <v>41</v>
      </c>
      <c r="I1155" t="s">
        <v>36</v>
      </c>
      <c r="J1155" t="s">
        <v>9</v>
      </c>
      <c r="K1155" s="2">
        <v>18.559999999999999</v>
      </c>
      <c r="L1155" s="3">
        <v>564.01</v>
      </c>
      <c r="M1155" s="3">
        <f>orders_1[[#This Row],[products.Base_Price]]*orders_1[[#This Row],[Quantity]]</f>
        <v>23124.41</v>
      </c>
      <c r="N1155" t="s">
        <v>15</v>
      </c>
      <c r="O1155" t="s">
        <v>25</v>
      </c>
      <c r="P1155" t="s">
        <v>16</v>
      </c>
    </row>
    <row r="1156" spans="1:16" x14ac:dyDescent="0.3">
      <c r="A1156" s="2">
        <v>11155</v>
      </c>
      <c r="B1156" s="2">
        <v>838</v>
      </c>
      <c r="C1156" s="2">
        <v>2025</v>
      </c>
      <c r="D1156" s="2">
        <v>320</v>
      </c>
      <c r="E1156" s="4">
        <v>45432</v>
      </c>
      <c r="F1156" s="4">
        <v>45438</v>
      </c>
      <c r="G1156" s="2">
        <f t="shared" si="18"/>
        <v>6</v>
      </c>
      <c r="H1156" s="2">
        <v>55</v>
      </c>
      <c r="I1156" t="s">
        <v>39</v>
      </c>
      <c r="J1156" t="s">
        <v>13</v>
      </c>
      <c r="K1156" s="2">
        <v>3.39</v>
      </c>
      <c r="L1156" s="3">
        <v>303.87</v>
      </c>
      <c r="M1156" s="3">
        <f>orders_1[[#This Row],[products.Base_Price]]*orders_1[[#This Row],[Quantity]]</f>
        <v>16712.849999999999</v>
      </c>
      <c r="N1156" t="s">
        <v>15</v>
      </c>
      <c r="O1156" t="s">
        <v>25</v>
      </c>
      <c r="P1156" t="s">
        <v>11</v>
      </c>
    </row>
    <row r="1157" spans="1:16" x14ac:dyDescent="0.3">
      <c r="A1157" s="2">
        <v>11156</v>
      </c>
      <c r="B1157" s="2">
        <v>626</v>
      </c>
      <c r="C1157" s="2">
        <v>2025</v>
      </c>
      <c r="D1157" s="2">
        <v>303</v>
      </c>
      <c r="E1157" s="4">
        <v>45507</v>
      </c>
      <c r="F1157" s="4">
        <v>45516</v>
      </c>
      <c r="G1157" s="2">
        <f t="shared" si="18"/>
        <v>9</v>
      </c>
      <c r="H1157" s="2">
        <v>12</v>
      </c>
      <c r="I1157" t="s">
        <v>42</v>
      </c>
      <c r="J1157" t="s">
        <v>13</v>
      </c>
      <c r="K1157" s="2">
        <v>3.39</v>
      </c>
      <c r="L1157" s="3">
        <v>303.87</v>
      </c>
      <c r="M1157" s="3">
        <f>orders_1[[#This Row],[products.Base_Price]]*orders_1[[#This Row],[Quantity]]</f>
        <v>3646.44</v>
      </c>
      <c r="N1157" t="s">
        <v>15</v>
      </c>
      <c r="O1157" t="s">
        <v>10</v>
      </c>
      <c r="P1157" t="s">
        <v>16</v>
      </c>
    </row>
    <row r="1158" spans="1:16" x14ac:dyDescent="0.3">
      <c r="A1158" s="2">
        <v>11157</v>
      </c>
      <c r="B1158" s="2">
        <v>699</v>
      </c>
      <c r="C1158" s="2">
        <v>2006</v>
      </c>
      <c r="D1158" s="2">
        <v>319</v>
      </c>
      <c r="E1158" s="4">
        <v>45321</v>
      </c>
      <c r="F1158" s="4">
        <v>45326</v>
      </c>
      <c r="G1158" s="2">
        <f t="shared" si="18"/>
        <v>5</v>
      </c>
      <c r="H1158" s="2">
        <v>58</v>
      </c>
      <c r="I1158" t="s">
        <v>39</v>
      </c>
      <c r="J1158" t="s">
        <v>22</v>
      </c>
      <c r="K1158" s="2">
        <v>41.47</v>
      </c>
      <c r="L1158" s="3">
        <v>541.85</v>
      </c>
      <c r="M1158" s="3">
        <f>orders_1[[#This Row],[products.Base_Price]]*orders_1[[#This Row],[Quantity]]</f>
        <v>31427.300000000003</v>
      </c>
      <c r="N1158" t="s">
        <v>20</v>
      </c>
      <c r="O1158" t="s">
        <v>18</v>
      </c>
      <c r="P1158" t="s">
        <v>11</v>
      </c>
    </row>
    <row r="1159" spans="1:16" x14ac:dyDescent="0.3">
      <c r="A1159" s="2">
        <v>11158</v>
      </c>
      <c r="B1159" s="2">
        <v>726</v>
      </c>
      <c r="C1159" s="2">
        <v>2017</v>
      </c>
      <c r="D1159" s="2">
        <v>302</v>
      </c>
      <c r="E1159" s="4">
        <v>45387</v>
      </c>
      <c r="F1159" s="4">
        <v>45390</v>
      </c>
      <c r="G1159" s="2">
        <f t="shared" si="18"/>
        <v>3</v>
      </c>
      <c r="H1159" s="2">
        <v>13</v>
      </c>
      <c r="I1159" t="s">
        <v>39</v>
      </c>
      <c r="J1159" t="s">
        <v>22</v>
      </c>
      <c r="K1159" s="2">
        <v>38.24</v>
      </c>
      <c r="L1159" s="3">
        <v>788.08</v>
      </c>
      <c r="M1159" s="3">
        <f>orders_1[[#This Row],[products.Base_Price]]*orders_1[[#This Row],[Quantity]]</f>
        <v>10245.040000000001</v>
      </c>
      <c r="N1159" t="s">
        <v>12</v>
      </c>
      <c r="O1159" t="s">
        <v>14</v>
      </c>
      <c r="P1159" t="s">
        <v>11</v>
      </c>
    </row>
    <row r="1160" spans="1:16" x14ac:dyDescent="0.3">
      <c r="A1160" s="2">
        <v>11159</v>
      </c>
      <c r="B1160" s="2">
        <v>838</v>
      </c>
      <c r="C1160" s="2">
        <v>2062</v>
      </c>
      <c r="D1160" s="2">
        <v>319</v>
      </c>
      <c r="E1160" s="4">
        <v>45611</v>
      </c>
      <c r="F1160" s="4">
        <v>45621</v>
      </c>
      <c r="G1160" s="2">
        <f t="shared" si="18"/>
        <v>10</v>
      </c>
      <c r="H1160" s="2">
        <v>75</v>
      </c>
      <c r="I1160" t="s">
        <v>39</v>
      </c>
      <c r="J1160" t="s">
        <v>9</v>
      </c>
      <c r="K1160" s="2">
        <v>32.479999999999997</v>
      </c>
      <c r="L1160" s="3">
        <v>409.49</v>
      </c>
      <c r="M1160" s="3">
        <f>orders_1[[#This Row],[products.Base_Price]]*orders_1[[#This Row],[Quantity]]</f>
        <v>30711.75</v>
      </c>
      <c r="N1160" t="s">
        <v>20</v>
      </c>
      <c r="O1160" t="s">
        <v>18</v>
      </c>
      <c r="P1160" t="s">
        <v>11</v>
      </c>
    </row>
    <row r="1161" spans="1:16" x14ac:dyDescent="0.3">
      <c r="A1161" s="2">
        <v>11160</v>
      </c>
      <c r="B1161" s="2">
        <v>744</v>
      </c>
      <c r="C1161" s="2">
        <v>2051</v>
      </c>
      <c r="D1161" s="2">
        <v>311</v>
      </c>
      <c r="E1161" s="4">
        <v>45513</v>
      </c>
      <c r="F1161" s="4">
        <v>45515</v>
      </c>
      <c r="G1161" s="2">
        <f t="shared" si="18"/>
        <v>2</v>
      </c>
      <c r="H1161" s="2">
        <v>86</v>
      </c>
      <c r="I1161" t="s">
        <v>78</v>
      </c>
      <c r="J1161" t="s">
        <v>9</v>
      </c>
      <c r="K1161" s="2">
        <v>47.82</v>
      </c>
      <c r="L1161" s="3">
        <v>376.19</v>
      </c>
      <c r="M1161" s="3">
        <f>orders_1[[#This Row],[products.Base_Price]]*orders_1[[#This Row],[Quantity]]</f>
        <v>32352.34</v>
      </c>
      <c r="N1161" t="s">
        <v>26</v>
      </c>
      <c r="O1161" t="s">
        <v>10</v>
      </c>
      <c r="P1161" t="s">
        <v>11</v>
      </c>
    </row>
    <row r="1162" spans="1:16" x14ac:dyDescent="0.3">
      <c r="A1162" s="2">
        <v>11161</v>
      </c>
      <c r="B1162" s="2">
        <v>855</v>
      </c>
      <c r="C1162" s="2">
        <v>2011</v>
      </c>
      <c r="D1162" s="2">
        <v>304</v>
      </c>
      <c r="E1162" s="4">
        <v>45418</v>
      </c>
      <c r="F1162" s="4">
        <v>45427</v>
      </c>
      <c r="G1162" s="2">
        <f t="shared" si="18"/>
        <v>9</v>
      </c>
      <c r="H1162" s="2">
        <v>36</v>
      </c>
      <c r="I1162" t="s">
        <v>78</v>
      </c>
      <c r="J1162" t="s">
        <v>21</v>
      </c>
      <c r="K1162" s="2">
        <v>12.75</v>
      </c>
      <c r="L1162" s="3">
        <v>987.99</v>
      </c>
      <c r="M1162" s="3">
        <f>orders_1[[#This Row],[products.Base_Price]]*orders_1[[#This Row],[Quantity]]</f>
        <v>35567.64</v>
      </c>
      <c r="N1162" t="s">
        <v>17</v>
      </c>
      <c r="O1162" t="s">
        <v>18</v>
      </c>
      <c r="P1162" t="s">
        <v>19</v>
      </c>
    </row>
    <row r="1163" spans="1:16" x14ac:dyDescent="0.3">
      <c r="A1163" s="2">
        <v>11162</v>
      </c>
      <c r="B1163" s="2">
        <v>657</v>
      </c>
      <c r="C1163" s="2">
        <v>2066</v>
      </c>
      <c r="D1163" s="2">
        <v>308</v>
      </c>
      <c r="E1163" s="4">
        <v>45379</v>
      </c>
      <c r="F1163" s="4">
        <v>45381</v>
      </c>
      <c r="G1163" s="2">
        <f t="shared" si="18"/>
        <v>2</v>
      </c>
      <c r="H1163" s="2">
        <v>64</v>
      </c>
      <c r="I1163" t="s">
        <v>42</v>
      </c>
      <c r="J1163" t="s">
        <v>9</v>
      </c>
      <c r="K1163" s="2">
        <v>43.64</v>
      </c>
      <c r="L1163" s="3">
        <v>832.31</v>
      </c>
      <c r="M1163" s="3">
        <f>orders_1[[#This Row],[products.Base_Price]]*orders_1[[#This Row],[Quantity]]</f>
        <v>53267.839999999997</v>
      </c>
      <c r="N1163" t="s">
        <v>23</v>
      </c>
      <c r="O1163" t="s">
        <v>14</v>
      </c>
      <c r="P1163" t="s">
        <v>19</v>
      </c>
    </row>
    <row r="1164" spans="1:16" x14ac:dyDescent="0.3">
      <c r="A1164" s="2">
        <v>11163</v>
      </c>
      <c r="B1164" s="2">
        <v>887</v>
      </c>
      <c r="C1164" s="2">
        <v>2093</v>
      </c>
      <c r="D1164" s="2">
        <v>306</v>
      </c>
      <c r="E1164" s="4">
        <v>45493</v>
      </c>
      <c r="F1164" s="4">
        <v>45503</v>
      </c>
      <c r="G1164" s="2">
        <f t="shared" si="18"/>
        <v>10</v>
      </c>
      <c r="H1164" s="2">
        <v>79</v>
      </c>
      <c r="I1164" t="s">
        <v>39</v>
      </c>
      <c r="J1164" t="s">
        <v>9</v>
      </c>
      <c r="K1164" s="2">
        <v>25.73</v>
      </c>
      <c r="L1164" s="3">
        <v>537.69000000000005</v>
      </c>
      <c r="M1164" s="3">
        <f>orders_1[[#This Row],[products.Base_Price]]*orders_1[[#This Row],[Quantity]]</f>
        <v>42477.51</v>
      </c>
      <c r="N1164" t="s">
        <v>8</v>
      </c>
      <c r="O1164" t="s">
        <v>10</v>
      </c>
      <c r="P1164" t="s">
        <v>16</v>
      </c>
    </row>
    <row r="1165" spans="1:16" x14ac:dyDescent="0.3">
      <c r="A1165" s="2">
        <v>11164</v>
      </c>
      <c r="B1165" s="2">
        <v>525</v>
      </c>
      <c r="C1165" s="2">
        <v>2094</v>
      </c>
      <c r="D1165" s="2">
        <v>302</v>
      </c>
      <c r="E1165" s="4">
        <v>45398</v>
      </c>
      <c r="F1165" s="4">
        <v>45408</v>
      </c>
      <c r="G1165" s="2">
        <f t="shared" si="18"/>
        <v>10</v>
      </c>
      <c r="H1165" s="2">
        <v>59</v>
      </c>
      <c r="I1165" t="s">
        <v>42</v>
      </c>
      <c r="J1165" t="s">
        <v>27</v>
      </c>
      <c r="K1165" s="2">
        <v>22.56</v>
      </c>
      <c r="L1165" s="3">
        <v>393.53</v>
      </c>
      <c r="M1165" s="3">
        <f>orders_1[[#This Row],[products.Base_Price]]*orders_1[[#This Row],[Quantity]]</f>
        <v>23218.269999999997</v>
      </c>
      <c r="N1165" t="s">
        <v>12</v>
      </c>
      <c r="O1165" t="s">
        <v>14</v>
      </c>
      <c r="P1165" t="s">
        <v>11</v>
      </c>
    </row>
    <row r="1166" spans="1:16" x14ac:dyDescent="0.3">
      <c r="A1166" s="2">
        <v>11165</v>
      </c>
      <c r="B1166" s="2">
        <v>579</v>
      </c>
      <c r="C1166" s="2">
        <v>2064</v>
      </c>
      <c r="D1166" s="2">
        <v>310</v>
      </c>
      <c r="E1166" s="4">
        <v>45393</v>
      </c>
      <c r="F1166" s="4">
        <v>45403</v>
      </c>
      <c r="G1166" s="2">
        <f t="shared" si="18"/>
        <v>10</v>
      </c>
      <c r="H1166" s="2">
        <v>47</v>
      </c>
      <c r="I1166" t="s">
        <v>42</v>
      </c>
      <c r="J1166" t="s">
        <v>21</v>
      </c>
      <c r="K1166" s="2">
        <v>15.41</v>
      </c>
      <c r="L1166" s="3">
        <v>203.79</v>
      </c>
      <c r="M1166" s="3">
        <f>orders_1[[#This Row],[products.Base_Price]]*orders_1[[#This Row],[Quantity]]</f>
        <v>9578.1299999999992</v>
      </c>
      <c r="N1166" t="s">
        <v>26</v>
      </c>
      <c r="O1166" t="s">
        <v>25</v>
      </c>
      <c r="P1166" t="s">
        <v>11</v>
      </c>
    </row>
    <row r="1167" spans="1:16" x14ac:dyDescent="0.3">
      <c r="A1167" s="2">
        <v>11166</v>
      </c>
      <c r="B1167" s="2">
        <v>754</v>
      </c>
      <c r="C1167" s="2">
        <v>2011</v>
      </c>
      <c r="D1167" s="2">
        <v>304</v>
      </c>
      <c r="E1167" s="4">
        <v>45358</v>
      </c>
      <c r="F1167" s="4">
        <v>45359</v>
      </c>
      <c r="G1167" s="2">
        <f t="shared" si="18"/>
        <v>1</v>
      </c>
      <c r="H1167" s="2">
        <v>22</v>
      </c>
      <c r="I1167" t="s">
        <v>42</v>
      </c>
      <c r="J1167" t="s">
        <v>21</v>
      </c>
      <c r="K1167" s="2">
        <v>12.75</v>
      </c>
      <c r="L1167" s="3">
        <v>987.99</v>
      </c>
      <c r="M1167" s="3">
        <f>orders_1[[#This Row],[products.Base_Price]]*orders_1[[#This Row],[Quantity]]</f>
        <v>21735.78</v>
      </c>
      <c r="N1167" t="s">
        <v>17</v>
      </c>
      <c r="O1167" t="s">
        <v>18</v>
      </c>
      <c r="P1167" t="s">
        <v>19</v>
      </c>
    </row>
    <row r="1168" spans="1:16" x14ac:dyDescent="0.3">
      <c r="A1168" s="2">
        <v>11167</v>
      </c>
      <c r="B1168" s="2">
        <v>557</v>
      </c>
      <c r="C1168" s="2">
        <v>2090</v>
      </c>
      <c r="D1168" s="2">
        <v>312</v>
      </c>
      <c r="E1168" s="4">
        <v>45295</v>
      </c>
      <c r="F1168" s="4">
        <v>45304</v>
      </c>
      <c r="G1168" s="2">
        <f t="shared" si="18"/>
        <v>9</v>
      </c>
      <c r="H1168" s="2">
        <v>59</v>
      </c>
      <c r="I1168" t="s">
        <v>42</v>
      </c>
      <c r="J1168" t="s">
        <v>22</v>
      </c>
      <c r="K1168" s="2">
        <v>38.729999999999997</v>
      </c>
      <c r="L1168" s="3">
        <v>913.68</v>
      </c>
      <c r="M1168" s="3">
        <f>orders_1[[#This Row],[products.Base_Price]]*orders_1[[#This Row],[Quantity]]</f>
        <v>53907.119999999995</v>
      </c>
      <c r="N1168" t="s">
        <v>15</v>
      </c>
      <c r="O1168" t="s">
        <v>10</v>
      </c>
      <c r="P1168" t="s">
        <v>11</v>
      </c>
    </row>
    <row r="1169" spans="1:16" x14ac:dyDescent="0.3">
      <c r="A1169" s="2">
        <v>11168</v>
      </c>
      <c r="B1169" s="2">
        <v>712</v>
      </c>
      <c r="C1169" s="2">
        <v>2069</v>
      </c>
      <c r="D1169" s="2">
        <v>305</v>
      </c>
      <c r="E1169" s="4">
        <v>45491</v>
      </c>
      <c r="F1169" s="4">
        <v>45498</v>
      </c>
      <c r="G1169" s="2">
        <f t="shared" si="18"/>
        <v>7</v>
      </c>
      <c r="H1169" s="2">
        <v>42</v>
      </c>
      <c r="I1169" t="s">
        <v>39</v>
      </c>
      <c r="J1169" t="s">
        <v>22</v>
      </c>
      <c r="K1169" s="2">
        <v>2.94</v>
      </c>
      <c r="L1169" s="3">
        <v>494.92</v>
      </c>
      <c r="M1169" s="3">
        <f>orders_1[[#This Row],[products.Base_Price]]*orders_1[[#This Row],[Quantity]]</f>
        <v>20786.64</v>
      </c>
      <c r="N1169" t="s">
        <v>20</v>
      </c>
      <c r="O1169" t="s">
        <v>10</v>
      </c>
      <c r="P1169" t="s">
        <v>19</v>
      </c>
    </row>
    <row r="1170" spans="1:16" x14ac:dyDescent="0.3">
      <c r="A1170" s="2">
        <v>11169</v>
      </c>
      <c r="B1170" s="2">
        <v>710</v>
      </c>
      <c r="C1170" s="2">
        <v>2009</v>
      </c>
      <c r="D1170" s="2">
        <v>307</v>
      </c>
      <c r="E1170" s="4">
        <v>45526</v>
      </c>
      <c r="F1170" s="4">
        <v>45533</v>
      </c>
      <c r="G1170" s="2">
        <f t="shared" si="18"/>
        <v>7</v>
      </c>
      <c r="H1170" s="2">
        <v>15</v>
      </c>
      <c r="I1170" t="s">
        <v>36</v>
      </c>
      <c r="J1170" t="s">
        <v>21</v>
      </c>
      <c r="K1170" s="2">
        <v>16.82</v>
      </c>
      <c r="L1170" s="3">
        <v>376.01</v>
      </c>
      <c r="M1170" s="3">
        <f>orders_1[[#This Row],[products.Base_Price]]*orders_1[[#This Row],[Quantity]]</f>
        <v>5640.15</v>
      </c>
      <c r="N1170" t="s">
        <v>17</v>
      </c>
      <c r="O1170" t="s">
        <v>10</v>
      </c>
      <c r="P1170" t="s">
        <v>11</v>
      </c>
    </row>
    <row r="1171" spans="1:16" x14ac:dyDescent="0.3">
      <c r="A1171" s="2">
        <v>11170</v>
      </c>
      <c r="B1171" s="2">
        <v>619</v>
      </c>
      <c r="C1171" s="2">
        <v>2030</v>
      </c>
      <c r="D1171" s="2">
        <v>312</v>
      </c>
      <c r="E1171" s="4">
        <v>45391</v>
      </c>
      <c r="F1171" s="4">
        <v>45393</v>
      </c>
      <c r="G1171" s="2">
        <f t="shared" si="18"/>
        <v>2</v>
      </c>
      <c r="H1171" s="2">
        <v>31</v>
      </c>
      <c r="I1171" t="s">
        <v>42</v>
      </c>
      <c r="J1171" t="s">
        <v>13</v>
      </c>
      <c r="K1171" s="2">
        <v>27.52</v>
      </c>
      <c r="L1171" s="3">
        <v>537.03</v>
      </c>
      <c r="M1171" s="3">
        <f>orders_1[[#This Row],[products.Base_Price]]*orders_1[[#This Row],[Quantity]]</f>
        <v>16647.93</v>
      </c>
      <c r="N1171" t="s">
        <v>15</v>
      </c>
      <c r="O1171" t="s">
        <v>10</v>
      </c>
      <c r="P1171" t="s">
        <v>11</v>
      </c>
    </row>
    <row r="1172" spans="1:16" x14ac:dyDescent="0.3">
      <c r="A1172" s="2">
        <v>11171</v>
      </c>
      <c r="B1172" s="2">
        <v>777</v>
      </c>
      <c r="C1172" s="2">
        <v>2080</v>
      </c>
      <c r="D1172" s="2">
        <v>302</v>
      </c>
      <c r="E1172" s="4">
        <v>45585</v>
      </c>
      <c r="F1172" s="4">
        <v>45587</v>
      </c>
      <c r="G1172" s="2">
        <f t="shared" si="18"/>
        <v>2</v>
      </c>
      <c r="H1172" s="2">
        <v>85</v>
      </c>
      <c r="I1172" t="s">
        <v>39</v>
      </c>
      <c r="J1172" t="s">
        <v>9</v>
      </c>
      <c r="K1172" s="2">
        <v>29.56</v>
      </c>
      <c r="L1172" s="3">
        <v>143.84</v>
      </c>
      <c r="M1172" s="3">
        <f>orders_1[[#This Row],[products.Base_Price]]*orders_1[[#This Row],[Quantity]]</f>
        <v>12226.4</v>
      </c>
      <c r="N1172" t="s">
        <v>12</v>
      </c>
      <c r="O1172" t="s">
        <v>14</v>
      </c>
      <c r="P1172" t="s">
        <v>11</v>
      </c>
    </row>
    <row r="1173" spans="1:16" x14ac:dyDescent="0.3">
      <c r="A1173" s="2">
        <v>11172</v>
      </c>
      <c r="B1173" s="2">
        <v>878</v>
      </c>
      <c r="C1173" s="2">
        <v>2042</v>
      </c>
      <c r="D1173" s="2">
        <v>320</v>
      </c>
      <c r="E1173" s="4">
        <v>45321</v>
      </c>
      <c r="F1173" s="4">
        <v>45329</v>
      </c>
      <c r="G1173" s="2">
        <f t="shared" si="18"/>
        <v>8</v>
      </c>
      <c r="H1173" s="2">
        <v>97</v>
      </c>
      <c r="I1173" t="s">
        <v>39</v>
      </c>
      <c r="J1173" t="s">
        <v>27</v>
      </c>
      <c r="K1173" s="2">
        <v>46.87</v>
      </c>
      <c r="L1173" s="3">
        <v>313.88</v>
      </c>
      <c r="M1173" s="3">
        <f>orders_1[[#This Row],[products.Base_Price]]*orders_1[[#This Row],[Quantity]]</f>
        <v>30446.36</v>
      </c>
      <c r="N1173" t="s">
        <v>15</v>
      </c>
      <c r="O1173" t="s">
        <v>25</v>
      </c>
      <c r="P1173" t="s">
        <v>11</v>
      </c>
    </row>
    <row r="1174" spans="1:16" x14ac:dyDescent="0.3">
      <c r="A1174" s="2">
        <v>11173</v>
      </c>
      <c r="B1174" s="2">
        <v>678</v>
      </c>
      <c r="C1174" s="2">
        <v>2031</v>
      </c>
      <c r="D1174" s="2">
        <v>320</v>
      </c>
      <c r="E1174" s="4">
        <v>45392</v>
      </c>
      <c r="F1174" s="4">
        <v>45397</v>
      </c>
      <c r="G1174" s="2">
        <f t="shared" si="18"/>
        <v>5</v>
      </c>
      <c r="H1174" s="2">
        <v>29</v>
      </c>
      <c r="I1174" t="s">
        <v>39</v>
      </c>
      <c r="J1174" t="s">
        <v>27</v>
      </c>
      <c r="K1174" s="2">
        <v>24.61</v>
      </c>
      <c r="L1174" s="3">
        <v>342.86</v>
      </c>
      <c r="M1174" s="3">
        <f>orders_1[[#This Row],[products.Base_Price]]*orders_1[[#This Row],[Quantity]]</f>
        <v>9942.94</v>
      </c>
      <c r="N1174" t="s">
        <v>15</v>
      </c>
      <c r="O1174" t="s">
        <v>25</v>
      </c>
      <c r="P1174" t="s">
        <v>11</v>
      </c>
    </row>
    <row r="1175" spans="1:16" x14ac:dyDescent="0.3">
      <c r="A1175" s="2">
        <v>11174</v>
      </c>
      <c r="B1175" s="2">
        <v>830</v>
      </c>
      <c r="C1175" s="2">
        <v>2096</v>
      </c>
      <c r="D1175" s="2">
        <v>315</v>
      </c>
      <c r="E1175" s="4">
        <v>45346</v>
      </c>
      <c r="F1175" s="4">
        <v>45352</v>
      </c>
      <c r="G1175" s="2">
        <f t="shared" si="18"/>
        <v>6</v>
      </c>
      <c r="H1175" s="2">
        <v>54</v>
      </c>
      <c r="I1175" t="s">
        <v>39</v>
      </c>
      <c r="J1175" t="s">
        <v>22</v>
      </c>
      <c r="K1175" s="2">
        <v>20.04</v>
      </c>
      <c r="L1175" s="3">
        <v>70.19</v>
      </c>
      <c r="M1175" s="3">
        <f>orders_1[[#This Row],[products.Base_Price]]*orders_1[[#This Row],[Quantity]]</f>
        <v>3790.2599999999998</v>
      </c>
      <c r="N1175" t="s">
        <v>15</v>
      </c>
      <c r="O1175" t="s">
        <v>25</v>
      </c>
      <c r="P1175" t="s">
        <v>19</v>
      </c>
    </row>
    <row r="1176" spans="1:16" x14ac:dyDescent="0.3">
      <c r="A1176" s="2">
        <v>11175</v>
      </c>
      <c r="B1176" s="2">
        <v>539</v>
      </c>
      <c r="C1176" s="2">
        <v>2098</v>
      </c>
      <c r="D1176" s="2">
        <v>308</v>
      </c>
      <c r="E1176" s="4">
        <v>45313</v>
      </c>
      <c r="F1176" s="4">
        <v>45323</v>
      </c>
      <c r="G1176" s="2">
        <f t="shared" si="18"/>
        <v>10</v>
      </c>
      <c r="H1176" s="2">
        <v>100</v>
      </c>
      <c r="I1176" t="s">
        <v>36</v>
      </c>
      <c r="J1176" t="s">
        <v>13</v>
      </c>
      <c r="K1176" s="2">
        <v>25.35</v>
      </c>
      <c r="L1176" s="3">
        <v>571.58000000000004</v>
      </c>
      <c r="M1176" s="3">
        <f>orders_1[[#This Row],[products.Base_Price]]*orders_1[[#This Row],[Quantity]]</f>
        <v>57158.000000000007</v>
      </c>
      <c r="N1176" t="s">
        <v>23</v>
      </c>
      <c r="O1176" t="s">
        <v>14</v>
      </c>
      <c r="P1176" t="s">
        <v>19</v>
      </c>
    </row>
    <row r="1177" spans="1:16" x14ac:dyDescent="0.3">
      <c r="A1177" s="2">
        <v>11176</v>
      </c>
      <c r="B1177" s="2">
        <v>547</v>
      </c>
      <c r="C1177" s="2">
        <v>2017</v>
      </c>
      <c r="D1177" s="2">
        <v>315</v>
      </c>
      <c r="E1177" s="4">
        <v>45618</v>
      </c>
      <c r="F1177" s="4">
        <v>45623</v>
      </c>
      <c r="G1177" s="2">
        <f t="shared" si="18"/>
        <v>5</v>
      </c>
      <c r="H1177" s="2">
        <v>33</v>
      </c>
      <c r="I1177" t="s">
        <v>39</v>
      </c>
      <c r="J1177" t="s">
        <v>22</v>
      </c>
      <c r="K1177" s="2">
        <v>38.24</v>
      </c>
      <c r="L1177" s="3">
        <v>788.08</v>
      </c>
      <c r="M1177" s="3">
        <f>orders_1[[#This Row],[products.Base_Price]]*orders_1[[#This Row],[Quantity]]</f>
        <v>26006.640000000003</v>
      </c>
      <c r="N1177" t="s">
        <v>15</v>
      </c>
      <c r="O1177" t="s">
        <v>25</v>
      </c>
      <c r="P1177" t="s">
        <v>19</v>
      </c>
    </row>
    <row r="1178" spans="1:16" x14ac:dyDescent="0.3">
      <c r="A1178" s="2">
        <v>11177</v>
      </c>
      <c r="B1178" s="2">
        <v>522</v>
      </c>
      <c r="C1178" s="2">
        <v>2048</v>
      </c>
      <c r="D1178" s="2">
        <v>310</v>
      </c>
      <c r="E1178" s="4">
        <v>45304</v>
      </c>
      <c r="F1178" s="4">
        <v>45308</v>
      </c>
      <c r="G1178" s="2">
        <f t="shared" si="18"/>
        <v>4</v>
      </c>
      <c r="H1178" s="2">
        <v>68</v>
      </c>
      <c r="I1178" t="s">
        <v>39</v>
      </c>
      <c r="J1178" t="s">
        <v>22</v>
      </c>
      <c r="K1178" s="2">
        <v>6.74</v>
      </c>
      <c r="L1178" s="3">
        <v>864.57</v>
      </c>
      <c r="M1178" s="3">
        <f>orders_1[[#This Row],[products.Base_Price]]*orders_1[[#This Row],[Quantity]]</f>
        <v>58790.76</v>
      </c>
      <c r="N1178" t="s">
        <v>26</v>
      </c>
      <c r="O1178" t="s">
        <v>25</v>
      </c>
      <c r="P1178" t="s">
        <v>11</v>
      </c>
    </row>
    <row r="1179" spans="1:16" x14ac:dyDescent="0.3">
      <c r="A1179" s="2">
        <v>11178</v>
      </c>
      <c r="B1179" s="2">
        <v>670</v>
      </c>
      <c r="C1179" s="2">
        <v>2022</v>
      </c>
      <c r="D1179" s="2">
        <v>307</v>
      </c>
      <c r="E1179" s="4">
        <v>45554</v>
      </c>
      <c r="F1179" s="4">
        <v>45558</v>
      </c>
      <c r="G1179" s="2">
        <f t="shared" si="18"/>
        <v>4</v>
      </c>
      <c r="H1179" s="2">
        <v>32</v>
      </c>
      <c r="I1179" t="s">
        <v>39</v>
      </c>
      <c r="J1179" t="s">
        <v>13</v>
      </c>
      <c r="K1179" s="2">
        <v>47.91</v>
      </c>
      <c r="L1179" s="3">
        <v>756.92</v>
      </c>
      <c r="M1179" s="3">
        <f>orders_1[[#This Row],[products.Base_Price]]*orders_1[[#This Row],[Quantity]]</f>
        <v>24221.439999999999</v>
      </c>
      <c r="N1179" t="s">
        <v>17</v>
      </c>
      <c r="O1179" t="s">
        <v>10</v>
      </c>
      <c r="P1179" t="s">
        <v>11</v>
      </c>
    </row>
    <row r="1180" spans="1:16" x14ac:dyDescent="0.3">
      <c r="A1180" s="2">
        <v>11179</v>
      </c>
      <c r="B1180" s="2">
        <v>579</v>
      </c>
      <c r="C1180" s="2">
        <v>2042</v>
      </c>
      <c r="D1180" s="2">
        <v>316</v>
      </c>
      <c r="E1180" s="4">
        <v>45554</v>
      </c>
      <c r="F1180" s="4">
        <v>45560</v>
      </c>
      <c r="G1180" s="2">
        <f t="shared" si="18"/>
        <v>6</v>
      </c>
      <c r="H1180" s="2">
        <v>14</v>
      </c>
      <c r="I1180" t="s">
        <v>36</v>
      </c>
      <c r="J1180" t="s">
        <v>27</v>
      </c>
      <c r="K1180" s="2">
        <v>46.87</v>
      </c>
      <c r="L1180" s="3">
        <v>313.88</v>
      </c>
      <c r="M1180" s="3">
        <f>orders_1[[#This Row],[products.Base_Price]]*orders_1[[#This Row],[Quantity]]</f>
        <v>4394.32</v>
      </c>
      <c r="N1180" t="s">
        <v>24</v>
      </c>
      <c r="O1180" t="s">
        <v>25</v>
      </c>
      <c r="P1180" t="s">
        <v>19</v>
      </c>
    </row>
    <row r="1181" spans="1:16" x14ac:dyDescent="0.3">
      <c r="A1181" s="2">
        <v>11180</v>
      </c>
      <c r="B1181" s="2">
        <v>867</v>
      </c>
      <c r="C1181" s="2">
        <v>2025</v>
      </c>
      <c r="D1181" s="2">
        <v>309</v>
      </c>
      <c r="E1181" s="4">
        <v>45530</v>
      </c>
      <c r="F1181" s="4">
        <v>45538</v>
      </c>
      <c r="G1181" s="2">
        <f t="shared" si="18"/>
        <v>8</v>
      </c>
      <c r="H1181" s="2">
        <v>81</v>
      </c>
      <c r="I1181" t="s">
        <v>78</v>
      </c>
      <c r="J1181" t="s">
        <v>13</v>
      </c>
      <c r="K1181" s="2">
        <v>3.39</v>
      </c>
      <c r="L1181" s="3">
        <v>303.87</v>
      </c>
      <c r="M1181" s="3">
        <f>orders_1[[#This Row],[products.Base_Price]]*orders_1[[#This Row],[Quantity]]</f>
        <v>24613.47</v>
      </c>
      <c r="N1181" t="s">
        <v>24</v>
      </c>
      <c r="O1181" t="s">
        <v>25</v>
      </c>
      <c r="P1181" t="s">
        <v>16</v>
      </c>
    </row>
    <row r="1182" spans="1:16" x14ac:dyDescent="0.3">
      <c r="A1182" s="2">
        <v>11181</v>
      </c>
      <c r="B1182" s="2">
        <v>661</v>
      </c>
      <c r="C1182" s="2">
        <v>2065</v>
      </c>
      <c r="D1182" s="2">
        <v>305</v>
      </c>
      <c r="E1182" s="4">
        <v>45647</v>
      </c>
      <c r="F1182" s="4">
        <v>45651</v>
      </c>
      <c r="G1182" s="2">
        <f t="shared" si="18"/>
        <v>4</v>
      </c>
      <c r="H1182" s="2">
        <v>68</v>
      </c>
      <c r="I1182" t="s">
        <v>36</v>
      </c>
      <c r="J1182" t="s">
        <v>13</v>
      </c>
      <c r="K1182" s="2">
        <v>26.94</v>
      </c>
      <c r="L1182" s="3">
        <v>155.15</v>
      </c>
      <c r="M1182" s="3">
        <f>orders_1[[#This Row],[products.Base_Price]]*orders_1[[#This Row],[Quantity]]</f>
        <v>10550.2</v>
      </c>
      <c r="N1182" t="s">
        <v>20</v>
      </c>
      <c r="O1182" t="s">
        <v>10</v>
      </c>
      <c r="P1182" t="s">
        <v>19</v>
      </c>
    </row>
    <row r="1183" spans="1:16" x14ac:dyDescent="0.3">
      <c r="A1183" s="2">
        <v>11182</v>
      </c>
      <c r="B1183" s="2">
        <v>619</v>
      </c>
      <c r="C1183" s="2">
        <v>2034</v>
      </c>
      <c r="D1183" s="2">
        <v>301</v>
      </c>
      <c r="E1183" s="4">
        <v>45339</v>
      </c>
      <c r="F1183" s="4">
        <v>45344</v>
      </c>
      <c r="G1183" s="2">
        <f t="shared" si="18"/>
        <v>5</v>
      </c>
      <c r="H1183" s="2">
        <v>87</v>
      </c>
      <c r="I1183" t="s">
        <v>78</v>
      </c>
      <c r="J1183" t="s">
        <v>27</v>
      </c>
      <c r="K1183" s="2">
        <v>26.17</v>
      </c>
      <c r="L1183" s="3">
        <v>540.23</v>
      </c>
      <c r="M1183" s="3">
        <f>orders_1[[#This Row],[products.Base_Price]]*orders_1[[#This Row],[Quantity]]</f>
        <v>47000.01</v>
      </c>
      <c r="N1183" t="s">
        <v>8</v>
      </c>
      <c r="O1183" t="s">
        <v>10</v>
      </c>
      <c r="P1183" t="s">
        <v>11</v>
      </c>
    </row>
    <row r="1184" spans="1:16" x14ac:dyDescent="0.3">
      <c r="A1184" s="2">
        <v>11183</v>
      </c>
      <c r="B1184" s="2">
        <v>527</v>
      </c>
      <c r="C1184" s="2">
        <v>2080</v>
      </c>
      <c r="D1184" s="2">
        <v>318</v>
      </c>
      <c r="E1184" s="4">
        <v>45512</v>
      </c>
      <c r="F1184" s="4">
        <v>45518</v>
      </c>
      <c r="G1184" s="2">
        <f t="shared" si="18"/>
        <v>6</v>
      </c>
      <c r="H1184" s="2">
        <v>71</v>
      </c>
      <c r="I1184" t="s">
        <v>42</v>
      </c>
      <c r="J1184" t="s">
        <v>9</v>
      </c>
      <c r="K1184" s="2">
        <v>29.56</v>
      </c>
      <c r="L1184" s="3">
        <v>143.84</v>
      </c>
      <c r="M1184" s="3">
        <f>orders_1[[#This Row],[products.Base_Price]]*orders_1[[#This Row],[Quantity]]</f>
        <v>10212.64</v>
      </c>
      <c r="N1184" t="s">
        <v>17</v>
      </c>
      <c r="O1184" t="s">
        <v>10</v>
      </c>
      <c r="P1184" t="s">
        <v>19</v>
      </c>
    </row>
    <row r="1185" spans="1:16" x14ac:dyDescent="0.3">
      <c r="A1185" s="2">
        <v>11184</v>
      </c>
      <c r="B1185" s="2">
        <v>896</v>
      </c>
      <c r="C1185" s="2">
        <v>2003</v>
      </c>
      <c r="D1185" s="2">
        <v>314</v>
      </c>
      <c r="E1185" s="4">
        <v>45395</v>
      </c>
      <c r="F1185" s="4">
        <v>45398</v>
      </c>
      <c r="G1185" s="2">
        <f t="shared" si="18"/>
        <v>3</v>
      </c>
      <c r="H1185" s="2">
        <v>49</v>
      </c>
      <c r="I1185" t="s">
        <v>36</v>
      </c>
      <c r="J1185" t="s">
        <v>13</v>
      </c>
      <c r="K1185" s="2">
        <v>39.74</v>
      </c>
      <c r="L1185" s="3">
        <v>864.17</v>
      </c>
      <c r="M1185" s="3">
        <f>orders_1[[#This Row],[products.Base_Price]]*orders_1[[#This Row],[Quantity]]</f>
        <v>42344.329999999994</v>
      </c>
      <c r="N1185" t="s">
        <v>17</v>
      </c>
      <c r="O1185" t="s">
        <v>14</v>
      </c>
      <c r="P1185" t="s">
        <v>19</v>
      </c>
    </row>
    <row r="1186" spans="1:16" x14ac:dyDescent="0.3">
      <c r="A1186" s="2">
        <v>11185</v>
      </c>
      <c r="B1186" s="2">
        <v>769</v>
      </c>
      <c r="C1186" s="2">
        <v>2030</v>
      </c>
      <c r="D1186" s="2">
        <v>315</v>
      </c>
      <c r="E1186" s="4">
        <v>45648</v>
      </c>
      <c r="F1186" s="4">
        <v>45657</v>
      </c>
      <c r="G1186" s="2">
        <f t="shared" si="18"/>
        <v>9</v>
      </c>
      <c r="H1186" s="2">
        <v>62</v>
      </c>
      <c r="I1186" t="s">
        <v>36</v>
      </c>
      <c r="J1186" t="s">
        <v>13</v>
      </c>
      <c r="K1186" s="2">
        <v>27.52</v>
      </c>
      <c r="L1186" s="3">
        <v>537.03</v>
      </c>
      <c r="M1186" s="3">
        <f>orders_1[[#This Row],[products.Base_Price]]*orders_1[[#This Row],[Quantity]]</f>
        <v>33295.86</v>
      </c>
      <c r="N1186" t="s">
        <v>15</v>
      </c>
      <c r="O1186" t="s">
        <v>25</v>
      </c>
      <c r="P1186" t="s">
        <v>19</v>
      </c>
    </row>
    <row r="1187" spans="1:16" x14ac:dyDescent="0.3">
      <c r="A1187" s="2">
        <v>11186</v>
      </c>
      <c r="B1187" s="2">
        <v>739</v>
      </c>
      <c r="C1187" s="2">
        <v>2078</v>
      </c>
      <c r="D1187" s="2">
        <v>314</v>
      </c>
      <c r="E1187" s="4">
        <v>45580</v>
      </c>
      <c r="F1187" s="4">
        <v>45582</v>
      </c>
      <c r="G1187" s="2">
        <f t="shared" si="18"/>
        <v>2</v>
      </c>
      <c r="H1187" s="2">
        <v>59</v>
      </c>
      <c r="I1187" t="s">
        <v>36</v>
      </c>
      <c r="J1187" t="s">
        <v>21</v>
      </c>
      <c r="K1187" s="2">
        <v>14.85</v>
      </c>
      <c r="L1187" s="3">
        <v>517.03</v>
      </c>
      <c r="M1187" s="3">
        <f>orders_1[[#This Row],[products.Base_Price]]*orders_1[[#This Row],[Quantity]]</f>
        <v>30504.769999999997</v>
      </c>
      <c r="N1187" t="s">
        <v>17</v>
      </c>
      <c r="O1187" t="s">
        <v>14</v>
      </c>
      <c r="P1187" t="s">
        <v>19</v>
      </c>
    </row>
    <row r="1188" spans="1:16" x14ac:dyDescent="0.3">
      <c r="A1188" s="2">
        <v>11187</v>
      </c>
      <c r="B1188" s="2">
        <v>897</v>
      </c>
      <c r="C1188" s="2">
        <v>2002</v>
      </c>
      <c r="D1188" s="2">
        <v>316</v>
      </c>
      <c r="E1188" s="4">
        <v>45529</v>
      </c>
      <c r="F1188" s="4">
        <v>45537</v>
      </c>
      <c r="G1188" s="2">
        <f t="shared" si="18"/>
        <v>8</v>
      </c>
      <c r="H1188" s="2">
        <v>70</v>
      </c>
      <c r="I1188" t="s">
        <v>39</v>
      </c>
      <c r="J1188" t="s">
        <v>13</v>
      </c>
      <c r="K1188" s="2">
        <v>30.78</v>
      </c>
      <c r="L1188" s="3">
        <v>646.99</v>
      </c>
      <c r="M1188" s="3">
        <f>orders_1[[#This Row],[products.Base_Price]]*orders_1[[#This Row],[Quantity]]</f>
        <v>45289.3</v>
      </c>
      <c r="N1188" t="s">
        <v>24</v>
      </c>
      <c r="O1188" t="s">
        <v>25</v>
      </c>
      <c r="P1188" t="s">
        <v>19</v>
      </c>
    </row>
    <row r="1189" spans="1:16" x14ac:dyDescent="0.3">
      <c r="A1189" s="2">
        <v>11188</v>
      </c>
      <c r="B1189" s="2">
        <v>767</v>
      </c>
      <c r="C1189" s="2">
        <v>2025</v>
      </c>
      <c r="D1189" s="2">
        <v>314</v>
      </c>
      <c r="E1189" s="4">
        <v>45506</v>
      </c>
      <c r="F1189" s="4">
        <v>45513</v>
      </c>
      <c r="G1189" s="2">
        <f t="shared" si="18"/>
        <v>7</v>
      </c>
      <c r="H1189" s="2">
        <v>44</v>
      </c>
      <c r="I1189" t="s">
        <v>78</v>
      </c>
      <c r="J1189" t="s">
        <v>13</v>
      </c>
      <c r="K1189" s="2">
        <v>3.39</v>
      </c>
      <c r="L1189" s="3">
        <v>303.87</v>
      </c>
      <c r="M1189" s="3">
        <f>orders_1[[#This Row],[products.Base_Price]]*orders_1[[#This Row],[Quantity]]</f>
        <v>13370.28</v>
      </c>
      <c r="N1189" t="s">
        <v>17</v>
      </c>
      <c r="O1189" t="s">
        <v>14</v>
      </c>
      <c r="P1189" t="s">
        <v>19</v>
      </c>
    </row>
    <row r="1190" spans="1:16" x14ac:dyDescent="0.3">
      <c r="A1190" s="2">
        <v>11189</v>
      </c>
      <c r="B1190" s="2">
        <v>557</v>
      </c>
      <c r="C1190" s="2">
        <v>2019</v>
      </c>
      <c r="D1190" s="2">
        <v>301</v>
      </c>
      <c r="E1190" s="4">
        <v>45314</v>
      </c>
      <c r="F1190" s="4">
        <v>45316</v>
      </c>
      <c r="G1190" s="2">
        <f t="shared" si="18"/>
        <v>2</v>
      </c>
      <c r="H1190" s="2">
        <v>46</v>
      </c>
      <c r="I1190" t="s">
        <v>39</v>
      </c>
      <c r="J1190" t="s">
        <v>22</v>
      </c>
      <c r="K1190" s="2">
        <v>27.65</v>
      </c>
      <c r="L1190" s="3">
        <v>89.85</v>
      </c>
      <c r="M1190" s="3">
        <f>orders_1[[#This Row],[products.Base_Price]]*orders_1[[#This Row],[Quantity]]</f>
        <v>4133.0999999999995</v>
      </c>
      <c r="N1190" t="s">
        <v>8</v>
      </c>
      <c r="O1190" t="s">
        <v>10</v>
      </c>
      <c r="P1190" t="s">
        <v>11</v>
      </c>
    </row>
    <row r="1191" spans="1:16" x14ac:dyDescent="0.3">
      <c r="A1191" s="2">
        <v>11190</v>
      </c>
      <c r="B1191" s="2">
        <v>598</v>
      </c>
      <c r="C1191" s="2">
        <v>2094</v>
      </c>
      <c r="D1191" s="2">
        <v>316</v>
      </c>
      <c r="E1191" s="4">
        <v>45405</v>
      </c>
      <c r="F1191" s="4">
        <v>45407</v>
      </c>
      <c r="G1191" s="2">
        <f t="shared" si="18"/>
        <v>2</v>
      </c>
      <c r="H1191" s="2">
        <v>18</v>
      </c>
      <c r="I1191" t="s">
        <v>39</v>
      </c>
      <c r="J1191" t="s">
        <v>27</v>
      </c>
      <c r="K1191" s="2">
        <v>22.56</v>
      </c>
      <c r="L1191" s="3">
        <v>393.53</v>
      </c>
      <c r="M1191" s="3">
        <f>orders_1[[#This Row],[products.Base_Price]]*orders_1[[#This Row],[Quantity]]</f>
        <v>7083.5399999999991</v>
      </c>
      <c r="N1191" t="s">
        <v>24</v>
      </c>
      <c r="O1191" t="s">
        <v>25</v>
      </c>
      <c r="P1191" t="s">
        <v>19</v>
      </c>
    </row>
    <row r="1192" spans="1:16" x14ac:dyDescent="0.3">
      <c r="A1192" s="2">
        <v>11191</v>
      </c>
      <c r="B1192" s="2">
        <v>824</v>
      </c>
      <c r="C1192" s="2">
        <v>2044</v>
      </c>
      <c r="D1192" s="2">
        <v>310</v>
      </c>
      <c r="E1192" s="4">
        <v>45569</v>
      </c>
      <c r="F1192" s="4">
        <v>45570</v>
      </c>
      <c r="G1192" s="2">
        <f t="shared" si="18"/>
        <v>1</v>
      </c>
      <c r="H1192" s="2">
        <v>72</v>
      </c>
      <c r="I1192" t="s">
        <v>42</v>
      </c>
      <c r="J1192" t="s">
        <v>21</v>
      </c>
      <c r="K1192" s="2">
        <v>11.44</v>
      </c>
      <c r="L1192" s="3">
        <v>939.99</v>
      </c>
      <c r="M1192" s="3">
        <f>orders_1[[#This Row],[products.Base_Price]]*orders_1[[#This Row],[Quantity]]</f>
        <v>67679.28</v>
      </c>
      <c r="N1192" t="s">
        <v>26</v>
      </c>
      <c r="O1192" t="s">
        <v>25</v>
      </c>
      <c r="P1192" t="s">
        <v>11</v>
      </c>
    </row>
    <row r="1193" spans="1:16" x14ac:dyDescent="0.3">
      <c r="A1193" s="2">
        <v>11192</v>
      </c>
      <c r="B1193" s="2">
        <v>535</v>
      </c>
      <c r="C1193" s="2">
        <v>2033</v>
      </c>
      <c r="D1193" s="2">
        <v>308</v>
      </c>
      <c r="E1193" s="4">
        <v>45529</v>
      </c>
      <c r="F1193" s="4">
        <v>45535</v>
      </c>
      <c r="G1193" s="2">
        <f t="shared" si="18"/>
        <v>6</v>
      </c>
      <c r="H1193" s="2">
        <v>25</v>
      </c>
      <c r="I1193" t="s">
        <v>78</v>
      </c>
      <c r="J1193" t="s">
        <v>22</v>
      </c>
      <c r="K1193" s="2">
        <v>8.33</v>
      </c>
      <c r="L1193" s="3">
        <v>629.69000000000005</v>
      </c>
      <c r="M1193" s="3">
        <f>orders_1[[#This Row],[products.Base_Price]]*orders_1[[#This Row],[Quantity]]</f>
        <v>15742.250000000002</v>
      </c>
      <c r="N1193" t="s">
        <v>23</v>
      </c>
      <c r="O1193" t="s">
        <v>14</v>
      </c>
      <c r="P1193" t="s">
        <v>19</v>
      </c>
    </row>
    <row r="1194" spans="1:16" x14ac:dyDescent="0.3">
      <c r="A1194" s="2">
        <v>11193</v>
      </c>
      <c r="B1194" s="2">
        <v>717</v>
      </c>
      <c r="C1194" s="2">
        <v>2055</v>
      </c>
      <c r="D1194" s="2">
        <v>315</v>
      </c>
      <c r="E1194" s="4">
        <v>45347</v>
      </c>
      <c r="F1194" s="4">
        <v>45352</v>
      </c>
      <c r="G1194" s="2">
        <f t="shared" si="18"/>
        <v>5</v>
      </c>
      <c r="H1194" s="2">
        <v>50</v>
      </c>
      <c r="I1194" t="s">
        <v>39</v>
      </c>
      <c r="J1194" t="s">
        <v>27</v>
      </c>
      <c r="K1194" s="2">
        <v>26.24</v>
      </c>
      <c r="L1194" s="3">
        <v>312.67</v>
      </c>
      <c r="M1194" s="3">
        <f>orders_1[[#This Row],[products.Base_Price]]*orders_1[[#This Row],[Quantity]]</f>
        <v>15633.5</v>
      </c>
      <c r="N1194" t="s">
        <v>15</v>
      </c>
      <c r="O1194" t="s">
        <v>25</v>
      </c>
      <c r="P1194" t="s">
        <v>19</v>
      </c>
    </row>
    <row r="1195" spans="1:16" x14ac:dyDescent="0.3">
      <c r="A1195" s="2">
        <v>11194</v>
      </c>
      <c r="B1195" s="2">
        <v>521</v>
      </c>
      <c r="C1195" s="2">
        <v>2086</v>
      </c>
      <c r="D1195" s="2">
        <v>313</v>
      </c>
      <c r="E1195" s="4">
        <v>45603</v>
      </c>
      <c r="F1195" s="4">
        <v>45612</v>
      </c>
      <c r="G1195" s="2">
        <f t="shared" si="18"/>
        <v>9</v>
      </c>
      <c r="H1195" s="2">
        <v>61</v>
      </c>
      <c r="I1195" t="s">
        <v>36</v>
      </c>
      <c r="J1195" t="s">
        <v>27</v>
      </c>
      <c r="K1195" s="2">
        <v>27.73</v>
      </c>
      <c r="L1195" s="3">
        <v>417.42</v>
      </c>
      <c r="M1195" s="3">
        <f>orders_1[[#This Row],[products.Base_Price]]*orders_1[[#This Row],[Quantity]]</f>
        <v>25462.620000000003</v>
      </c>
      <c r="N1195" t="s">
        <v>15</v>
      </c>
      <c r="O1195" t="s">
        <v>25</v>
      </c>
      <c r="P1195" t="s">
        <v>16</v>
      </c>
    </row>
    <row r="1196" spans="1:16" x14ac:dyDescent="0.3">
      <c r="A1196" s="2">
        <v>11195</v>
      </c>
      <c r="B1196" s="2">
        <v>666</v>
      </c>
      <c r="C1196" s="2">
        <v>2057</v>
      </c>
      <c r="D1196" s="2">
        <v>318</v>
      </c>
      <c r="E1196" s="4">
        <v>45405</v>
      </c>
      <c r="F1196" s="4">
        <v>45406</v>
      </c>
      <c r="G1196" s="2">
        <f t="shared" si="18"/>
        <v>1</v>
      </c>
      <c r="H1196" s="2">
        <v>84</v>
      </c>
      <c r="I1196" t="s">
        <v>78</v>
      </c>
      <c r="J1196" t="s">
        <v>22</v>
      </c>
      <c r="K1196" s="2">
        <v>34.299999999999997</v>
      </c>
      <c r="L1196" s="3">
        <v>40.43</v>
      </c>
      <c r="M1196" s="3">
        <f>orders_1[[#This Row],[products.Base_Price]]*orders_1[[#This Row],[Quantity]]</f>
        <v>3396.12</v>
      </c>
      <c r="N1196" t="s">
        <v>17</v>
      </c>
      <c r="O1196" t="s">
        <v>10</v>
      </c>
      <c r="P1196" t="s">
        <v>19</v>
      </c>
    </row>
    <row r="1197" spans="1:16" x14ac:dyDescent="0.3">
      <c r="A1197" s="2">
        <v>11196</v>
      </c>
      <c r="B1197" s="2">
        <v>582</v>
      </c>
      <c r="C1197" s="2">
        <v>2003</v>
      </c>
      <c r="D1197" s="2">
        <v>306</v>
      </c>
      <c r="E1197" s="4">
        <v>45504</v>
      </c>
      <c r="F1197" s="4">
        <v>45506</v>
      </c>
      <c r="G1197" s="2">
        <f t="shared" si="18"/>
        <v>2</v>
      </c>
      <c r="H1197" s="2">
        <v>17</v>
      </c>
      <c r="I1197" t="s">
        <v>36</v>
      </c>
      <c r="J1197" t="s">
        <v>13</v>
      </c>
      <c r="K1197" s="2">
        <v>39.74</v>
      </c>
      <c r="L1197" s="3">
        <v>864.17</v>
      </c>
      <c r="M1197" s="3">
        <f>orders_1[[#This Row],[products.Base_Price]]*orders_1[[#This Row],[Quantity]]</f>
        <v>14690.89</v>
      </c>
      <c r="N1197" t="s">
        <v>8</v>
      </c>
      <c r="O1197" t="s">
        <v>10</v>
      </c>
      <c r="P1197" t="s">
        <v>16</v>
      </c>
    </row>
    <row r="1198" spans="1:16" x14ac:dyDescent="0.3">
      <c r="A1198" s="2">
        <v>11197</v>
      </c>
      <c r="B1198" s="2">
        <v>771</v>
      </c>
      <c r="C1198" s="2">
        <v>2099</v>
      </c>
      <c r="D1198" s="2">
        <v>307</v>
      </c>
      <c r="E1198" s="4">
        <v>45553</v>
      </c>
      <c r="F1198" s="4">
        <v>45563</v>
      </c>
      <c r="G1198" s="2">
        <f t="shared" si="18"/>
        <v>10</v>
      </c>
      <c r="H1198" s="2">
        <v>9</v>
      </c>
      <c r="I1198" t="s">
        <v>36</v>
      </c>
      <c r="J1198" t="s">
        <v>21</v>
      </c>
      <c r="K1198" s="2">
        <v>31.62</v>
      </c>
      <c r="L1198" s="3">
        <v>652.77</v>
      </c>
      <c r="M1198" s="3">
        <f>orders_1[[#This Row],[products.Base_Price]]*orders_1[[#This Row],[Quantity]]</f>
        <v>5874.93</v>
      </c>
      <c r="N1198" t="s">
        <v>17</v>
      </c>
      <c r="O1198" t="s">
        <v>10</v>
      </c>
      <c r="P1198" t="s">
        <v>11</v>
      </c>
    </row>
    <row r="1199" spans="1:16" x14ac:dyDescent="0.3">
      <c r="A1199" s="2">
        <v>11198</v>
      </c>
      <c r="B1199" s="2">
        <v>554</v>
      </c>
      <c r="C1199" s="2">
        <v>2026</v>
      </c>
      <c r="D1199" s="2">
        <v>317</v>
      </c>
      <c r="E1199" s="4">
        <v>45614</v>
      </c>
      <c r="F1199" s="4">
        <v>45617</v>
      </c>
      <c r="G1199" s="2">
        <f t="shared" si="18"/>
        <v>3</v>
      </c>
      <c r="H1199" s="2">
        <v>72</v>
      </c>
      <c r="I1199" t="s">
        <v>42</v>
      </c>
      <c r="J1199" t="s">
        <v>22</v>
      </c>
      <c r="K1199" s="2">
        <v>23.02</v>
      </c>
      <c r="L1199" s="3">
        <v>858.57</v>
      </c>
      <c r="M1199" s="3">
        <f>orders_1[[#This Row],[products.Base_Price]]*orders_1[[#This Row],[Quantity]]</f>
        <v>61817.04</v>
      </c>
      <c r="N1199" t="s">
        <v>20</v>
      </c>
      <c r="O1199" t="s">
        <v>25</v>
      </c>
      <c r="P1199" t="s">
        <v>19</v>
      </c>
    </row>
    <row r="1200" spans="1:16" x14ac:dyDescent="0.3">
      <c r="A1200" s="2">
        <v>11199</v>
      </c>
      <c r="B1200" s="2">
        <v>817</v>
      </c>
      <c r="C1200" s="2">
        <v>2064</v>
      </c>
      <c r="D1200" s="2">
        <v>301</v>
      </c>
      <c r="E1200" s="4">
        <v>45556</v>
      </c>
      <c r="F1200" s="4">
        <v>45561</v>
      </c>
      <c r="G1200" s="2">
        <f t="shared" si="18"/>
        <v>5</v>
      </c>
      <c r="H1200" s="2">
        <v>61</v>
      </c>
      <c r="I1200" t="s">
        <v>36</v>
      </c>
      <c r="J1200" t="s">
        <v>21</v>
      </c>
      <c r="K1200" s="2">
        <v>15.41</v>
      </c>
      <c r="L1200" s="3">
        <v>203.79</v>
      </c>
      <c r="M1200" s="3">
        <f>orders_1[[#This Row],[products.Base_Price]]*orders_1[[#This Row],[Quantity]]</f>
        <v>12431.189999999999</v>
      </c>
      <c r="N1200" t="s">
        <v>8</v>
      </c>
      <c r="O1200" t="s">
        <v>10</v>
      </c>
      <c r="P1200" t="s">
        <v>11</v>
      </c>
    </row>
    <row r="1201" spans="1:16" x14ac:dyDescent="0.3">
      <c r="A1201" s="2">
        <v>11200</v>
      </c>
      <c r="B1201" s="2">
        <v>503</v>
      </c>
      <c r="C1201" s="2">
        <v>2063</v>
      </c>
      <c r="D1201" s="2">
        <v>308</v>
      </c>
      <c r="E1201" s="4">
        <v>45334</v>
      </c>
      <c r="F1201" s="4">
        <v>45343</v>
      </c>
      <c r="G1201" s="2">
        <f t="shared" si="18"/>
        <v>9</v>
      </c>
      <c r="H1201" s="2">
        <v>93</v>
      </c>
      <c r="I1201" t="s">
        <v>78</v>
      </c>
      <c r="J1201" t="s">
        <v>9</v>
      </c>
      <c r="K1201" s="2">
        <v>13.23</v>
      </c>
      <c r="L1201" s="3">
        <v>151.69999999999999</v>
      </c>
      <c r="M1201" s="3">
        <f>orders_1[[#This Row],[products.Base_Price]]*orders_1[[#This Row],[Quantity]]</f>
        <v>14108.099999999999</v>
      </c>
      <c r="N1201" t="s">
        <v>23</v>
      </c>
      <c r="O1201" t="s">
        <v>14</v>
      </c>
      <c r="P1201" t="s">
        <v>19</v>
      </c>
    </row>
    <row r="1202" spans="1:16" x14ac:dyDescent="0.3">
      <c r="A1202" s="2">
        <v>11201</v>
      </c>
      <c r="B1202" s="2">
        <v>600</v>
      </c>
      <c r="C1202" s="2">
        <v>2021</v>
      </c>
      <c r="D1202" s="2">
        <v>302</v>
      </c>
      <c r="E1202" s="4">
        <v>45488</v>
      </c>
      <c r="F1202" s="4">
        <v>45497</v>
      </c>
      <c r="G1202" s="2">
        <f t="shared" si="18"/>
        <v>9</v>
      </c>
      <c r="H1202" s="2">
        <v>4</v>
      </c>
      <c r="I1202" t="s">
        <v>39</v>
      </c>
      <c r="J1202" t="s">
        <v>9</v>
      </c>
      <c r="K1202" s="2">
        <v>18.77</v>
      </c>
      <c r="L1202" s="3">
        <v>259.72000000000003</v>
      </c>
      <c r="M1202" s="3">
        <f>orders_1[[#This Row],[products.Base_Price]]*orders_1[[#This Row],[Quantity]]</f>
        <v>1038.8800000000001</v>
      </c>
      <c r="N1202" t="s">
        <v>12</v>
      </c>
      <c r="O1202" t="s">
        <v>14</v>
      </c>
      <c r="P1202" t="s">
        <v>11</v>
      </c>
    </row>
    <row r="1203" spans="1:16" x14ac:dyDescent="0.3">
      <c r="A1203" s="2">
        <v>11202</v>
      </c>
      <c r="B1203" s="2">
        <v>819</v>
      </c>
      <c r="C1203" s="2">
        <v>2008</v>
      </c>
      <c r="D1203" s="2">
        <v>309</v>
      </c>
      <c r="E1203" s="4">
        <v>45484</v>
      </c>
      <c r="F1203" s="4">
        <v>45488</v>
      </c>
      <c r="G1203" s="2">
        <f t="shared" si="18"/>
        <v>4</v>
      </c>
      <c r="H1203" s="2">
        <v>62</v>
      </c>
      <c r="I1203" t="s">
        <v>42</v>
      </c>
      <c r="J1203" t="s">
        <v>21</v>
      </c>
      <c r="K1203" s="2">
        <v>8.5</v>
      </c>
      <c r="L1203" s="3">
        <v>899.21</v>
      </c>
      <c r="M1203" s="3">
        <f>orders_1[[#This Row],[products.Base_Price]]*orders_1[[#This Row],[Quantity]]</f>
        <v>55751.020000000004</v>
      </c>
      <c r="N1203" t="s">
        <v>24</v>
      </c>
      <c r="O1203" t="s">
        <v>25</v>
      </c>
      <c r="P1203" t="s">
        <v>16</v>
      </c>
    </row>
    <row r="1204" spans="1:16" x14ac:dyDescent="0.3">
      <c r="A1204" s="2">
        <v>11203</v>
      </c>
      <c r="B1204" s="2">
        <v>546</v>
      </c>
      <c r="C1204" s="2">
        <v>2045</v>
      </c>
      <c r="D1204" s="2">
        <v>310</v>
      </c>
      <c r="E1204" s="4">
        <v>45366</v>
      </c>
      <c r="F1204" s="4">
        <v>45369</v>
      </c>
      <c r="G1204" s="2">
        <f t="shared" si="18"/>
        <v>3</v>
      </c>
      <c r="H1204" s="2">
        <v>41</v>
      </c>
      <c r="I1204" t="s">
        <v>36</v>
      </c>
      <c r="J1204" t="s">
        <v>9</v>
      </c>
      <c r="K1204" s="2">
        <v>41.3</v>
      </c>
      <c r="L1204" s="3">
        <v>652.61</v>
      </c>
      <c r="M1204" s="3">
        <f>orders_1[[#This Row],[products.Base_Price]]*orders_1[[#This Row],[Quantity]]</f>
        <v>26757.010000000002</v>
      </c>
      <c r="N1204" t="s">
        <v>26</v>
      </c>
      <c r="O1204" t="s">
        <v>25</v>
      </c>
      <c r="P1204" t="s">
        <v>11</v>
      </c>
    </row>
    <row r="1205" spans="1:16" x14ac:dyDescent="0.3">
      <c r="A1205" s="2">
        <v>11204</v>
      </c>
      <c r="B1205" s="2">
        <v>560</v>
      </c>
      <c r="C1205" s="2">
        <v>2091</v>
      </c>
      <c r="D1205" s="2">
        <v>304</v>
      </c>
      <c r="E1205" s="4">
        <v>45642</v>
      </c>
      <c r="F1205" s="4">
        <v>45648</v>
      </c>
      <c r="G1205" s="2">
        <f t="shared" si="18"/>
        <v>6</v>
      </c>
      <c r="H1205" s="2">
        <v>12</v>
      </c>
      <c r="I1205" t="s">
        <v>36</v>
      </c>
      <c r="J1205" t="s">
        <v>21</v>
      </c>
      <c r="K1205" s="2">
        <v>10.41</v>
      </c>
      <c r="L1205" s="3">
        <v>271.61</v>
      </c>
      <c r="M1205" s="3">
        <f>orders_1[[#This Row],[products.Base_Price]]*orders_1[[#This Row],[Quantity]]</f>
        <v>3259.32</v>
      </c>
      <c r="N1205" t="s">
        <v>17</v>
      </c>
      <c r="O1205" t="s">
        <v>18</v>
      </c>
      <c r="P1205" t="s">
        <v>19</v>
      </c>
    </row>
    <row r="1206" spans="1:16" x14ac:dyDescent="0.3">
      <c r="A1206" s="2">
        <v>11205</v>
      </c>
      <c r="B1206" s="2">
        <v>807</v>
      </c>
      <c r="C1206" s="2">
        <v>2039</v>
      </c>
      <c r="D1206" s="2">
        <v>320</v>
      </c>
      <c r="E1206" s="4">
        <v>45621</v>
      </c>
      <c r="F1206" s="4">
        <v>45624</v>
      </c>
      <c r="G1206" s="2">
        <f t="shared" si="18"/>
        <v>3</v>
      </c>
      <c r="H1206" s="2">
        <v>97</v>
      </c>
      <c r="I1206" t="s">
        <v>78</v>
      </c>
      <c r="J1206" t="s">
        <v>27</v>
      </c>
      <c r="K1206" s="2">
        <v>2.69</v>
      </c>
      <c r="L1206" s="3">
        <v>350.51</v>
      </c>
      <c r="M1206" s="3">
        <f>orders_1[[#This Row],[products.Base_Price]]*orders_1[[#This Row],[Quantity]]</f>
        <v>33999.47</v>
      </c>
      <c r="N1206" t="s">
        <v>15</v>
      </c>
      <c r="O1206" t="s">
        <v>25</v>
      </c>
      <c r="P1206" t="s">
        <v>11</v>
      </c>
    </row>
    <row r="1207" spans="1:16" x14ac:dyDescent="0.3">
      <c r="A1207" s="2">
        <v>11206</v>
      </c>
      <c r="B1207" s="2">
        <v>841</v>
      </c>
      <c r="C1207" s="2">
        <v>2054</v>
      </c>
      <c r="D1207" s="2">
        <v>320</v>
      </c>
      <c r="E1207" s="4">
        <v>45324</v>
      </c>
      <c r="F1207" s="4">
        <v>45330</v>
      </c>
      <c r="G1207" s="2">
        <f t="shared" si="18"/>
        <v>6</v>
      </c>
      <c r="H1207" s="2">
        <v>52</v>
      </c>
      <c r="I1207" t="s">
        <v>39</v>
      </c>
      <c r="J1207" t="s">
        <v>9</v>
      </c>
      <c r="K1207" s="2">
        <v>5.63</v>
      </c>
      <c r="L1207" s="3">
        <v>304.22000000000003</v>
      </c>
      <c r="M1207" s="3">
        <f>orders_1[[#This Row],[products.Base_Price]]*orders_1[[#This Row],[Quantity]]</f>
        <v>15819.440000000002</v>
      </c>
      <c r="N1207" t="s">
        <v>15</v>
      </c>
      <c r="O1207" t="s">
        <v>25</v>
      </c>
      <c r="P1207" t="s">
        <v>11</v>
      </c>
    </row>
    <row r="1208" spans="1:16" x14ac:dyDescent="0.3">
      <c r="A1208" s="2">
        <v>11207</v>
      </c>
      <c r="B1208" s="2">
        <v>637</v>
      </c>
      <c r="C1208" s="2">
        <v>2086</v>
      </c>
      <c r="D1208" s="2">
        <v>318</v>
      </c>
      <c r="E1208" s="4">
        <v>45427</v>
      </c>
      <c r="F1208" s="4">
        <v>45431</v>
      </c>
      <c r="G1208" s="2">
        <f t="shared" si="18"/>
        <v>4</v>
      </c>
      <c r="H1208" s="2">
        <v>74</v>
      </c>
      <c r="I1208" t="s">
        <v>42</v>
      </c>
      <c r="J1208" t="s">
        <v>27</v>
      </c>
      <c r="K1208" s="2">
        <v>27.73</v>
      </c>
      <c r="L1208" s="3">
        <v>417.42</v>
      </c>
      <c r="M1208" s="3">
        <f>orders_1[[#This Row],[products.Base_Price]]*orders_1[[#This Row],[Quantity]]</f>
        <v>30889.08</v>
      </c>
      <c r="N1208" t="s">
        <v>17</v>
      </c>
      <c r="O1208" t="s">
        <v>10</v>
      </c>
      <c r="P1208" t="s">
        <v>19</v>
      </c>
    </row>
    <row r="1209" spans="1:16" x14ac:dyDescent="0.3">
      <c r="A1209" s="2">
        <v>11208</v>
      </c>
      <c r="B1209" s="2">
        <v>792</v>
      </c>
      <c r="C1209" s="2">
        <v>2058</v>
      </c>
      <c r="D1209" s="2">
        <v>315</v>
      </c>
      <c r="E1209" s="4">
        <v>45579</v>
      </c>
      <c r="F1209" s="4">
        <v>45583</v>
      </c>
      <c r="G1209" s="2">
        <f t="shared" si="18"/>
        <v>4</v>
      </c>
      <c r="H1209" s="2">
        <v>41</v>
      </c>
      <c r="I1209" t="s">
        <v>42</v>
      </c>
      <c r="J1209" t="s">
        <v>27</v>
      </c>
      <c r="K1209" s="2">
        <v>28.48</v>
      </c>
      <c r="L1209" s="3">
        <v>13.34</v>
      </c>
      <c r="M1209" s="3">
        <f>orders_1[[#This Row],[products.Base_Price]]*orders_1[[#This Row],[Quantity]]</f>
        <v>546.93999999999994</v>
      </c>
      <c r="N1209" t="s">
        <v>15</v>
      </c>
      <c r="O1209" t="s">
        <v>25</v>
      </c>
      <c r="P1209" t="s">
        <v>19</v>
      </c>
    </row>
    <row r="1210" spans="1:16" x14ac:dyDescent="0.3">
      <c r="A1210" s="2">
        <v>11209</v>
      </c>
      <c r="B1210" s="2">
        <v>574</v>
      </c>
      <c r="C1210" s="2">
        <v>2063</v>
      </c>
      <c r="D1210" s="2">
        <v>309</v>
      </c>
      <c r="E1210" s="4">
        <v>45445</v>
      </c>
      <c r="F1210" s="4">
        <v>45446</v>
      </c>
      <c r="G1210" s="2">
        <f t="shared" si="18"/>
        <v>1</v>
      </c>
      <c r="H1210" s="2">
        <v>86</v>
      </c>
      <c r="I1210" t="s">
        <v>36</v>
      </c>
      <c r="J1210" t="s">
        <v>9</v>
      </c>
      <c r="K1210" s="2">
        <v>13.23</v>
      </c>
      <c r="L1210" s="3">
        <v>151.69999999999999</v>
      </c>
      <c r="M1210" s="3">
        <f>orders_1[[#This Row],[products.Base_Price]]*orders_1[[#This Row],[Quantity]]</f>
        <v>13046.199999999999</v>
      </c>
      <c r="N1210" t="s">
        <v>24</v>
      </c>
      <c r="O1210" t="s">
        <v>25</v>
      </c>
      <c r="P1210" t="s">
        <v>16</v>
      </c>
    </row>
    <row r="1211" spans="1:16" x14ac:dyDescent="0.3">
      <c r="A1211" s="2">
        <v>11210</v>
      </c>
      <c r="B1211" s="2">
        <v>740</v>
      </c>
      <c r="C1211" s="2">
        <v>2083</v>
      </c>
      <c r="D1211" s="2">
        <v>311</v>
      </c>
      <c r="E1211" s="4">
        <v>45589</v>
      </c>
      <c r="F1211" s="4">
        <v>45599</v>
      </c>
      <c r="G1211" s="2">
        <f t="shared" si="18"/>
        <v>10</v>
      </c>
      <c r="H1211" s="2">
        <v>21</v>
      </c>
      <c r="I1211" t="s">
        <v>78</v>
      </c>
      <c r="J1211" t="s">
        <v>22</v>
      </c>
      <c r="K1211" s="2">
        <v>13.79</v>
      </c>
      <c r="L1211" s="3">
        <v>843.82</v>
      </c>
      <c r="M1211" s="3">
        <f>orders_1[[#This Row],[products.Base_Price]]*orders_1[[#This Row],[Quantity]]</f>
        <v>17720.22</v>
      </c>
      <c r="N1211" t="s">
        <v>26</v>
      </c>
      <c r="O1211" t="s">
        <v>10</v>
      </c>
      <c r="P1211" t="s">
        <v>11</v>
      </c>
    </row>
    <row r="1212" spans="1:16" x14ac:dyDescent="0.3">
      <c r="A1212" s="2">
        <v>11211</v>
      </c>
      <c r="B1212" s="2">
        <v>690</v>
      </c>
      <c r="C1212" s="2">
        <v>2044</v>
      </c>
      <c r="D1212" s="2">
        <v>302</v>
      </c>
      <c r="E1212" s="4">
        <v>45319</v>
      </c>
      <c r="F1212" s="4">
        <v>45328</v>
      </c>
      <c r="G1212" s="2">
        <f t="shared" si="18"/>
        <v>9</v>
      </c>
      <c r="H1212" s="2">
        <v>75</v>
      </c>
      <c r="I1212" t="s">
        <v>42</v>
      </c>
      <c r="J1212" t="s">
        <v>21</v>
      </c>
      <c r="K1212" s="2">
        <v>11.44</v>
      </c>
      <c r="L1212" s="3">
        <v>939.99</v>
      </c>
      <c r="M1212" s="3">
        <f>orders_1[[#This Row],[products.Base_Price]]*orders_1[[#This Row],[Quantity]]</f>
        <v>70499.25</v>
      </c>
      <c r="N1212" t="s">
        <v>12</v>
      </c>
      <c r="O1212" t="s">
        <v>14</v>
      </c>
      <c r="P1212" t="s">
        <v>11</v>
      </c>
    </row>
    <row r="1213" spans="1:16" x14ac:dyDescent="0.3">
      <c r="A1213" s="2">
        <v>11212</v>
      </c>
      <c r="B1213" s="2">
        <v>676</v>
      </c>
      <c r="C1213" s="2">
        <v>2033</v>
      </c>
      <c r="D1213" s="2">
        <v>306</v>
      </c>
      <c r="E1213" s="4">
        <v>45335</v>
      </c>
      <c r="F1213" s="4">
        <v>45338</v>
      </c>
      <c r="G1213" s="2">
        <f t="shared" si="18"/>
        <v>3</v>
      </c>
      <c r="H1213" s="2">
        <v>58</v>
      </c>
      <c r="I1213" t="s">
        <v>36</v>
      </c>
      <c r="J1213" t="s">
        <v>22</v>
      </c>
      <c r="K1213" s="2">
        <v>8.33</v>
      </c>
      <c r="L1213" s="3">
        <v>629.69000000000005</v>
      </c>
      <c r="M1213" s="3">
        <f>orders_1[[#This Row],[products.Base_Price]]*orders_1[[#This Row],[Quantity]]</f>
        <v>36522.020000000004</v>
      </c>
      <c r="N1213" t="s">
        <v>8</v>
      </c>
      <c r="O1213" t="s">
        <v>10</v>
      </c>
      <c r="P1213" t="s">
        <v>16</v>
      </c>
    </row>
    <row r="1214" spans="1:16" x14ac:dyDescent="0.3">
      <c r="A1214" s="2">
        <v>11213</v>
      </c>
      <c r="B1214" s="2">
        <v>778</v>
      </c>
      <c r="C1214" s="2">
        <v>2048</v>
      </c>
      <c r="D1214" s="2">
        <v>310</v>
      </c>
      <c r="E1214" s="4">
        <v>45474</v>
      </c>
      <c r="F1214" s="4">
        <v>45482</v>
      </c>
      <c r="G1214" s="2">
        <f t="shared" si="18"/>
        <v>8</v>
      </c>
      <c r="H1214" s="2">
        <v>12</v>
      </c>
      <c r="I1214" t="s">
        <v>42</v>
      </c>
      <c r="J1214" t="s">
        <v>22</v>
      </c>
      <c r="K1214" s="2">
        <v>6.74</v>
      </c>
      <c r="L1214" s="3">
        <v>864.57</v>
      </c>
      <c r="M1214" s="3">
        <f>orders_1[[#This Row],[products.Base_Price]]*orders_1[[#This Row],[Quantity]]</f>
        <v>10374.84</v>
      </c>
      <c r="N1214" t="s">
        <v>26</v>
      </c>
      <c r="O1214" t="s">
        <v>25</v>
      </c>
      <c r="P1214" t="s">
        <v>11</v>
      </c>
    </row>
    <row r="1215" spans="1:16" x14ac:dyDescent="0.3">
      <c r="A1215" s="2">
        <v>11214</v>
      </c>
      <c r="B1215" s="2">
        <v>757</v>
      </c>
      <c r="C1215" s="2">
        <v>2013</v>
      </c>
      <c r="D1215" s="2">
        <v>317</v>
      </c>
      <c r="E1215" s="4">
        <v>45538</v>
      </c>
      <c r="F1215" s="4">
        <v>45541</v>
      </c>
      <c r="G1215" s="2">
        <f t="shared" si="18"/>
        <v>3</v>
      </c>
      <c r="H1215" s="2">
        <v>1</v>
      </c>
      <c r="I1215" t="s">
        <v>42</v>
      </c>
      <c r="J1215" t="s">
        <v>13</v>
      </c>
      <c r="K1215" s="2">
        <v>19.53</v>
      </c>
      <c r="L1215" s="3">
        <v>563.69000000000005</v>
      </c>
      <c r="M1215" s="3">
        <f>orders_1[[#This Row],[products.Base_Price]]*orders_1[[#This Row],[Quantity]]</f>
        <v>563.69000000000005</v>
      </c>
      <c r="N1215" t="s">
        <v>20</v>
      </c>
      <c r="O1215" t="s">
        <v>25</v>
      </c>
      <c r="P1215" t="s">
        <v>19</v>
      </c>
    </row>
    <row r="1216" spans="1:16" x14ac:dyDescent="0.3">
      <c r="A1216" s="2">
        <v>11215</v>
      </c>
      <c r="B1216" s="2">
        <v>672</v>
      </c>
      <c r="C1216" s="2">
        <v>2088</v>
      </c>
      <c r="D1216" s="2">
        <v>310</v>
      </c>
      <c r="E1216" s="4">
        <v>45322</v>
      </c>
      <c r="F1216" s="4">
        <v>45330</v>
      </c>
      <c r="G1216" s="2">
        <f t="shared" si="18"/>
        <v>8</v>
      </c>
      <c r="H1216" s="2">
        <v>80</v>
      </c>
      <c r="I1216" t="s">
        <v>78</v>
      </c>
      <c r="J1216" t="s">
        <v>13</v>
      </c>
      <c r="K1216" s="2">
        <v>27.71</v>
      </c>
      <c r="L1216" s="3">
        <v>820.21</v>
      </c>
      <c r="M1216" s="3">
        <f>orders_1[[#This Row],[products.Base_Price]]*orders_1[[#This Row],[Quantity]]</f>
        <v>65616.800000000003</v>
      </c>
      <c r="N1216" t="s">
        <v>26</v>
      </c>
      <c r="O1216" t="s">
        <v>25</v>
      </c>
      <c r="P1216" t="s">
        <v>11</v>
      </c>
    </row>
    <row r="1217" spans="1:16" x14ac:dyDescent="0.3">
      <c r="A1217" s="2">
        <v>11216</v>
      </c>
      <c r="B1217" s="2">
        <v>683</v>
      </c>
      <c r="C1217" s="2">
        <v>2030</v>
      </c>
      <c r="D1217" s="2">
        <v>318</v>
      </c>
      <c r="E1217" s="4">
        <v>45531</v>
      </c>
      <c r="F1217" s="4">
        <v>45538</v>
      </c>
      <c r="G1217" s="2">
        <f t="shared" si="18"/>
        <v>7</v>
      </c>
      <c r="H1217" s="2">
        <v>34</v>
      </c>
      <c r="I1217" t="s">
        <v>36</v>
      </c>
      <c r="J1217" t="s">
        <v>13</v>
      </c>
      <c r="K1217" s="2">
        <v>27.52</v>
      </c>
      <c r="L1217" s="3">
        <v>537.03</v>
      </c>
      <c r="M1217" s="3">
        <f>orders_1[[#This Row],[products.Base_Price]]*orders_1[[#This Row],[Quantity]]</f>
        <v>18259.02</v>
      </c>
      <c r="N1217" t="s">
        <v>17</v>
      </c>
      <c r="O1217" t="s">
        <v>10</v>
      </c>
      <c r="P1217" t="s">
        <v>19</v>
      </c>
    </row>
    <row r="1218" spans="1:16" x14ac:dyDescent="0.3">
      <c r="A1218" s="2">
        <v>11217</v>
      </c>
      <c r="B1218" s="2">
        <v>671</v>
      </c>
      <c r="C1218" s="2">
        <v>2087</v>
      </c>
      <c r="D1218" s="2">
        <v>315</v>
      </c>
      <c r="E1218" s="4">
        <v>45458</v>
      </c>
      <c r="F1218" s="4">
        <v>45468</v>
      </c>
      <c r="G1218" s="2">
        <f t="shared" ref="G1218:G1281" si="19">F1218-E1218</f>
        <v>10</v>
      </c>
      <c r="H1218" s="2">
        <v>16</v>
      </c>
      <c r="I1218" t="s">
        <v>78</v>
      </c>
      <c r="J1218" t="s">
        <v>9</v>
      </c>
      <c r="K1218" s="2">
        <v>35.82</v>
      </c>
      <c r="L1218" s="3">
        <v>47.38</v>
      </c>
      <c r="M1218" s="3">
        <f>orders_1[[#This Row],[products.Base_Price]]*orders_1[[#This Row],[Quantity]]</f>
        <v>758.08</v>
      </c>
      <c r="N1218" t="s">
        <v>15</v>
      </c>
      <c r="O1218" t="s">
        <v>25</v>
      </c>
      <c r="P1218" t="s">
        <v>19</v>
      </c>
    </row>
    <row r="1219" spans="1:16" x14ac:dyDescent="0.3">
      <c r="A1219" s="2">
        <v>11218</v>
      </c>
      <c r="B1219" s="2">
        <v>604</v>
      </c>
      <c r="C1219" s="2">
        <v>2066</v>
      </c>
      <c r="D1219" s="2">
        <v>310</v>
      </c>
      <c r="E1219" s="4">
        <v>45307</v>
      </c>
      <c r="F1219" s="4">
        <v>45309</v>
      </c>
      <c r="G1219" s="2">
        <f t="shared" si="19"/>
        <v>2</v>
      </c>
      <c r="H1219" s="2">
        <v>15</v>
      </c>
      <c r="I1219" t="s">
        <v>36</v>
      </c>
      <c r="J1219" t="s">
        <v>9</v>
      </c>
      <c r="K1219" s="2">
        <v>43.64</v>
      </c>
      <c r="L1219" s="3">
        <v>832.31</v>
      </c>
      <c r="M1219" s="3">
        <f>orders_1[[#This Row],[products.Base_Price]]*orders_1[[#This Row],[Quantity]]</f>
        <v>12484.65</v>
      </c>
      <c r="N1219" t="s">
        <v>26</v>
      </c>
      <c r="O1219" t="s">
        <v>25</v>
      </c>
      <c r="P1219" t="s">
        <v>11</v>
      </c>
    </row>
    <row r="1220" spans="1:16" x14ac:dyDescent="0.3">
      <c r="A1220" s="2">
        <v>11219</v>
      </c>
      <c r="B1220" s="2">
        <v>779</v>
      </c>
      <c r="C1220" s="2">
        <v>2019</v>
      </c>
      <c r="D1220" s="2">
        <v>320</v>
      </c>
      <c r="E1220" s="4">
        <v>45419</v>
      </c>
      <c r="F1220" s="4">
        <v>45429</v>
      </c>
      <c r="G1220" s="2">
        <f t="shared" si="19"/>
        <v>10</v>
      </c>
      <c r="H1220" s="2">
        <v>27</v>
      </c>
      <c r="I1220" t="s">
        <v>78</v>
      </c>
      <c r="J1220" t="s">
        <v>22</v>
      </c>
      <c r="K1220" s="2">
        <v>27.65</v>
      </c>
      <c r="L1220" s="3">
        <v>89.85</v>
      </c>
      <c r="M1220" s="3">
        <f>orders_1[[#This Row],[products.Base_Price]]*orders_1[[#This Row],[Quantity]]</f>
        <v>2425.9499999999998</v>
      </c>
      <c r="N1220" t="s">
        <v>15</v>
      </c>
      <c r="O1220" t="s">
        <v>25</v>
      </c>
      <c r="P1220" t="s">
        <v>11</v>
      </c>
    </row>
    <row r="1221" spans="1:16" x14ac:dyDescent="0.3">
      <c r="A1221" s="2">
        <v>11220</v>
      </c>
      <c r="B1221" s="2">
        <v>882</v>
      </c>
      <c r="C1221" s="2">
        <v>2098</v>
      </c>
      <c r="D1221" s="2">
        <v>318</v>
      </c>
      <c r="E1221" s="4">
        <v>45367</v>
      </c>
      <c r="F1221" s="4">
        <v>45374</v>
      </c>
      <c r="G1221" s="2">
        <f t="shared" si="19"/>
        <v>7</v>
      </c>
      <c r="H1221" s="2">
        <v>92</v>
      </c>
      <c r="I1221" t="s">
        <v>42</v>
      </c>
      <c r="J1221" t="s">
        <v>13</v>
      </c>
      <c r="K1221" s="2">
        <v>25.35</v>
      </c>
      <c r="L1221" s="3">
        <v>571.58000000000004</v>
      </c>
      <c r="M1221" s="3">
        <f>orders_1[[#This Row],[products.Base_Price]]*orders_1[[#This Row],[Quantity]]</f>
        <v>52585.36</v>
      </c>
      <c r="N1221" t="s">
        <v>17</v>
      </c>
      <c r="O1221" t="s">
        <v>10</v>
      </c>
      <c r="P1221" t="s">
        <v>19</v>
      </c>
    </row>
    <row r="1222" spans="1:16" x14ac:dyDescent="0.3">
      <c r="A1222" s="2">
        <v>11221</v>
      </c>
      <c r="B1222" s="2">
        <v>546</v>
      </c>
      <c r="C1222" s="2">
        <v>2011</v>
      </c>
      <c r="D1222" s="2">
        <v>307</v>
      </c>
      <c r="E1222" s="4">
        <v>45304</v>
      </c>
      <c r="F1222" s="4">
        <v>45305</v>
      </c>
      <c r="G1222" s="2">
        <f t="shared" si="19"/>
        <v>1</v>
      </c>
      <c r="H1222" s="2">
        <v>17</v>
      </c>
      <c r="I1222" t="s">
        <v>39</v>
      </c>
      <c r="J1222" t="s">
        <v>21</v>
      </c>
      <c r="K1222" s="2">
        <v>12.75</v>
      </c>
      <c r="L1222" s="3">
        <v>987.99</v>
      </c>
      <c r="M1222" s="3">
        <f>orders_1[[#This Row],[products.Base_Price]]*orders_1[[#This Row],[Quantity]]</f>
        <v>16795.830000000002</v>
      </c>
      <c r="N1222" t="s">
        <v>17</v>
      </c>
      <c r="O1222" t="s">
        <v>10</v>
      </c>
      <c r="P1222" t="s">
        <v>11</v>
      </c>
    </row>
    <row r="1223" spans="1:16" x14ac:dyDescent="0.3">
      <c r="A1223" s="2">
        <v>11222</v>
      </c>
      <c r="B1223" s="2">
        <v>796</v>
      </c>
      <c r="C1223" s="2">
        <v>2044</v>
      </c>
      <c r="D1223" s="2">
        <v>303</v>
      </c>
      <c r="E1223" s="4">
        <v>45458</v>
      </c>
      <c r="F1223" s="4">
        <v>45465</v>
      </c>
      <c r="G1223" s="2">
        <f t="shared" si="19"/>
        <v>7</v>
      </c>
      <c r="H1223" s="2">
        <v>24</v>
      </c>
      <c r="I1223" t="s">
        <v>42</v>
      </c>
      <c r="J1223" t="s">
        <v>21</v>
      </c>
      <c r="K1223" s="2">
        <v>11.44</v>
      </c>
      <c r="L1223" s="3">
        <v>939.99</v>
      </c>
      <c r="M1223" s="3">
        <f>orders_1[[#This Row],[products.Base_Price]]*orders_1[[#This Row],[Quantity]]</f>
        <v>22559.760000000002</v>
      </c>
      <c r="N1223" t="s">
        <v>15</v>
      </c>
      <c r="O1223" t="s">
        <v>10</v>
      </c>
      <c r="P1223" t="s">
        <v>16</v>
      </c>
    </row>
    <row r="1224" spans="1:16" x14ac:dyDescent="0.3">
      <c r="A1224" s="2">
        <v>11223</v>
      </c>
      <c r="B1224" s="2">
        <v>598</v>
      </c>
      <c r="C1224" s="2">
        <v>2057</v>
      </c>
      <c r="D1224" s="2">
        <v>320</v>
      </c>
      <c r="E1224" s="4">
        <v>45487</v>
      </c>
      <c r="F1224" s="4">
        <v>45492</v>
      </c>
      <c r="G1224" s="2">
        <f t="shared" si="19"/>
        <v>5</v>
      </c>
      <c r="H1224" s="2">
        <v>52</v>
      </c>
      <c r="I1224" t="s">
        <v>39</v>
      </c>
      <c r="J1224" t="s">
        <v>22</v>
      </c>
      <c r="K1224" s="2">
        <v>34.299999999999997</v>
      </c>
      <c r="L1224" s="3">
        <v>40.43</v>
      </c>
      <c r="M1224" s="3">
        <f>orders_1[[#This Row],[products.Base_Price]]*orders_1[[#This Row],[Quantity]]</f>
        <v>2102.36</v>
      </c>
      <c r="N1224" t="s">
        <v>15</v>
      </c>
      <c r="O1224" t="s">
        <v>25</v>
      </c>
      <c r="P1224" t="s">
        <v>11</v>
      </c>
    </row>
    <row r="1225" spans="1:16" x14ac:dyDescent="0.3">
      <c r="A1225" s="2">
        <v>11224</v>
      </c>
      <c r="B1225" s="2">
        <v>666</v>
      </c>
      <c r="C1225" s="2">
        <v>2001</v>
      </c>
      <c r="D1225" s="2">
        <v>319</v>
      </c>
      <c r="E1225" s="4">
        <v>45598</v>
      </c>
      <c r="F1225" s="4">
        <v>45607</v>
      </c>
      <c r="G1225" s="2">
        <f t="shared" si="19"/>
        <v>9</v>
      </c>
      <c r="H1225" s="2">
        <v>78</v>
      </c>
      <c r="I1225" t="s">
        <v>42</v>
      </c>
      <c r="J1225" t="s">
        <v>9</v>
      </c>
      <c r="K1225" s="2">
        <v>49.85</v>
      </c>
      <c r="L1225" s="3">
        <v>471.41</v>
      </c>
      <c r="M1225" s="3">
        <f>orders_1[[#This Row],[products.Base_Price]]*orders_1[[#This Row],[Quantity]]</f>
        <v>36769.980000000003</v>
      </c>
      <c r="N1225" t="s">
        <v>20</v>
      </c>
      <c r="O1225" t="s">
        <v>18</v>
      </c>
      <c r="P1225" t="s">
        <v>11</v>
      </c>
    </row>
    <row r="1226" spans="1:16" x14ac:dyDescent="0.3">
      <c r="A1226" s="2">
        <v>11225</v>
      </c>
      <c r="B1226" s="2">
        <v>589</v>
      </c>
      <c r="C1226" s="2">
        <v>2005</v>
      </c>
      <c r="D1226" s="2">
        <v>316</v>
      </c>
      <c r="E1226" s="4">
        <v>45337</v>
      </c>
      <c r="F1226" s="4">
        <v>45338</v>
      </c>
      <c r="G1226" s="2">
        <f t="shared" si="19"/>
        <v>1</v>
      </c>
      <c r="H1226" s="2">
        <v>31</v>
      </c>
      <c r="I1226" t="s">
        <v>78</v>
      </c>
      <c r="J1226" t="s">
        <v>9</v>
      </c>
      <c r="K1226" s="2">
        <v>13.6</v>
      </c>
      <c r="L1226" s="3">
        <v>606.04999999999995</v>
      </c>
      <c r="M1226" s="3">
        <f>orders_1[[#This Row],[products.Base_Price]]*orders_1[[#This Row],[Quantity]]</f>
        <v>18787.55</v>
      </c>
      <c r="N1226" t="s">
        <v>24</v>
      </c>
      <c r="O1226" t="s">
        <v>25</v>
      </c>
      <c r="P1226" t="s">
        <v>19</v>
      </c>
    </row>
    <row r="1227" spans="1:16" x14ac:dyDescent="0.3">
      <c r="A1227" s="2">
        <v>11226</v>
      </c>
      <c r="B1227" s="2">
        <v>815</v>
      </c>
      <c r="C1227" s="2">
        <v>2008</v>
      </c>
      <c r="D1227" s="2">
        <v>316</v>
      </c>
      <c r="E1227" s="4">
        <v>45451</v>
      </c>
      <c r="F1227" s="4">
        <v>45459</v>
      </c>
      <c r="G1227" s="2">
        <f t="shared" si="19"/>
        <v>8</v>
      </c>
      <c r="H1227" s="2">
        <v>86</v>
      </c>
      <c r="I1227" t="s">
        <v>39</v>
      </c>
      <c r="J1227" t="s">
        <v>21</v>
      </c>
      <c r="K1227" s="2">
        <v>8.5</v>
      </c>
      <c r="L1227" s="3">
        <v>899.21</v>
      </c>
      <c r="M1227" s="3">
        <f>orders_1[[#This Row],[products.Base_Price]]*orders_1[[#This Row],[Quantity]]</f>
        <v>77332.06</v>
      </c>
      <c r="N1227" t="s">
        <v>24</v>
      </c>
      <c r="O1227" t="s">
        <v>25</v>
      </c>
      <c r="P1227" t="s">
        <v>19</v>
      </c>
    </row>
    <row r="1228" spans="1:16" x14ac:dyDescent="0.3">
      <c r="A1228" s="2">
        <v>11227</v>
      </c>
      <c r="B1228" s="2">
        <v>700</v>
      </c>
      <c r="C1228" s="2">
        <v>2054</v>
      </c>
      <c r="D1228" s="2">
        <v>320</v>
      </c>
      <c r="E1228" s="4">
        <v>45476</v>
      </c>
      <c r="F1228" s="4">
        <v>45479</v>
      </c>
      <c r="G1228" s="2">
        <f t="shared" si="19"/>
        <v>3</v>
      </c>
      <c r="H1228" s="2">
        <v>99</v>
      </c>
      <c r="I1228" t="s">
        <v>78</v>
      </c>
      <c r="J1228" t="s">
        <v>9</v>
      </c>
      <c r="K1228" s="2">
        <v>5.63</v>
      </c>
      <c r="L1228" s="3">
        <v>304.22000000000003</v>
      </c>
      <c r="M1228" s="3">
        <f>orders_1[[#This Row],[products.Base_Price]]*orders_1[[#This Row],[Quantity]]</f>
        <v>30117.780000000002</v>
      </c>
      <c r="N1228" t="s">
        <v>15</v>
      </c>
      <c r="O1228" t="s">
        <v>25</v>
      </c>
      <c r="P1228" t="s">
        <v>11</v>
      </c>
    </row>
    <row r="1229" spans="1:16" x14ac:dyDescent="0.3">
      <c r="A1229" s="2">
        <v>11228</v>
      </c>
      <c r="B1229" s="2">
        <v>655</v>
      </c>
      <c r="C1229" s="2">
        <v>2043</v>
      </c>
      <c r="D1229" s="2">
        <v>306</v>
      </c>
      <c r="E1229" s="4">
        <v>45557</v>
      </c>
      <c r="F1229" s="4">
        <v>45561</v>
      </c>
      <c r="G1229" s="2">
        <f t="shared" si="19"/>
        <v>4</v>
      </c>
      <c r="H1229" s="2">
        <v>93</v>
      </c>
      <c r="I1229" t="s">
        <v>78</v>
      </c>
      <c r="J1229" t="s">
        <v>27</v>
      </c>
      <c r="K1229" s="2">
        <v>14.98</v>
      </c>
      <c r="L1229" s="3">
        <v>375.85</v>
      </c>
      <c r="M1229" s="3">
        <f>orders_1[[#This Row],[products.Base_Price]]*orders_1[[#This Row],[Quantity]]</f>
        <v>34954.050000000003</v>
      </c>
      <c r="N1229" t="s">
        <v>8</v>
      </c>
      <c r="O1229" t="s">
        <v>10</v>
      </c>
      <c r="P1229" t="s">
        <v>16</v>
      </c>
    </row>
    <row r="1230" spans="1:16" x14ac:dyDescent="0.3">
      <c r="A1230" s="2">
        <v>11229</v>
      </c>
      <c r="B1230" s="2">
        <v>850</v>
      </c>
      <c r="C1230" s="2">
        <v>2058</v>
      </c>
      <c r="D1230" s="2">
        <v>305</v>
      </c>
      <c r="E1230" s="4">
        <v>45641</v>
      </c>
      <c r="F1230" s="4">
        <v>45645</v>
      </c>
      <c r="G1230" s="2">
        <f t="shared" si="19"/>
        <v>4</v>
      </c>
      <c r="H1230" s="2">
        <v>21</v>
      </c>
      <c r="I1230" t="s">
        <v>78</v>
      </c>
      <c r="J1230" t="s">
        <v>27</v>
      </c>
      <c r="K1230" s="2">
        <v>28.48</v>
      </c>
      <c r="L1230" s="3">
        <v>13.34</v>
      </c>
      <c r="M1230" s="3">
        <f>orders_1[[#This Row],[products.Base_Price]]*orders_1[[#This Row],[Quantity]]</f>
        <v>280.14</v>
      </c>
      <c r="N1230" t="s">
        <v>20</v>
      </c>
      <c r="O1230" t="s">
        <v>10</v>
      </c>
      <c r="P1230" t="s">
        <v>19</v>
      </c>
    </row>
    <row r="1231" spans="1:16" x14ac:dyDescent="0.3">
      <c r="A1231" s="2">
        <v>11230</v>
      </c>
      <c r="B1231" s="2">
        <v>539</v>
      </c>
      <c r="C1231" s="2">
        <v>2031</v>
      </c>
      <c r="D1231" s="2">
        <v>309</v>
      </c>
      <c r="E1231" s="4">
        <v>45635</v>
      </c>
      <c r="F1231" s="4">
        <v>45645</v>
      </c>
      <c r="G1231" s="2">
        <f t="shared" si="19"/>
        <v>10</v>
      </c>
      <c r="H1231" s="2">
        <v>78</v>
      </c>
      <c r="I1231" t="s">
        <v>42</v>
      </c>
      <c r="J1231" t="s">
        <v>27</v>
      </c>
      <c r="K1231" s="2">
        <v>24.61</v>
      </c>
      <c r="L1231" s="3">
        <v>342.86</v>
      </c>
      <c r="M1231" s="3">
        <f>orders_1[[#This Row],[products.Base_Price]]*orders_1[[#This Row],[Quantity]]</f>
        <v>26743.08</v>
      </c>
      <c r="N1231" t="s">
        <v>24</v>
      </c>
      <c r="O1231" t="s">
        <v>25</v>
      </c>
      <c r="P1231" t="s">
        <v>16</v>
      </c>
    </row>
    <row r="1232" spans="1:16" x14ac:dyDescent="0.3">
      <c r="A1232" s="2">
        <v>11231</v>
      </c>
      <c r="B1232" s="2">
        <v>760</v>
      </c>
      <c r="C1232" s="2">
        <v>2039</v>
      </c>
      <c r="D1232" s="2">
        <v>302</v>
      </c>
      <c r="E1232" s="4">
        <v>45371</v>
      </c>
      <c r="F1232" s="4">
        <v>45375</v>
      </c>
      <c r="G1232" s="2">
        <f t="shared" si="19"/>
        <v>4</v>
      </c>
      <c r="H1232" s="2">
        <v>10</v>
      </c>
      <c r="I1232" t="s">
        <v>39</v>
      </c>
      <c r="J1232" t="s">
        <v>27</v>
      </c>
      <c r="K1232" s="2">
        <v>2.69</v>
      </c>
      <c r="L1232" s="3">
        <v>350.51</v>
      </c>
      <c r="M1232" s="3">
        <f>orders_1[[#This Row],[products.Base_Price]]*orders_1[[#This Row],[Quantity]]</f>
        <v>3505.1</v>
      </c>
      <c r="N1232" t="s">
        <v>12</v>
      </c>
      <c r="O1232" t="s">
        <v>14</v>
      </c>
      <c r="P1232" t="s">
        <v>11</v>
      </c>
    </row>
    <row r="1233" spans="1:16" x14ac:dyDescent="0.3">
      <c r="A1233" s="2">
        <v>11232</v>
      </c>
      <c r="B1233" s="2">
        <v>813</v>
      </c>
      <c r="C1233" s="2">
        <v>2079</v>
      </c>
      <c r="D1233" s="2">
        <v>316</v>
      </c>
      <c r="E1233" s="4">
        <v>45525</v>
      </c>
      <c r="F1233" s="4">
        <v>45529</v>
      </c>
      <c r="G1233" s="2">
        <f t="shared" si="19"/>
        <v>4</v>
      </c>
      <c r="H1233" s="2">
        <v>2</v>
      </c>
      <c r="I1233" t="s">
        <v>42</v>
      </c>
      <c r="J1233" t="s">
        <v>22</v>
      </c>
      <c r="K1233" s="2">
        <v>12.3</v>
      </c>
      <c r="L1233" s="3">
        <v>99.7</v>
      </c>
      <c r="M1233" s="3">
        <f>orders_1[[#This Row],[products.Base_Price]]*orders_1[[#This Row],[Quantity]]</f>
        <v>199.4</v>
      </c>
      <c r="N1233" t="s">
        <v>24</v>
      </c>
      <c r="O1233" t="s">
        <v>25</v>
      </c>
      <c r="P1233" t="s">
        <v>19</v>
      </c>
    </row>
    <row r="1234" spans="1:16" x14ac:dyDescent="0.3">
      <c r="A1234" s="2">
        <v>11233</v>
      </c>
      <c r="B1234" s="2">
        <v>705</v>
      </c>
      <c r="C1234" s="2">
        <v>2080</v>
      </c>
      <c r="D1234" s="2">
        <v>305</v>
      </c>
      <c r="E1234" s="4">
        <v>45651</v>
      </c>
      <c r="F1234" s="4">
        <v>45659</v>
      </c>
      <c r="G1234" s="2">
        <f t="shared" si="19"/>
        <v>8</v>
      </c>
      <c r="H1234" s="2">
        <v>74</v>
      </c>
      <c r="I1234" t="s">
        <v>36</v>
      </c>
      <c r="J1234" t="s">
        <v>9</v>
      </c>
      <c r="K1234" s="2">
        <v>29.56</v>
      </c>
      <c r="L1234" s="3">
        <v>143.84</v>
      </c>
      <c r="M1234" s="3">
        <f>orders_1[[#This Row],[products.Base_Price]]*orders_1[[#This Row],[Quantity]]</f>
        <v>10644.16</v>
      </c>
      <c r="N1234" t="s">
        <v>20</v>
      </c>
      <c r="O1234" t="s">
        <v>10</v>
      </c>
      <c r="P1234" t="s">
        <v>19</v>
      </c>
    </row>
    <row r="1235" spans="1:16" x14ac:dyDescent="0.3">
      <c r="A1235" s="2">
        <v>11234</v>
      </c>
      <c r="B1235" s="2">
        <v>649</v>
      </c>
      <c r="C1235" s="2">
        <v>2040</v>
      </c>
      <c r="D1235" s="2">
        <v>318</v>
      </c>
      <c r="E1235" s="4">
        <v>45590</v>
      </c>
      <c r="F1235" s="4">
        <v>45591</v>
      </c>
      <c r="G1235" s="2">
        <f t="shared" si="19"/>
        <v>1</v>
      </c>
      <c r="H1235" s="2">
        <v>59</v>
      </c>
      <c r="I1235" t="s">
        <v>36</v>
      </c>
      <c r="J1235" t="s">
        <v>27</v>
      </c>
      <c r="K1235" s="2">
        <v>3.71</v>
      </c>
      <c r="L1235" s="3">
        <v>27.53</v>
      </c>
      <c r="M1235" s="3">
        <f>orders_1[[#This Row],[products.Base_Price]]*orders_1[[#This Row],[Quantity]]</f>
        <v>1624.27</v>
      </c>
      <c r="N1235" t="s">
        <v>17</v>
      </c>
      <c r="O1235" t="s">
        <v>10</v>
      </c>
      <c r="P1235" t="s">
        <v>19</v>
      </c>
    </row>
    <row r="1236" spans="1:16" x14ac:dyDescent="0.3">
      <c r="A1236" s="2">
        <v>11235</v>
      </c>
      <c r="B1236" s="2">
        <v>843</v>
      </c>
      <c r="C1236" s="2">
        <v>2034</v>
      </c>
      <c r="D1236" s="2">
        <v>318</v>
      </c>
      <c r="E1236" s="4">
        <v>45556</v>
      </c>
      <c r="F1236" s="4">
        <v>45561</v>
      </c>
      <c r="G1236" s="2">
        <f t="shared" si="19"/>
        <v>5</v>
      </c>
      <c r="H1236" s="2">
        <v>42</v>
      </c>
      <c r="I1236" t="s">
        <v>78</v>
      </c>
      <c r="J1236" t="s">
        <v>27</v>
      </c>
      <c r="K1236" s="2">
        <v>26.17</v>
      </c>
      <c r="L1236" s="3">
        <v>540.23</v>
      </c>
      <c r="M1236" s="3">
        <f>orders_1[[#This Row],[products.Base_Price]]*orders_1[[#This Row],[Quantity]]</f>
        <v>22689.66</v>
      </c>
      <c r="N1236" t="s">
        <v>17</v>
      </c>
      <c r="O1236" t="s">
        <v>10</v>
      </c>
      <c r="P1236" t="s">
        <v>19</v>
      </c>
    </row>
    <row r="1237" spans="1:16" x14ac:dyDescent="0.3">
      <c r="A1237" s="2">
        <v>11236</v>
      </c>
      <c r="B1237" s="2">
        <v>853</v>
      </c>
      <c r="C1237" s="2">
        <v>2069</v>
      </c>
      <c r="D1237" s="2">
        <v>307</v>
      </c>
      <c r="E1237" s="4">
        <v>45595</v>
      </c>
      <c r="F1237" s="4">
        <v>45599</v>
      </c>
      <c r="G1237" s="2">
        <f t="shared" si="19"/>
        <v>4</v>
      </c>
      <c r="H1237" s="2">
        <v>75</v>
      </c>
      <c r="I1237" t="s">
        <v>36</v>
      </c>
      <c r="J1237" t="s">
        <v>22</v>
      </c>
      <c r="K1237" s="2">
        <v>2.94</v>
      </c>
      <c r="L1237" s="3">
        <v>494.92</v>
      </c>
      <c r="M1237" s="3">
        <f>orders_1[[#This Row],[products.Base_Price]]*orders_1[[#This Row],[Quantity]]</f>
        <v>37119</v>
      </c>
      <c r="N1237" t="s">
        <v>17</v>
      </c>
      <c r="O1237" t="s">
        <v>10</v>
      </c>
      <c r="P1237" t="s">
        <v>11</v>
      </c>
    </row>
    <row r="1238" spans="1:16" x14ac:dyDescent="0.3">
      <c r="A1238" s="2">
        <v>11237</v>
      </c>
      <c r="B1238" s="2">
        <v>804</v>
      </c>
      <c r="C1238" s="2">
        <v>2044</v>
      </c>
      <c r="D1238" s="2">
        <v>316</v>
      </c>
      <c r="E1238" s="4">
        <v>45295</v>
      </c>
      <c r="F1238" s="4">
        <v>45304</v>
      </c>
      <c r="G1238" s="2">
        <f t="shared" si="19"/>
        <v>9</v>
      </c>
      <c r="H1238" s="2">
        <v>60</v>
      </c>
      <c r="I1238" t="s">
        <v>36</v>
      </c>
      <c r="J1238" t="s">
        <v>21</v>
      </c>
      <c r="K1238" s="2">
        <v>11.44</v>
      </c>
      <c r="L1238" s="3">
        <v>939.99</v>
      </c>
      <c r="M1238" s="3">
        <f>orders_1[[#This Row],[products.Base_Price]]*orders_1[[#This Row],[Quantity]]</f>
        <v>56399.4</v>
      </c>
      <c r="N1238" t="s">
        <v>24</v>
      </c>
      <c r="O1238" t="s">
        <v>25</v>
      </c>
      <c r="P1238" t="s">
        <v>19</v>
      </c>
    </row>
    <row r="1239" spans="1:16" x14ac:dyDescent="0.3">
      <c r="A1239" s="2">
        <v>11238</v>
      </c>
      <c r="B1239" s="2">
        <v>553</v>
      </c>
      <c r="C1239" s="2">
        <v>2074</v>
      </c>
      <c r="D1239" s="2">
        <v>318</v>
      </c>
      <c r="E1239" s="4">
        <v>45630</v>
      </c>
      <c r="F1239" s="4">
        <v>45634</v>
      </c>
      <c r="G1239" s="2">
        <f t="shared" si="19"/>
        <v>4</v>
      </c>
      <c r="H1239" s="2">
        <v>89</v>
      </c>
      <c r="I1239" t="s">
        <v>42</v>
      </c>
      <c r="J1239" t="s">
        <v>13</v>
      </c>
      <c r="K1239" s="2">
        <v>41.45</v>
      </c>
      <c r="L1239" s="3">
        <v>650.42999999999995</v>
      </c>
      <c r="M1239" s="3">
        <f>orders_1[[#This Row],[products.Base_Price]]*orders_1[[#This Row],[Quantity]]</f>
        <v>57888.27</v>
      </c>
      <c r="N1239" t="s">
        <v>17</v>
      </c>
      <c r="O1239" t="s">
        <v>10</v>
      </c>
      <c r="P1239" t="s">
        <v>19</v>
      </c>
    </row>
    <row r="1240" spans="1:16" x14ac:dyDescent="0.3">
      <c r="A1240" s="2">
        <v>11239</v>
      </c>
      <c r="B1240" s="2">
        <v>608</v>
      </c>
      <c r="C1240" s="2">
        <v>2013</v>
      </c>
      <c r="D1240" s="2">
        <v>302</v>
      </c>
      <c r="E1240" s="4">
        <v>45440</v>
      </c>
      <c r="F1240" s="4">
        <v>45447</v>
      </c>
      <c r="G1240" s="2">
        <f t="shared" si="19"/>
        <v>7</v>
      </c>
      <c r="H1240" s="2">
        <v>1</v>
      </c>
      <c r="I1240" t="s">
        <v>78</v>
      </c>
      <c r="J1240" t="s">
        <v>13</v>
      </c>
      <c r="K1240" s="2">
        <v>19.53</v>
      </c>
      <c r="L1240" s="3">
        <v>563.69000000000005</v>
      </c>
      <c r="M1240" s="3">
        <f>orders_1[[#This Row],[products.Base_Price]]*orders_1[[#This Row],[Quantity]]</f>
        <v>563.69000000000005</v>
      </c>
      <c r="N1240" t="s">
        <v>12</v>
      </c>
      <c r="O1240" t="s">
        <v>14</v>
      </c>
      <c r="P1240" t="s">
        <v>11</v>
      </c>
    </row>
    <row r="1241" spans="1:16" x14ac:dyDescent="0.3">
      <c r="A1241" s="2">
        <v>11240</v>
      </c>
      <c r="B1241" s="2">
        <v>693</v>
      </c>
      <c r="C1241" s="2">
        <v>2050</v>
      </c>
      <c r="D1241" s="2">
        <v>320</v>
      </c>
      <c r="E1241" s="4">
        <v>45341</v>
      </c>
      <c r="F1241" s="4">
        <v>45347</v>
      </c>
      <c r="G1241" s="2">
        <f t="shared" si="19"/>
        <v>6</v>
      </c>
      <c r="H1241" s="2">
        <v>15</v>
      </c>
      <c r="I1241" t="s">
        <v>78</v>
      </c>
      <c r="J1241" t="s">
        <v>21</v>
      </c>
      <c r="K1241" s="2">
        <v>36.43</v>
      </c>
      <c r="L1241" s="3">
        <v>507.16</v>
      </c>
      <c r="M1241" s="3">
        <f>orders_1[[#This Row],[products.Base_Price]]*orders_1[[#This Row],[Quantity]]</f>
        <v>7607.4000000000005</v>
      </c>
      <c r="N1241" t="s">
        <v>15</v>
      </c>
      <c r="O1241" t="s">
        <v>25</v>
      </c>
      <c r="P1241" t="s">
        <v>11</v>
      </c>
    </row>
    <row r="1242" spans="1:16" x14ac:dyDescent="0.3">
      <c r="A1242" s="2">
        <v>11241</v>
      </c>
      <c r="B1242" s="2">
        <v>573</v>
      </c>
      <c r="C1242" s="2">
        <v>2063</v>
      </c>
      <c r="D1242" s="2">
        <v>318</v>
      </c>
      <c r="E1242" s="4">
        <v>45592</v>
      </c>
      <c r="F1242" s="4">
        <v>45593</v>
      </c>
      <c r="G1242" s="2">
        <f t="shared" si="19"/>
        <v>1</v>
      </c>
      <c r="H1242" s="2">
        <v>6</v>
      </c>
      <c r="I1242" t="s">
        <v>78</v>
      </c>
      <c r="J1242" t="s">
        <v>9</v>
      </c>
      <c r="K1242" s="2">
        <v>13.23</v>
      </c>
      <c r="L1242" s="3">
        <v>151.69999999999999</v>
      </c>
      <c r="M1242" s="3">
        <f>orders_1[[#This Row],[products.Base_Price]]*orders_1[[#This Row],[Quantity]]</f>
        <v>910.19999999999993</v>
      </c>
      <c r="N1242" t="s">
        <v>17</v>
      </c>
      <c r="O1242" t="s">
        <v>10</v>
      </c>
      <c r="P1242" t="s">
        <v>19</v>
      </c>
    </row>
    <row r="1243" spans="1:16" x14ac:dyDescent="0.3">
      <c r="A1243" s="2">
        <v>11242</v>
      </c>
      <c r="B1243" s="2">
        <v>783</v>
      </c>
      <c r="C1243" s="2">
        <v>2072</v>
      </c>
      <c r="D1243" s="2">
        <v>308</v>
      </c>
      <c r="E1243" s="4">
        <v>45612</v>
      </c>
      <c r="F1243" s="4">
        <v>45613</v>
      </c>
      <c r="G1243" s="2">
        <f t="shared" si="19"/>
        <v>1</v>
      </c>
      <c r="H1243" s="2">
        <v>26</v>
      </c>
      <c r="I1243" t="s">
        <v>78</v>
      </c>
      <c r="J1243" t="s">
        <v>9</v>
      </c>
      <c r="K1243" s="2">
        <v>26.22</v>
      </c>
      <c r="L1243" s="3">
        <v>576.57000000000005</v>
      </c>
      <c r="M1243" s="3">
        <f>orders_1[[#This Row],[products.Base_Price]]*orders_1[[#This Row],[Quantity]]</f>
        <v>14990.820000000002</v>
      </c>
      <c r="N1243" t="s">
        <v>23</v>
      </c>
      <c r="O1243" t="s">
        <v>14</v>
      </c>
      <c r="P1243" t="s">
        <v>19</v>
      </c>
    </row>
    <row r="1244" spans="1:16" x14ac:dyDescent="0.3">
      <c r="A1244" s="2">
        <v>11243</v>
      </c>
      <c r="B1244" s="2">
        <v>505</v>
      </c>
      <c r="C1244" s="2">
        <v>2045</v>
      </c>
      <c r="D1244" s="2">
        <v>320</v>
      </c>
      <c r="E1244" s="4">
        <v>45500</v>
      </c>
      <c r="F1244" s="4">
        <v>45501</v>
      </c>
      <c r="G1244" s="2">
        <f t="shared" si="19"/>
        <v>1</v>
      </c>
      <c r="H1244" s="2">
        <v>17</v>
      </c>
      <c r="I1244" t="s">
        <v>42</v>
      </c>
      <c r="J1244" t="s">
        <v>9</v>
      </c>
      <c r="K1244" s="2">
        <v>41.3</v>
      </c>
      <c r="L1244" s="3">
        <v>652.61</v>
      </c>
      <c r="M1244" s="3">
        <f>orders_1[[#This Row],[products.Base_Price]]*orders_1[[#This Row],[Quantity]]</f>
        <v>11094.37</v>
      </c>
      <c r="N1244" t="s">
        <v>15</v>
      </c>
      <c r="O1244" t="s">
        <v>25</v>
      </c>
      <c r="P1244" t="s">
        <v>11</v>
      </c>
    </row>
    <row r="1245" spans="1:16" x14ac:dyDescent="0.3">
      <c r="A1245" s="2">
        <v>11244</v>
      </c>
      <c r="B1245" s="2">
        <v>658</v>
      </c>
      <c r="C1245" s="2">
        <v>2019</v>
      </c>
      <c r="D1245" s="2">
        <v>311</v>
      </c>
      <c r="E1245" s="4">
        <v>45639</v>
      </c>
      <c r="F1245" s="4">
        <v>45648</v>
      </c>
      <c r="G1245" s="2">
        <f t="shared" si="19"/>
        <v>9</v>
      </c>
      <c r="H1245" s="2">
        <v>14</v>
      </c>
      <c r="I1245" t="s">
        <v>78</v>
      </c>
      <c r="J1245" t="s">
        <v>22</v>
      </c>
      <c r="K1245" s="2">
        <v>27.65</v>
      </c>
      <c r="L1245" s="3">
        <v>89.85</v>
      </c>
      <c r="M1245" s="3">
        <f>orders_1[[#This Row],[products.Base_Price]]*orders_1[[#This Row],[Quantity]]</f>
        <v>1257.8999999999999</v>
      </c>
      <c r="N1245" t="s">
        <v>26</v>
      </c>
      <c r="O1245" t="s">
        <v>10</v>
      </c>
      <c r="P1245" t="s">
        <v>11</v>
      </c>
    </row>
    <row r="1246" spans="1:16" x14ac:dyDescent="0.3">
      <c r="A1246" s="2">
        <v>11245</v>
      </c>
      <c r="B1246" s="2">
        <v>888</v>
      </c>
      <c r="C1246" s="2">
        <v>2020</v>
      </c>
      <c r="D1246" s="2">
        <v>301</v>
      </c>
      <c r="E1246" s="4">
        <v>45552</v>
      </c>
      <c r="F1246" s="4">
        <v>45555</v>
      </c>
      <c r="G1246" s="2">
        <f t="shared" si="19"/>
        <v>3</v>
      </c>
      <c r="H1246" s="2">
        <v>9</v>
      </c>
      <c r="I1246" t="s">
        <v>39</v>
      </c>
      <c r="J1246" t="s">
        <v>27</v>
      </c>
      <c r="K1246" s="2">
        <v>35.94</v>
      </c>
      <c r="L1246" s="3">
        <v>44.04</v>
      </c>
      <c r="M1246" s="3">
        <f>orders_1[[#This Row],[products.Base_Price]]*orders_1[[#This Row],[Quantity]]</f>
        <v>396.36</v>
      </c>
      <c r="N1246" t="s">
        <v>8</v>
      </c>
      <c r="O1246" t="s">
        <v>10</v>
      </c>
      <c r="P1246" t="s">
        <v>11</v>
      </c>
    </row>
    <row r="1247" spans="1:16" x14ac:dyDescent="0.3">
      <c r="A1247" s="2">
        <v>11246</v>
      </c>
      <c r="B1247" s="2">
        <v>666</v>
      </c>
      <c r="C1247" s="2">
        <v>2040</v>
      </c>
      <c r="D1247" s="2">
        <v>311</v>
      </c>
      <c r="E1247" s="4">
        <v>45657</v>
      </c>
      <c r="F1247" s="4">
        <v>45660</v>
      </c>
      <c r="G1247" s="2">
        <f t="shared" si="19"/>
        <v>3</v>
      </c>
      <c r="H1247" s="2">
        <v>8</v>
      </c>
      <c r="I1247" t="s">
        <v>78</v>
      </c>
      <c r="J1247" t="s">
        <v>27</v>
      </c>
      <c r="K1247" s="2">
        <v>3.71</v>
      </c>
      <c r="L1247" s="3">
        <v>27.53</v>
      </c>
      <c r="M1247" s="3">
        <f>orders_1[[#This Row],[products.Base_Price]]*orders_1[[#This Row],[Quantity]]</f>
        <v>220.24</v>
      </c>
      <c r="N1247" t="s">
        <v>26</v>
      </c>
      <c r="O1247" t="s">
        <v>10</v>
      </c>
      <c r="P1247" t="s">
        <v>11</v>
      </c>
    </row>
    <row r="1248" spans="1:16" x14ac:dyDescent="0.3">
      <c r="A1248" s="2">
        <v>11247</v>
      </c>
      <c r="B1248" s="2">
        <v>784</v>
      </c>
      <c r="C1248" s="2">
        <v>2078</v>
      </c>
      <c r="D1248" s="2">
        <v>311</v>
      </c>
      <c r="E1248" s="4">
        <v>45356</v>
      </c>
      <c r="F1248" s="4">
        <v>45363</v>
      </c>
      <c r="G1248" s="2">
        <f t="shared" si="19"/>
        <v>7</v>
      </c>
      <c r="H1248" s="2">
        <v>76</v>
      </c>
      <c r="I1248" t="s">
        <v>42</v>
      </c>
      <c r="J1248" t="s">
        <v>21</v>
      </c>
      <c r="K1248" s="2">
        <v>14.85</v>
      </c>
      <c r="L1248" s="3">
        <v>517.03</v>
      </c>
      <c r="M1248" s="3">
        <f>orders_1[[#This Row],[products.Base_Price]]*orders_1[[#This Row],[Quantity]]</f>
        <v>39294.28</v>
      </c>
      <c r="N1248" t="s">
        <v>26</v>
      </c>
      <c r="O1248" t="s">
        <v>10</v>
      </c>
      <c r="P1248" t="s">
        <v>11</v>
      </c>
    </row>
    <row r="1249" spans="1:16" x14ac:dyDescent="0.3">
      <c r="A1249" s="2">
        <v>11248</v>
      </c>
      <c r="B1249" s="2">
        <v>664</v>
      </c>
      <c r="C1249" s="2">
        <v>2068</v>
      </c>
      <c r="D1249" s="2">
        <v>320</v>
      </c>
      <c r="E1249" s="4">
        <v>45597</v>
      </c>
      <c r="F1249" s="4">
        <v>45604</v>
      </c>
      <c r="G1249" s="2">
        <f t="shared" si="19"/>
        <v>7</v>
      </c>
      <c r="H1249" s="2">
        <v>3</v>
      </c>
      <c r="I1249" t="s">
        <v>78</v>
      </c>
      <c r="J1249" t="s">
        <v>27</v>
      </c>
      <c r="K1249" s="2">
        <v>47.08</v>
      </c>
      <c r="L1249" s="3">
        <v>501.03</v>
      </c>
      <c r="M1249" s="3">
        <f>orders_1[[#This Row],[products.Base_Price]]*orders_1[[#This Row],[Quantity]]</f>
        <v>1503.09</v>
      </c>
      <c r="N1249" t="s">
        <v>15</v>
      </c>
      <c r="O1249" t="s">
        <v>25</v>
      </c>
      <c r="P1249" t="s">
        <v>11</v>
      </c>
    </row>
    <row r="1250" spans="1:16" x14ac:dyDescent="0.3">
      <c r="A1250" s="2">
        <v>11249</v>
      </c>
      <c r="B1250" s="2">
        <v>878</v>
      </c>
      <c r="C1250" s="2">
        <v>2022</v>
      </c>
      <c r="D1250" s="2">
        <v>309</v>
      </c>
      <c r="E1250" s="4">
        <v>45649</v>
      </c>
      <c r="F1250" s="4">
        <v>45652</v>
      </c>
      <c r="G1250" s="2">
        <f t="shared" si="19"/>
        <v>3</v>
      </c>
      <c r="H1250" s="2">
        <v>88</v>
      </c>
      <c r="I1250" t="s">
        <v>39</v>
      </c>
      <c r="J1250" t="s">
        <v>13</v>
      </c>
      <c r="K1250" s="2">
        <v>47.91</v>
      </c>
      <c r="L1250" s="3">
        <v>756.92</v>
      </c>
      <c r="M1250" s="3">
        <f>orders_1[[#This Row],[products.Base_Price]]*orders_1[[#This Row],[Quantity]]</f>
        <v>66608.959999999992</v>
      </c>
      <c r="N1250" t="s">
        <v>24</v>
      </c>
      <c r="O1250" t="s">
        <v>25</v>
      </c>
      <c r="P1250" t="s">
        <v>16</v>
      </c>
    </row>
    <row r="1251" spans="1:16" x14ac:dyDescent="0.3">
      <c r="A1251" s="2">
        <v>11250</v>
      </c>
      <c r="B1251" s="2">
        <v>719</v>
      </c>
      <c r="C1251" s="2">
        <v>2001</v>
      </c>
      <c r="D1251" s="2">
        <v>303</v>
      </c>
      <c r="E1251" s="4">
        <v>45533</v>
      </c>
      <c r="F1251" s="4">
        <v>45536</v>
      </c>
      <c r="G1251" s="2">
        <f t="shared" si="19"/>
        <v>3</v>
      </c>
      <c r="H1251" s="2">
        <v>94</v>
      </c>
      <c r="I1251" t="s">
        <v>36</v>
      </c>
      <c r="J1251" t="s">
        <v>9</v>
      </c>
      <c r="K1251" s="2">
        <v>49.85</v>
      </c>
      <c r="L1251" s="3">
        <v>471.41</v>
      </c>
      <c r="M1251" s="3">
        <f>orders_1[[#This Row],[products.Base_Price]]*orders_1[[#This Row],[Quantity]]</f>
        <v>44312.54</v>
      </c>
      <c r="N1251" t="s">
        <v>15</v>
      </c>
      <c r="O1251" t="s">
        <v>10</v>
      </c>
      <c r="P1251" t="s">
        <v>16</v>
      </c>
    </row>
    <row r="1252" spans="1:16" x14ac:dyDescent="0.3">
      <c r="A1252" s="2">
        <v>11251</v>
      </c>
      <c r="B1252" s="2">
        <v>575</v>
      </c>
      <c r="C1252" s="2">
        <v>2096</v>
      </c>
      <c r="D1252" s="2">
        <v>303</v>
      </c>
      <c r="E1252" s="4">
        <v>45643</v>
      </c>
      <c r="F1252" s="4">
        <v>45648</v>
      </c>
      <c r="G1252" s="2">
        <f t="shared" si="19"/>
        <v>5</v>
      </c>
      <c r="H1252" s="2">
        <v>90</v>
      </c>
      <c r="I1252" t="s">
        <v>78</v>
      </c>
      <c r="J1252" t="s">
        <v>22</v>
      </c>
      <c r="K1252" s="2">
        <v>20.04</v>
      </c>
      <c r="L1252" s="3">
        <v>70.19</v>
      </c>
      <c r="M1252" s="3">
        <f>orders_1[[#This Row],[products.Base_Price]]*orders_1[[#This Row],[Quantity]]</f>
        <v>6317.0999999999995</v>
      </c>
      <c r="N1252" t="s">
        <v>15</v>
      </c>
      <c r="O1252" t="s">
        <v>10</v>
      </c>
      <c r="P1252" t="s">
        <v>16</v>
      </c>
    </row>
    <row r="1253" spans="1:16" x14ac:dyDescent="0.3">
      <c r="A1253" s="2">
        <v>11252</v>
      </c>
      <c r="B1253" s="2">
        <v>867</v>
      </c>
      <c r="C1253" s="2">
        <v>2073</v>
      </c>
      <c r="D1253" s="2">
        <v>314</v>
      </c>
      <c r="E1253" s="4">
        <v>45655</v>
      </c>
      <c r="F1253" s="4">
        <v>45664</v>
      </c>
      <c r="G1253" s="2">
        <f t="shared" si="19"/>
        <v>9</v>
      </c>
      <c r="H1253" s="2">
        <v>78</v>
      </c>
      <c r="I1253" t="s">
        <v>36</v>
      </c>
      <c r="J1253" t="s">
        <v>9</v>
      </c>
      <c r="K1253" s="2">
        <v>11.78</v>
      </c>
      <c r="L1253" s="3">
        <v>416.74</v>
      </c>
      <c r="M1253" s="3">
        <f>orders_1[[#This Row],[products.Base_Price]]*orders_1[[#This Row],[Quantity]]</f>
        <v>32505.72</v>
      </c>
      <c r="N1253" t="s">
        <v>17</v>
      </c>
      <c r="O1253" t="s">
        <v>14</v>
      </c>
      <c r="P1253" t="s">
        <v>19</v>
      </c>
    </row>
    <row r="1254" spans="1:16" x14ac:dyDescent="0.3">
      <c r="A1254" s="2">
        <v>11253</v>
      </c>
      <c r="B1254" s="2">
        <v>831</v>
      </c>
      <c r="C1254" s="2">
        <v>2043</v>
      </c>
      <c r="D1254" s="2">
        <v>302</v>
      </c>
      <c r="E1254" s="4">
        <v>45367</v>
      </c>
      <c r="F1254" s="4">
        <v>45373</v>
      </c>
      <c r="G1254" s="2">
        <f t="shared" si="19"/>
        <v>6</v>
      </c>
      <c r="H1254" s="2">
        <v>6</v>
      </c>
      <c r="I1254" t="s">
        <v>42</v>
      </c>
      <c r="J1254" t="s">
        <v>27</v>
      </c>
      <c r="K1254" s="2">
        <v>14.98</v>
      </c>
      <c r="L1254" s="3">
        <v>375.85</v>
      </c>
      <c r="M1254" s="3">
        <f>orders_1[[#This Row],[products.Base_Price]]*orders_1[[#This Row],[Quantity]]</f>
        <v>2255.1000000000004</v>
      </c>
      <c r="N1254" t="s">
        <v>12</v>
      </c>
      <c r="O1254" t="s">
        <v>14</v>
      </c>
      <c r="P1254" t="s">
        <v>11</v>
      </c>
    </row>
    <row r="1255" spans="1:16" x14ac:dyDescent="0.3">
      <c r="A1255" s="2">
        <v>11254</v>
      </c>
      <c r="B1255" s="2">
        <v>762</v>
      </c>
      <c r="C1255" s="2">
        <v>2044</v>
      </c>
      <c r="D1255" s="2">
        <v>302</v>
      </c>
      <c r="E1255" s="4">
        <v>45650</v>
      </c>
      <c r="F1255" s="4">
        <v>45658</v>
      </c>
      <c r="G1255" s="2">
        <f t="shared" si="19"/>
        <v>8</v>
      </c>
      <c r="H1255" s="2">
        <v>4</v>
      </c>
      <c r="I1255" t="s">
        <v>36</v>
      </c>
      <c r="J1255" t="s">
        <v>21</v>
      </c>
      <c r="K1255" s="2">
        <v>11.44</v>
      </c>
      <c r="L1255" s="3">
        <v>939.99</v>
      </c>
      <c r="M1255" s="3">
        <f>orders_1[[#This Row],[products.Base_Price]]*orders_1[[#This Row],[Quantity]]</f>
        <v>3759.96</v>
      </c>
      <c r="N1255" t="s">
        <v>12</v>
      </c>
      <c r="O1255" t="s">
        <v>14</v>
      </c>
      <c r="P1255" t="s">
        <v>11</v>
      </c>
    </row>
    <row r="1256" spans="1:16" x14ac:dyDescent="0.3">
      <c r="A1256" s="2">
        <v>11255</v>
      </c>
      <c r="B1256" s="2">
        <v>700</v>
      </c>
      <c r="C1256" s="2">
        <v>2068</v>
      </c>
      <c r="D1256" s="2">
        <v>317</v>
      </c>
      <c r="E1256" s="4">
        <v>45443</v>
      </c>
      <c r="F1256" s="4">
        <v>45446</v>
      </c>
      <c r="G1256" s="2">
        <f t="shared" si="19"/>
        <v>3</v>
      </c>
      <c r="H1256" s="2">
        <v>99</v>
      </c>
      <c r="I1256" t="s">
        <v>78</v>
      </c>
      <c r="J1256" t="s">
        <v>27</v>
      </c>
      <c r="K1256" s="2">
        <v>47.08</v>
      </c>
      <c r="L1256" s="3">
        <v>501.03</v>
      </c>
      <c r="M1256" s="3">
        <f>orders_1[[#This Row],[products.Base_Price]]*orders_1[[#This Row],[Quantity]]</f>
        <v>49601.969999999994</v>
      </c>
      <c r="N1256" t="s">
        <v>20</v>
      </c>
      <c r="O1256" t="s">
        <v>25</v>
      </c>
      <c r="P1256" t="s">
        <v>19</v>
      </c>
    </row>
    <row r="1257" spans="1:16" x14ac:dyDescent="0.3">
      <c r="A1257" s="2">
        <v>11256</v>
      </c>
      <c r="B1257" s="2">
        <v>852</v>
      </c>
      <c r="C1257" s="2">
        <v>2050</v>
      </c>
      <c r="D1257" s="2">
        <v>314</v>
      </c>
      <c r="E1257" s="4">
        <v>45553</v>
      </c>
      <c r="F1257" s="4">
        <v>45555</v>
      </c>
      <c r="G1257" s="2">
        <f t="shared" si="19"/>
        <v>2</v>
      </c>
      <c r="H1257" s="2">
        <v>47</v>
      </c>
      <c r="I1257" t="s">
        <v>42</v>
      </c>
      <c r="J1257" t="s">
        <v>21</v>
      </c>
      <c r="K1257" s="2">
        <v>36.43</v>
      </c>
      <c r="L1257" s="3">
        <v>507.16</v>
      </c>
      <c r="M1257" s="3">
        <f>orders_1[[#This Row],[products.Base_Price]]*orders_1[[#This Row],[Quantity]]</f>
        <v>23836.52</v>
      </c>
      <c r="N1257" t="s">
        <v>17</v>
      </c>
      <c r="O1257" t="s">
        <v>14</v>
      </c>
      <c r="P1257" t="s">
        <v>19</v>
      </c>
    </row>
    <row r="1258" spans="1:16" x14ac:dyDescent="0.3">
      <c r="A1258" s="2">
        <v>11257</v>
      </c>
      <c r="B1258" s="2">
        <v>852</v>
      </c>
      <c r="C1258" s="2">
        <v>2051</v>
      </c>
      <c r="D1258" s="2">
        <v>301</v>
      </c>
      <c r="E1258" s="4">
        <v>45610</v>
      </c>
      <c r="F1258" s="4">
        <v>45619</v>
      </c>
      <c r="G1258" s="2">
        <f t="shared" si="19"/>
        <v>9</v>
      </c>
      <c r="H1258" s="2">
        <v>89</v>
      </c>
      <c r="I1258" t="s">
        <v>78</v>
      </c>
      <c r="J1258" t="s">
        <v>9</v>
      </c>
      <c r="K1258" s="2">
        <v>47.82</v>
      </c>
      <c r="L1258" s="3">
        <v>376.19</v>
      </c>
      <c r="M1258" s="3">
        <f>orders_1[[#This Row],[products.Base_Price]]*orders_1[[#This Row],[Quantity]]</f>
        <v>33480.909999999996</v>
      </c>
      <c r="N1258" t="s">
        <v>8</v>
      </c>
      <c r="O1258" t="s">
        <v>10</v>
      </c>
      <c r="P1258" t="s">
        <v>11</v>
      </c>
    </row>
    <row r="1259" spans="1:16" x14ac:dyDescent="0.3">
      <c r="A1259" s="2">
        <v>11258</v>
      </c>
      <c r="B1259" s="2">
        <v>654</v>
      </c>
      <c r="C1259" s="2">
        <v>2033</v>
      </c>
      <c r="D1259" s="2">
        <v>311</v>
      </c>
      <c r="E1259" s="4">
        <v>45392</v>
      </c>
      <c r="F1259" s="4">
        <v>45399</v>
      </c>
      <c r="G1259" s="2">
        <f t="shared" si="19"/>
        <v>7</v>
      </c>
      <c r="H1259" s="2">
        <v>70</v>
      </c>
      <c r="I1259" t="s">
        <v>42</v>
      </c>
      <c r="J1259" t="s">
        <v>22</v>
      </c>
      <c r="K1259" s="2">
        <v>8.33</v>
      </c>
      <c r="L1259" s="3">
        <v>629.69000000000005</v>
      </c>
      <c r="M1259" s="3">
        <f>orders_1[[#This Row],[products.Base_Price]]*orders_1[[#This Row],[Quantity]]</f>
        <v>44078.3</v>
      </c>
      <c r="N1259" t="s">
        <v>26</v>
      </c>
      <c r="O1259" t="s">
        <v>10</v>
      </c>
      <c r="P1259" t="s">
        <v>11</v>
      </c>
    </row>
    <row r="1260" spans="1:16" x14ac:dyDescent="0.3">
      <c r="A1260" s="2">
        <v>11259</v>
      </c>
      <c r="B1260" s="2">
        <v>711</v>
      </c>
      <c r="C1260" s="2">
        <v>2069</v>
      </c>
      <c r="D1260" s="2">
        <v>318</v>
      </c>
      <c r="E1260" s="4">
        <v>45507</v>
      </c>
      <c r="F1260" s="4">
        <v>45512</v>
      </c>
      <c r="G1260" s="2">
        <f t="shared" si="19"/>
        <v>5</v>
      </c>
      <c r="H1260" s="2">
        <v>44</v>
      </c>
      <c r="I1260" t="s">
        <v>36</v>
      </c>
      <c r="J1260" t="s">
        <v>22</v>
      </c>
      <c r="K1260" s="2">
        <v>2.94</v>
      </c>
      <c r="L1260" s="3">
        <v>494.92</v>
      </c>
      <c r="M1260" s="3">
        <f>orders_1[[#This Row],[products.Base_Price]]*orders_1[[#This Row],[Quantity]]</f>
        <v>21776.48</v>
      </c>
      <c r="N1260" t="s">
        <v>17</v>
      </c>
      <c r="O1260" t="s">
        <v>10</v>
      </c>
      <c r="P1260" t="s">
        <v>19</v>
      </c>
    </row>
    <row r="1261" spans="1:16" x14ac:dyDescent="0.3">
      <c r="A1261" s="2">
        <v>11260</v>
      </c>
      <c r="B1261" s="2">
        <v>820</v>
      </c>
      <c r="C1261" s="2">
        <v>2019</v>
      </c>
      <c r="D1261" s="2">
        <v>320</v>
      </c>
      <c r="E1261" s="4">
        <v>45511</v>
      </c>
      <c r="F1261" s="4">
        <v>45514</v>
      </c>
      <c r="G1261" s="2">
        <f t="shared" si="19"/>
        <v>3</v>
      </c>
      <c r="H1261" s="2">
        <v>78</v>
      </c>
      <c r="I1261" t="s">
        <v>36</v>
      </c>
      <c r="J1261" t="s">
        <v>22</v>
      </c>
      <c r="K1261" s="2">
        <v>27.65</v>
      </c>
      <c r="L1261" s="3">
        <v>89.85</v>
      </c>
      <c r="M1261" s="3">
        <f>orders_1[[#This Row],[products.Base_Price]]*orders_1[[#This Row],[Quantity]]</f>
        <v>7008.2999999999993</v>
      </c>
      <c r="N1261" t="s">
        <v>15</v>
      </c>
      <c r="O1261" t="s">
        <v>25</v>
      </c>
      <c r="P1261" t="s">
        <v>11</v>
      </c>
    </row>
    <row r="1262" spans="1:16" x14ac:dyDescent="0.3">
      <c r="A1262" s="2">
        <v>11261</v>
      </c>
      <c r="B1262" s="2">
        <v>734</v>
      </c>
      <c r="C1262" s="2">
        <v>2080</v>
      </c>
      <c r="D1262" s="2">
        <v>315</v>
      </c>
      <c r="E1262" s="4">
        <v>45534</v>
      </c>
      <c r="F1262" s="4">
        <v>45536</v>
      </c>
      <c r="G1262" s="2">
        <f t="shared" si="19"/>
        <v>2</v>
      </c>
      <c r="H1262" s="2">
        <v>34</v>
      </c>
      <c r="I1262" t="s">
        <v>39</v>
      </c>
      <c r="J1262" t="s">
        <v>9</v>
      </c>
      <c r="K1262" s="2">
        <v>29.56</v>
      </c>
      <c r="L1262" s="3">
        <v>143.84</v>
      </c>
      <c r="M1262" s="3">
        <f>orders_1[[#This Row],[products.Base_Price]]*orders_1[[#This Row],[Quantity]]</f>
        <v>4890.5600000000004</v>
      </c>
      <c r="N1262" t="s">
        <v>15</v>
      </c>
      <c r="O1262" t="s">
        <v>25</v>
      </c>
      <c r="P1262" t="s">
        <v>19</v>
      </c>
    </row>
    <row r="1263" spans="1:16" x14ac:dyDescent="0.3">
      <c r="A1263" s="2">
        <v>11262</v>
      </c>
      <c r="B1263" s="2">
        <v>828</v>
      </c>
      <c r="C1263" s="2">
        <v>2042</v>
      </c>
      <c r="D1263" s="2">
        <v>309</v>
      </c>
      <c r="E1263" s="4">
        <v>45552</v>
      </c>
      <c r="F1263" s="4">
        <v>45562</v>
      </c>
      <c r="G1263" s="2">
        <f t="shared" si="19"/>
        <v>10</v>
      </c>
      <c r="H1263" s="2">
        <v>44</v>
      </c>
      <c r="I1263" t="s">
        <v>42</v>
      </c>
      <c r="J1263" t="s">
        <v>27</v>
      </c>
      <c r="K1263" s="2">
        <v>46.87</v>
      </c>
      <c r="L1263" s="3">
        <v>313.88</v>
      </c>
      <c r="M1263" s="3">
        <f>orders_1[[#This Row],[products.Base_Price]]*orders_1[[#This Row],[Quantity]]</f>
        <v>13810.72</v>
      </c>
      <c r="N1263" t="s">
        <v>24</v>
      </c>
      <c r="O1263" t="s">
        <v>25</v>
      </c>
      <c r="P1263" t="s">
        <v>16</v>
      </c>
    </row>
    <row r="1264" spans="1:16" x14ac:dyDescent="0.3">
      <c r="A1264" s="2">
        <v>11263</v>
      </c>
      <c r="B1264" s="2">
        <v>735</v>
      </c>
      <c r="C1264" s="2">
        <v>2042</v>
      </c>
      <c r="D1264" s="2">
        <v>318</v>
      </c>
      <c r="E1264" s="4">
        <v>45404</v>
      </c>
      <c r="F1264" s="4">
        <v>45408</v>
      </c>
      <c r="G1264" s="2">
        <f t="shared" si="19"/>
        <v>4</v>
      </c>
      <c r="H1264" s="2">
        <v>29</v>
      </c>
      <c r="I1264" t="s">
        <v>42</v>
      </c>
      <c r="J1264" t="s">
        <v>27</v>
      </c>
      <c r="K1264" s="2">
        <v>46.87</v>
      </c>
      <c r="L1264" s="3">
        <v>313.88</v>
      </c>
      <c r="M1264" s="3">
        <f>orders_1[[#This Row],[products.Base_Price]]*orders_1[[#This Row],[Quantity]]</f>
        <v>9102.52</v>
      </c>
      <c r="N1264" t="s">
        <v>17</v>
      </c>
      <c r="O1264" t="s">
        <v>10</v>
      </c>
      <c r="P1264" t="s">
        <v>19</v>
      </c>
    </row>
    <row r="1265" spans="1:16" x14ac:dyDescent="0.3">
      <c r="A1265" s="2">
        <v>11264</v>
      </c>
      <c r="B1265" s="2">
        <v>552</v>
      </c>
      <c r="C1265" s="2">
        <v>2026</v>
      </c>
      <c r="D1265" s="2">
        <v>312</v>
      </c>
      <c r="E1265" s="4">
        <v>45587</v>
      </c>
      <c r="F1265" s="4">
        <v>45591</v>
      </c>
      <c r="G1265" s="2">
        <f t="shared" si="19"/>
        <v>4</v>
      </c>
      <c r="H1265" s="2">
        <v>11</v>
      </c>
      <c r="I1265" t="s">
        <v>42</v>
      </c>
      <c r="J1265" t="s">
        <v>22</v>
      </c>
      <c r="K1265" s="2">
        <v>23.02</v>
      </c>
      <c r="L1265" s="3">
        <v>858.57</v>
      </c>
      <c r="M1265" s="3">
        <f>orders_1[[#This Row],[products.Base_Price]]*orders_1[[#This Row],[Quantity]]</f>
        <v>9444.27</v>
      </c>
      <c r="N1265" t="s">
        <v>15</v>
      </c>
      <c r="O1265" t="s">
        <v>10</v>
      </c>
      <c r="P1265" t="s">
        <v>11</v>
      </c>
    </row>
    <row r="1266" spans="1:16" x14ac:dyDescent="0.3">
      <c r="A1266" s="2">
        <v>11265</v>
      </c>
      <c r="B1266" s="2">
        <v>680</v>
      </c>
      <c r="C1266" s="2">
        <v>2084</v>
      </c>
      <c r="D1266" s="2">
        <v>305</v>
      </c>
      <c r="E1266" s="4">
        <v>45356</v>
      </c>
      <c r="F1266" s="4">
        <v>45359</v>
      </c>
      <c r="G1266" s="2">
        <f t="shared" si="19"/>
        <v>3</v>
      </c>
      <c r="H1266" s="2">
        <v>33</v>
      </c>
      <c r="I1266" t="s">
        <v>39</v>
      </c>
      <c r="J1266" t="s">
        <v>21</v>
      </c>
      <c r="K1266" s="2">
        <v>14.27</v>
      </c>
      <c r="L1266" s="3">
        <v>223.58</v>
      </c>
      <c r="M1266" s="3">
        <f>orders_1[[#This Row],[products.Base_Price]]*orders_1[[#This Row],[Quantity]]</f>
        <v>7378.14</v>
      </c>
      <c r="N1266" t="s">
        <v>20</v>
      </c>
      <c r="O1266" t="s">
        <v>10</v>
      </c>
      <c r="P1266" t="s">
        <v>19</v>
      </c>
    </row>
    <row r="1267" spans="1:16" x14ac:dyDescent="0.3">
      <c r="A1267" s="2">
        <v>11266</v>
      </c>
      <c r="B1267" s="2">
        <v>570</v>
      </c>
      <c r="C1267" s="2">
        <v>2003</v>
      </c>
      <c r="D1267" s="2">
        <v>302</v>
      </c>
      <c r="E1267" s="4">
        <v>45639</v>
      </c>
      <c r="F1267" s="4">
        <v>45645</v>
      </c>
      <c r="G1267" s="2">
        <f t="shared" si="19"/>
        <v>6</v>
      </c>
      <c r="H1267" s="2">
        <v>66</v>
      </c>
      <c r="I1267" t="s">
        <v>42</v>
      </c>
      <c r="J1267" t="s">
        <v>13</v>
      </c>
      <c r="K1267" s="2">
        <v>39.74</v>
      </c>
      <c r="L1267" s="3">
        <v>864.17</v>
      </c>
      <c r="M1267" s="3">
        <f>orders_1[[#This Row],[products.Base_Price]]*orders_1[[#This Row],[Quantity]]</f>
        <v>57035.219999999994</v>
      </c>
      <c r="N1267" t="s">
        <v>12</v>
      </c>
      <c r="O1267" t="s">
        <v>14</v>
      </c>
      <c r="P1267" t="s">
        <v>11</v>
      </c>
    </row>
    <row r="1268" spans="1:16" x14ac:dyDescent="0.3">
      <c r="A1268" s="2">
        <v>11267</v>
      </c>
      <c r="B1268" s="2">
        <v>675</v>
      </c>
      <c r="C1268" s="2">
        <v>2098</v>
      </c>
      <c r="D1268" s="2">
        <v>319</v>
      </c>
      <c r="E1268" s="4">
        <v>45351</v>
      </c>
      <c r="F1268" s="4">
        <v>45352</v>
      </c>
      <c r="G1268" s="2">
        <f t="shared" si="19"/>
        <v>1</v>
      </c>
      <c r="H1268" s="2">
        <v>7</v>
      </c>
      <c r="I1268" t="s">
        <v>78</v>
      </c>
      <c r="J1268" t="s">
        <v>13</v>
      </c>
      <c r="K1268" s="2">
        <v>25.35</v>
      </c>
      <c r="L1268" s="3">
        <v>571.58000000000004</v>
      </c>
      <c r="M1268" s="3">
        <f>orders_1[[#This Row],[products.Base_Price]]*orders_1[[#This Row],[Quantity]]</f>
        <v>4001.0600000000004</v>
      </c>
      <c r="N1268" t="s">
        <v>20</v>
      </c>
      <c r="O1268" t="s">
        <v>18</v>
      </c>
      <c r="P1268" t="s">
        <v>11</v>
      </c>
    </row>
    <row r="1269" spans="1:16" x14ac:dyDescent="0.3">
      <c r="A1269" s="2">
        <v>11268</v>
      </c>
      <c r="B1269" s="2">
        <v>840</v>
      </c>
      <c r="C1269" s="2">
        <v>2056</v>
      </c>
      <c r="D1269" s="2">
        <v>304</v>
      </c>
      <c r="E1269" s="4">
        <v>45596</v>
      </c>
      <c r="F1269" s="4">
        <v>45605</v>
      </c>
      <c r="G1269" s="2">
        <f t="shared" si="19"/>
        <v>9</v>
      </c>
      <c r="H1269" s="2">
        <v>62</v>
      </c>
      <c r="I1269" t="s">
        <v>39</v>
      </c>
      <c r="J1269" t="s">
        <v>9</v>
      </c>
      <c r="K1269" s="2">
        <v>18.559999999999999</v>
      </c>
      <c r="L1269" s="3">
        <v>564.01</v>
      </c>
      <c r="M1269" s="3">
        <f>orders_1[[#This Row],[products.Base_Price]]*orders_1[[#This Row],[Quantity]]</f>
        <v>34968.620000000003</v>
      </c>
      <c r="N1269" t="s">
        <v>17</v>
      </c>
      <c r="O1269" t="s">
        <v>18</v>
      </c>
      <c r="P1269" t="s">
        <v>19</v>
      </c>
    </row>
    <row r="1270" spans="1:16" x14ac:dyDescent="0.3">
      <c r="A1270" s="2">
        <v>11269</v>
      </c>
      <c r="B1270" s="2">
        <v>563</v>
      </c>
      <c r="C1270" s="2">
        <v>2050</v>
      </c>
      <c r="D1270" s="2">
        <v>311</v>
      </c>
      <c r="E1270" s="4">
        <v>45599</v>
      </c>
      <c r="F1270" s="4">
        <v>45606</v>
      </c>
      <c r="G1270" s="2">
        <f t="shared" si="19"/>
        <v>7</v>
      </c>
      <c r="H1270" s="2">
        <v>48</v>
      </c>
      <c r="I1270" t="s">
        <v>39</v>
      </c>
      <c r="J1270" t="s">
        <v>21</v>
      </c>
      <c r="K1270" s="2">
        <v>36.43</v>
      </c>
      <c r="L1270" s="3">
        <v>507.16</v>
      </c>
      <c r="M1270" s="3">
        <f>orders_1[[#This Row],[products.Base_Price]]*orders_1[[#This Row],[Quantity]]</f>
        <v>24343.68</v>
      </c>
      <c r="N1270" t="s">
        <v>26</v>
      </c>
      <c r="O1270" t="s">
        <v>10</v>
      </c>
      <c r="P1270" t="s">
        <v>11</v>
      </c>
    </row>
    <row r="1271" spans="1:16" x14ac:dyDescent="0.3">
      <c r="A1271" s="2">
        <v>11270</v>
      </c>
      <c r="B1271" s="2">
        <v>708</v>
      </c>
      <c r="C1271" s="2">
        <v>2063</v>
      </c>
      <c r="D1271" s="2">
        <v>303</v>
      </c>
      <c r="E1271" s="4">
        <v>45335</v>
      </c>
      <c r="F1271" s="4">
        <v>45337</v>
      </c>
      <c r="G1271" s="2">
        <f t="shared" si="19"/>
        <v>2</v>
      </c>
      <c r="H1271" s="2">
        <v>8</v>
      </c>
      <c r="I1271" t="s">
        <v>78</v>
      </c>
      <c r="J1271" t="s">
        <v>9</v>
      </c>
      <c r="K1271" s="2">
        <v>13.23</v>
      </c>
      <c r="L1271" s="3">
        <v>151.69999999999999</v>
      </c>
      <c r="M1271" s="3">
        <f>orders_1[[#This Row],[products.Base_Price]]*orders_1[[#This Row],[Quantity]]</f>
        <v>1213.5999999999999</v>
      </c>
      <c r="N1271" t="s">
        <v>15</v>
      </c>
      <c r="O1271" t="s">
        <v>10</v>
      </c>
      <c r="P1271" t="s">
        <v>16</v>
      </c>
    </row>
    <row r="1272" spans="1:16" x14ac:dyDescent="0.3">
      <c r="A1272" s="2">
        <v>11271</v>
      </c>
      <c r="B1272" s="2">
        <v>765</v>
      </c>
      <c r="C1272" s="2">
        <v>2087</v>
      </c>
      <c r="D1272" s="2">
        <v>307</v>
      </c>
      <c r="E1272" s="4">
        <v>45454</v>
      </c>
      <c r="F1272" s="4">
        <v>45462</v>
      </c>
      <c r="G1272" s="2">
        <f t="shared" si="19"/>
        <v>8</v>
      </c>
      <c r="H1272" s="2">
        <v>75</v>
      </c>
      <c r="I1272" t="s">
        <v>39</v>
      </c>
      <c r="J1272" t="s">
        <v>9</v>
      </c>
      <c r="K1272" s="2">
        <v>35.82</v>
      </c>
      <c r="L1272" s="3">
        <v>47.38</v>
      </c>
      <c r="M1272" s="3">
        <f>orders_1[[#This Row],[products.Base_Price]]*orders_1[[#This Row],[Quantity]]</f>
        <v>3553.5</v>
      </c>
      <c r="N1272" t="s">
        <v>17</v>
      </c>
      <c r="O1272" t="s">
        <v>10</v>
      </c>
      <c r="P1272" t="s">
        <v>11</v>
      </c>
    </row>
    <row r="1273" spans="1:16" x14ac:dyDescent="0.3">
      <c r="A1273" s="2">
        <v>11272</v>
      </c>
      <c r="B1273" s="2">
        <v>548</v>
      </c>
      <c r="C1273" s="2">
        <v>2067</v>
      </c>
      <c r="D1273" s="2">
        <v>319</v>
      </c>
      <c r="E1273" s="4">
        <v>45546</v>
      </c>
      <c r="F1273" s="4">
        <v>45547</v>
      </c>
      <c r="G1273" s="2">
        <f t="shared" si="19"/>
        <v>1</v>
      </c>
      <c r="H1273" s="2">
        <v>42</v>
      </c>
      <c r="I1273" t="s">
        <v>78</v>
      </c>
      <c r="J1273" t="s">
        <v>9</v>
      </c>
      <c r="K1273" s="2">
        <v>24.79</v>
      </c>
      <c r="L1273" s="3">
        <v>48.68</v>
      </c>
      <c r="M1273" s="3">
        <f>orders_1[[#This Row],[products.Base_Price]]*orders_1[[#This Row],[Quantity]]</f>
        <v>2044.56</v>
      </c>
      <c r="N1273" t="s">
        <v>20</v>
      </c>
      <c r="O1273" t="s">
        <v>18</v>
      </c>
      <c r="P1273" t="s">
        <v>11</v>
      </c>
    </row>
    <row r="1274" spans="1:16" x14ac:dyDescent="0.3">
      <c r="A1274" s="2">
        <v>11273</v>
      </c>
      <c r="B1274" s="2">
        <v>773</v>
      </c>
      <c r="C1274" s="2">
        <v>2010</v>
      </c>
      <c r="D1274" s="2">
        <v>307</v>
      </c>
      <c r="E1274" s="4">
        <v>45408</v>
      </c>
      <c r="F1274" s="4">
        <v>45417</v>
      </c>
      <c r="G1274" s="2">
        <f t="shared" si="19"/>
        <v>9</v>
      </c>
      <c r="H1274" s="2">
        <v>2</v>
      </c>
      <c r="I1274" t="s">
        <v>36</v>
      </c>
      <c r="J1274" t="s">
        <v>13</v>
      </c>
      <c r="K1274" s="2">
        <v>9.58</v>
      </c>
      <c r="L1274" s="3">
        <v>440.93</v>
      </c>
      <c r="M1274" s="3">
        <f>orders_1[[#This Row],[products.Base_Price]]*orders_1[[#This Row],[Quantity]]</f>
        <v>881.86</v>
      </c>
      <c r="N1274" t="s">
        <v>17</v>
      </c>
      <c r="O1274" t="s">
        <v>10</v>
      </c>
      <c r="P1274" t="s">
        <v>11</v>
      </c>
    </row>
    <row r="1275" spans="1:16" x14ac:dyDescent="0.3">
      <c r="A1275" s="2">
        <v>11274</v>
      </c>
      <c r="B1275" s="2">
        <v>582</v>
      </c>
      <c r="C1275" s="2">
        <v>2056</v>
      </c>
      <c r="D1275" s="2">
        <v>309</v>
      </c>
      <c r="E1275" s="4">
        <v>45596</v>
      </c>
      <c r="F1275" s="4">
        <v>45603</v>
      </c>
      <c r="G1275" s="2">
        <f t="shared" si="19"/>
        <v>7</v>
      </c>
      <c r="H1275" s="2">
        <v>93</v>
      </c>
      <c r="I1275" t="s">
        <v>78</v>
      </c>
      <c r="J1275" t="s">
        <v>9</v>
      </c>
      <c r="K1275" s="2">
        <v>18.559999999999999</v>
      </c>
      <c r="L1275" s="3">
        <v>564.01</v>
      </c>
      <c r="M1275" s="3">
        <f>orders_1[[#This Row],[products.Base_Price]]*orders_1[[#This Row],[Quantity]]</f>
        <v>52452.93</v>
      </c>
      <c r="N1275" t="s">
        <v>24</v>
      </c>
      <c r="O1275" t="s">
        <v>25</v>
      </c>
      <c r="P1275" t="s">
        <v>16</v>
      </c>
    </row>
    <row r="1276" spans="1:16" x14ac:dyDescent="0.3">
      <c r="A1276" s="2">
        <v>11275</v>
      </c>
      <c r="B1276" s="2">
        <v>891</v>
      </c>
      <c r="C1276" s="2">
        <v>2003</v>
      </c>
      <c r="D1276" s="2">
        <v>305</v>
      </c>
      <c r="E1276" s="4">
        <v>45444</v>
      </c>
      <c r="F1276" s="4">
        <v>45452</v>
      </c>
      <c r="G1276" s="2">
        <f t="shared" si="19"/>
        <v>8</v>
      </c>
      <c r="H1276" s="2">
        <v>80</v>
      </c>
      <c r="I1276" t="s">
        <v>36</v>
      </c>
      <c r="J1276" t="s">
        <v>13</v>
      </c>
      <c r="K1276" s="2">
        <v>39.74</v>
      </c>
      <c r="L1276" s="3">
        <v>864.17</v>
      </c>
      <c r="M1276" s="3">
        <f>orders_1[[#This Row],[products.Base_Price]]*orders_1[[#This Row],[Quantity]]</f>
        <v>69133.599999999991</v>
      </c>
      <c r="N1276" t="s">
        <v>20</v>
      </c>
      <c r="O1276" t="s">
        <v>10</v>
      </c>
      <c r="P1276" t="s">
        <v>19</v>
      </c>
    </row>
    <row r="1277" spans="1:16" x14ac:dyDescent="0.3">
      <c r="A1277" s="2">
        <v>11276</v>
      </c>
      <c r="B1277" s="2">
        <v>776</v>
      </c>
      <c r="C1277" s="2">
        <v>2095</v>
      </c>
      <c r="D1277" s="2">
        <v>311</v>
      </c>
      <c r="E1277" s="4">
        <v>45412</v>
      </c>
      <c r="F1277" s="4">
        <v>45414</v>
      </c>
      <c r="G1277" s="2">
        <f t="shared" si="19"/>
        <v>2</v>
      </c>
      <c r="H1277" s="2">
        <v>71</v>
      </c>
      <c r="I1277" t="s">
        <v>42</v>
      </c>
      <c r="J1277" t="s">
        <v>13</v>
      </c>
      <c r="K1277" s="2">
        <v>38.81</v>
      </c>
      <c r="L1277" s="3">
        <v>761.63</v>
      </c>
      <c r="M1277" s="3">
        <f>orders_1[[#This Row],[products.Base_Price]]*orders_1[[#This Row],[Quantity]]</f>
        <v>54075.73</v>
      </c>
      <c r="N1277" t="s">
        <v>26</v>
      </c>
      <c r="O1277" t="s">
        <v>10</v>
      </c>
      <c r="P1277" t="s">
        <v>11</v>
      </c>
    </row>
    <row r="1278" spans="1:16" x14ac:dyDescent="0.3">
      <c r="A1278" s="2">
        <v>11277</v>
      </c>
      <c r="B1278" s="2">
        <v>697</v>
      </c>
      <c r="C1278" s="2">
        <v>2073</v>
      </c>
      <c r="D1278" s="2">
        <v>310</v>
      </c>
      <c r="E1278" s="4">
        <v>45372</v>
      </c>
      <c r="F1278" s="4">
        <v>45376</v>
      </c>
      <c r="G1278" s="2">
        <f t="shared" si="19"/>
        <v>4</v>
      </c>
      <c r="H1278" s="2">
        <v>79</v>
      </c>
      <c r="I1278" t="s">
        <v>42</v>
      </c>
      <c r="J1278" t="s">
        <v>9</v>
      </c>
      <c r="K1278" s="2">
        <v>11.78</v>
      </c>
      <c r="L1278" s="3">
        <v>416.74</v>
      </c>
      <c r="M1278" s="3">
        <f>orders_1[[#This Row],[products.Base_Price]]*orders_1[[#This Row],[Quantity]]</f>
        <v>32922.46</v>
      </c>
      <c r="N1278" t="s">
        <v>26</v>
      </c>
      <c r="O1278" t="s">
        <v>25</v>
      </c>
      <c r="P1278" t="s">
        <v>11</v>
      </c>
    </row>
    <row r="1279" spans="1:16" x14ac:dyDescent="0.3">
      <c r="A1279" s="2">
        <v>11278</v>
      </c>
      <c r="B1279" s="2">
        <v>837</v>
      </c>
      <c r="C1279" s="2">
        <v>2074</v>
      </c>
      <c r="D1279" s="2">
        <v>305</v>
      </c>
      <c r="E1279" s="4">
        <v>45549</v>
      </c>
      <c r="F1279" s="4">
        <v>45551</v>
      </c>
      <c r="G1279" s="2">
        <f t="shared" si="19"/>
        <v>2</v>
      </c>
      <c r="H1279" s="2">
        <v>48</v>
      </c>
      <c r="I1279" t="s">
        <v>39</v>
      </c>
      <c r="J1279" t="s">
        <v>13</v>
      </c>
      <c r="K1279" s="2">
        <v>41.45</v>
      </c>
      <c r="L1279" s="3">
        <v>650.42999999999995</v>
      </c>
      <c r="M1279" s="3">
        <f>orders_1[[#This Row],[products.Base_Price]]*orders_1[[#This Row],[Quantity]]</f>
        <v>31220.639999999999</v>
      </c>
      <c r="N1279" t="s">
        <v>20</v>
      </c>
      <c r="O1279" t="s">
        <v>10</v>
      </c>
      <c r="P1279" t="s">
        <v>19</v>
      </c>
    </row>
    <row r="1280" spans="1:16" x14ac:dyDescent="0.3">
      <c r="A1280" s="2">
        <v>11279</v>
      </c>
      <c r="B1280" s="2">
        <v>866</v>
      </c>
      <c r="C1280" s="2">
        <v>2094</v>
      </c>
      <c r="D1280" s="2">
        <v>309</v>
      </c>
      <c r="E1280" s="4">
        <v>45625</v>
      </c>
      <c r="F1280" s="4">
        <v>45633</v>
      </c>
      <c r="G1280" s="2">
        <f t="shared" si="19"/>
        <v>8</v>
      </c>
      <c r="H1280" s="2">
        <v>54</v>
      </c>
      <c r="I1280" t="s">
        <v>78</v>
      </c>
      <c r="J1280" t="s">
        <v>27</v>
      </c>
      <c r="K1280" s="2">
        <v>22.56</v>
      </c>
      <c r="L1280" s="3">
        <v>393.53</v>
      </c>
      <c r="M1280" s="3">
        <f>orders_1[[#This Row],[products.Base_Price]]*orders_1[[#This Row],[Quantity]]</f>
        <v>21250.62</v>
      </c>
      <c r="N1280" t="s">
        <v>24</v>
      </c>
      <c r="O1280" t="s">
        <v>25</v>
      </c>
      <c r="P1280" t="s">
        <v>16</v>
      </c>
    </row>
    <row r="1281" spans="1:16" x14ac:dyDescent="0.3">
      <c r="A1281" s="2">
        <v>11280</v>
      </c>
      <c r="B1281" s="2">
        <v>546</v>
      </c>
      <c r="C1281" s="2">
        <v>2046</v>
      </c>
      <c r="D1281" s="2">
        <v>315</v>
      </c>
      <c r="E1281" s="4">
        <v>45646</v>
      </c>
      <c r="F1281" s="4">
        <v>45648</v>
      </c>
      <c r="G1281" s="2">
        <f t="shared" si="19"/>
        <v>2</v>
      </c>
      <c r="H1281" s="2">
        <v>54</v>
      </c>
      <c r="I1281" t="s">
        <v>39</v>
      </c>
      <c r="J1281" t="s">
        <v>27</v>
      </c>
      <c r="K1281" s="2">
        <v>38.130000000000003</v>
      </c>
      <c r="L1281" s="3">
        <v>649.34</v>
      </c>
      <c r="M1281" s="3">
        <f>orders_1[[#This Row],[products.Base_Price]]*orders_1[[#This Row],[Quantity]]</f>
        <v>35064.36</v>
      </c>
      <c r="N1281" t="s">
        <v>15</v>
      </c>
      <c r="O1281" t="s">
        <v>25</v>
      </c>
      <c r="P1281" t="s">
        <v>19</v>
      </c>
    </row>
    <row r="1282" spans="1:16" x14ac:dyDescent="0.3">
      <c r="A1282" s="2">
        <v>11281</v>
      </c>
      <c r="B1282" s="2">
        <v>727</v>
      </c>
      <c r="C1282" s="2">
        <v>2041</v>
      </c>
      <c r="D1282" s="2">
        <v>318</v>
      </c>
      <c r="E1282" s="4">
        <v>45410</v>
      </c>
      <c r="F1282" s="4">
        <v>45412</v>
      </c>
      <c r="G1282" s="2">
        <f t="shared" ref="G1282:G1345" si="20">F1282-E1282</f>
        <v>2</v>
      </c>
      <c r="H1282" s="2">
        <v>9</v>
      </c>
      <c r="I1282" t="s">
        <v>42</v>
      </c>
      <c r="J1282" t="s">
        <v>22</v>
      </c>
      <c r="K1282" s="2">
        <v>48.2</v>
      </c>
      <c r="L1282" s="3">
        <v>792.77</v>
      </c>
      <c r="M1282" s="3">
        <f>orders_1[[#This Row],[products.Base_Price]]*orders_1[[#This Row],[Quantity]]</f>
        <v>7134.93</v>
      </c>
      <c r="N1282" t="s">
        <v>17</v>
      </c>
      <c r="O1282" t="s">
        <v>10</v>
      </c>
      <c r="P1282" t="s">
        <v>19</v>
      </c>
    </row>
    <row r="1283" spans="1:16" x14ac:dyDescent="0.3">
      <c r="A1283" s="2">
        <v>11282</v>
      </c>
      <c r="B1283" s="2">
        <v>720</v>
      </c>
      <c r="C1283" s="2">
        <v>2079</v>
      </c>
      <c r="D1283" s="2">
        <v>320</v>
      </c>
      <c r="E1283" s="4">
        <v>45507</v>
      </c>
      <c r="F1283" s="4">
        <v>45509</v>
      </c>
      <c r="G1283" s="2">
        <f t="shared" si="20"/>
        <v>2</v>
      </c>
      <c r="H1283" s="2">
        <v>61</v>
      </c>
      <c r="I1283" t="s">
        <v>39</v>
      </c>
      <c r="J1283" t="s">
        <v>22</v>
      </c>
      <c r="K1283" s="2">
        <v>12.3</v>
      </c>
      <c r="L1283" s="3">
        <v>99.7</v>
      </c>
      <c r="M1283" s="3">
        <f>orders_1[[#This Row],[products.Base_Price]]*orders_1[[#This Row],[Quantity]]</f>
        <v>6081.7</v>
      </c>
      <c r="N1283" t="s">
        <v>15</v>
      </c>
      <c r="O1283" t="s">
        <v>25</v>
      </c>
      <c r="P1283" t="s">
        <v>11</v>
      </c>
    </row>
    <row r="1284" spans="1:16" x14ac:dyDescent="0.3">
      <c r="A1284" s="2">
        <v>11283</v>
      </c>
      <c r="B1284" s="2">
        <v>841</v>
      </c>
      <c r="C1284" s="2">
        <v>2095</v>
      </c>
      <c r="D1284" s="2">
        <v>315</v>
      </c>
      <c r="E1284" s="4">
        <v>45636</v>
      </c>
      <c r="F1284" s="4">
        <v>45637</v>
      </c>
      <c r="G1284" s="2">
        <f t="shared" si="20"/>
        <v>1</v>
      </c>
      <c r="H1284" s="2">
        <v>70</v>
      </c>
      <c r="I1284" t="s">
        <v>36</v>
      </c>
      <c r="J1284" t="s">
        <v>13</v>
      </c>
      <c r="K1284" s="2">
        <v>38.81</v>
      </c>
      <c r="L1284" s="3">
        <v>761.63</v>
      </c>
      <c r="M1284" s="3">
        <f>orders_1[[#This Row],[products.Base_Price]]*orders_1[[#This Row],[Quantity]]</f>
        <v>53314.1</v>
      </c>
      <c r="N1284" t="s">
        <v>15</v>
      </c>
      <c r="O1284" t="s">
        <v>25</v>
      </c>
      <c r="P1284" t="s">
        <v>19</v>
      </c>
    </row>
    <row r="1285" spans="1:16" x14ac:dyDescent="0.3">
      <c r="A1285" s="2">
        <v>11284</v>
      </c>
      <c r="B1285" s="2">
        <v>729</v>
      </c>
      <c r="C1285" s="2">
        <v>2040</v>
      </c>
      <c r="D1285" s="2">
        <v>316</v>
      </c>
      <c r="E1285" s="4">
        <v>45630</v>
      </c>
      <c r="F1285" s="4">
        <v>45633</v>
      </c>
      <c r="G1285" s="2">
        <f t="shared" si="20"/>
        <v>3</v>
      </c>
      <c r="H1285" s="2">
        <v>80</v>
      </c>
      <c r="I1285" t="s">
        <v>78</v>
      </c>
      <c r="J1285" t="s">
        <v>27</v>
      </c>
      <c r="K1285" s="2">
        <v>3.71</v>
      </c>
      <c r="L1285" s="3">
        <v>27.53</v>
      </c>
      <c r="M1285" s="3">
        <f>orders_1[[#This Row],[products.Base_Price]]*orders_1[[#This Row],[Quantity]]</f>
        <v>2202.4</v>
      </c>
      <c r="N1285" t="s">
        <v>24</v>
      </c>
      <c r="O1285" t="s">
        <v>25</v>
      </c>
      <c r="P1285" t="s">
        <v>19</v>
      </c>
    </row>
    <row r="1286" spans="1:16" x14ac:dyDescent="0.3">
      <c r="A1286" s="2">
        <v>11285</v>
      </c>
      <c r="B1286" s="2">
        <v>808</v>
      </c>
      <c r="C1286" s="2">
        <v>2026</v>
      </c>
      <c r="D1286" s="2">
        <v>319</v>
      </c>
      <c r="E1286" s="4">
        <v>45592</v>
      </c>
      <c r="F1286" s="4">
        <v>45598</v>
      </c>
      <c r="G1286" s="2">
        <f t="shared" si="20"/>
        <v>6</v>
      </c>
      <c r="H1286" s="2">
        <v>31</v>
      </c>
      <c r="I1286" t="s">
        <v>78</v>
      </c>
      <c r="J1286" t="s">
        <v>22</v>
      </c>
      <c r="K1286" s="2">
        <v>23.02</v>
      </c>
      <c r="L1286" s="3">
        <v>858.57</v>
      </c>
      <c r="M1286" s="3">
        <f>orders_1[[#This Row],[products.Base_Price]]*orders_1[[#This Row],[Quantity]]</f>
        <v>26615.670000000002</v>
      </c>
      <c r="N1286" t="s">
        <v>20</v>
      </c>
      <c r="O1286" t="s">
        <v>18</v>
      </c>
      <c r="P1286" t="s">
        <v>11</v>
      </c>
    </row>
    <row r="1287" spans="1:16" x14ac:dyDescent="0.3">
      <c r="A1287" s="2">
        <v>11286</v>
      </c>
      <c r="B1287" s="2">
        <v>717</v>
      </c>
      <c r="C1287" s="2">
        <v>2021</v>
      </c>
      <c r="D1287" s="2">
        <v>315</v>
      </c>
      <c r="E1287" s="4">
        <v>45328</v>
      </c>
      <c r="F1287" s="4">
        <v>45336</v>
      </c>
      <c r="G1287" s="2">
        <f t="shared" si="20"/>
        <v>8</v>
      </c>
      <c r="H1287" s="2">
        <v>50</v>
      </c>
      <c r="I1287" t="s">
        <v>39</v>
      </c>
      <c r="J1287" t="s">
        <v>9</v>
      </c>
      <c r="K1287" s="2">
        <v>18.77</v>
      </c>
      <c r="L1287" s="3">
        <v>259.72000000000003</v>
      </c>
      <c r="M1287" s="3">
        <f>orders_1[[#This Row],[products.Base_Price]]*orders_1[[#This Row],[Quantity]]</f>
        <v>12986.000000000002</v>
      </c>
      <c r="N1287" t="s">
        <v>15</v>
      </c>
      <c r="O1287" t="s">
        <v>25</v>
      </c>
      <c r="P1287" t="s">
        <v>19</v>
      </c>
    </row>
    <row r="1288" spans="1:16" x14ac:dyDescent="0.3">
      <c r="A1288" s="2">
        <v>11287</v>
      </c>
      <c r="B1288" s="2">
        <v>816</v>
      </c>
      <c r="C1288" s="2">
        <v>2097</v>
      </c>
      <c r="D1288" s="2">
        <v>318</v>
      </c>
      <c r="E1288" s="4">
        <v>45598</v>
      </c>
      <c r="F1288" s="4">
        <v>45602</v>
      </c>
      <c r="G1288" s="2">
        <f t="shared" si="20"/>
        <v>4</v>
      </c>
      <c r="H1288" s="2">
        <v>89</v>
      </c>
      <c r="I1288" t="s">
        <v>39</v>
      </c>
      <c r="J1288" t="s">
        <v>27</v>
      </c>
      <c r="K1288" s="2">
        <v>30.63</v>
      </c>
      <c r="L1288" s="3">
        <v>828.74</v>
      </c>
      <c r="M1288" s="3">
        <f>orders_1[[#This Row],[products.Base_Price]]*orders_1[[#This Row],[Quantity]]</f>
        <v>73757.86</v>
      </c>
      <c r="N1288" t="s">
        <v>17</v>
      </c>
      <c r="O1288" t="s">
        <v>10</v>
      </c>
      <c r="P1288" t="s">
        <v>19</v>
      </c>
    </row>
    <row r="1289" spans="1:16" x14ac:dyDescent="0.3">
      <c r="A1289" s="2">
        <v>11288</v>
      </c>
      <c r="B1289" s="2">
        <v>533</v>
      </c>
      <c r="C1289" s="2">
        <v>2038</v>
      </c>
      <c r="D1289" s="2">
        <v>306</v>
      </c>
      <c r="E1289" s="4">
        <v>45404</v>
      </c>
      <c r="F1289" s="4">
        <v>45411</v>
      </c>
      <c r="G1289" s="2">
        <f t="shared" si="20"/>
        <v>7</v>
      </c>
      <c r="H1289" s="2">
        <v>61</v>
      </c>
      <c r="I1289" t="s">
        <v>36</v>
      </c>
      <c r="J1289" t="s">
        <v>27</v>
      </c>
      <c r="K1289" s="2">
        <v>26.62</v>
      </c>
      <c r="L1289" s="3">
        <v>680</v>
      </c>
      <c r="M1289" s="3">
        <f>orders_1[[#This Row],[products.Base_Price]]*orders_1[[#This Row],[Quantity]]</f>
        <v>41480</v>
      </c>
      <c r="N1289" t="s">
        <v>8</v>
      </c>
      <c r="O1289" t="s">
        <v>10</v>
      </c>
      <c r="P1289" t="s">
        <v>16</v>
      </c>
    </row>
    <row r="1290" spans="1:16" x14ac:dyDescent="0.3">
      <c r="A1290" s="2">
        <v>11289</v>
      </c>
      <c r="B1290" s="2">
        <v>745</v>
      </c>
      <c r="C1290" s="2">
        <v>2014</v>
      </c>
      <c r="D1290" s="2">
        <v>304</v>
      </c>
      <c r="E1290" s="4">
        <v>45640</v>
      </c>
      <c r="F1290" s="4">
        <v>45644</v>
      </c>
      <c r="G1290" s="2">
        <f t="shared" si="20"/>
        <v>4</v>
      </c>
      <c r="H1290" s="2">
        <v>52</v>
      </c>
      <c r="I1290" t="s">
        <v>78</v>
      </c>
      <c r="J1290" t="s">
        <v>27</v>
      </c>
      <c r="K1290" s="2">
        <v>12.2</v>
      </c>
      <c r="L1290" s="3">
        <v>652.53</v>
      </c>
      <c r="M1290" s="3">
        <f>orders_1[[#This Row],[products.Base_Price]]*orders_1[[#This Row],[Quantity]]</f>
        <v>33931.56</v>
      </c>
      <c r="N1290" t="s">
        <v>17</v>
      </c>
      <c r="O1290" t="s">
        <v>18</v>
      </c>
      <c r="P1290" t="s">
        <v>19</v>
      </c>
    </row>
    <row r="1291" spans="1:16" x14ac:dyDescent="0.3">
      <c r="A1291" s="2">
        <v>11290</v>
      </c>
      <c r="B1291" s="2">
        <v>870</v>
      </c>
      <c r="C1291" s="2">
        <v>2086</v>
      </c>
      <c r="D1291" s="2">
        <v>309</v>
      </c>
      <c r="E1291" s="4">
        <v>45382</v>
      </c>
      <c r="F1291" s="4">
        <v>45390</v>
      </c>
      <c r="G1291" s="2">
        <f t="shared" si="20"/>
        <v>8</v>
      </c>
      <c r="H1291" s="2">
        <v>85</v>
      </c>
      <c r="I1291" t="s">
        <v>36</v>
      </c>
      <c r="J1291" t="s">
        <v>27</v>
      </c>
      <c r="K1291" s="2">
        <v>27.73</v>
      </c>
      <c r="L1291" s="3">
        <v>417.42</v>
      </c>
      <c r="M1291" s="3">
        <f>orders_1[[#This Row],[products.Base_Price]]*orders_1[[#This Row],[Quantity]]</f>
        <v>35480.700000000004</v>
      </c>
      <c r="N1291" t="s">
        <v>24</v>
      </c>
      <c r="O1291" t="s">
        <v>25</v>
      </c>
      <c r="P1291" t="s">
        <v>16</v>
      </c>
    </row>
    <row r="1292" spans="1:16" x14ac:dyDescent="0.3">
      <c r="A1292" s="2">
        <v>11291</v>
      </c>
      <c r="B1292" s="2">
        <v>676</v>
      </c>
      <c r="C1292" s="2">
        <v>2082</v>
      </c>
      <c r="D1292" s="2">
        <v>305</v>
      </c>
      <c r="E1292" s="4">
        <v>45554</v>
      </c>
      <c r="F1292" s="4">
        <v>45563</v>
      </c>
      <c r="G1292" s="2">
        <f t="shared" si="20"/>
        <v>9</v>
      </c>
      <c r="H1292" s="2">
        <v>66</v>
      </c>
      <c r="I1292" t="s">
        <v>39</v>
      </c>
      <c r="J1292" t="s">
        <v>22</v>
      </c>
      <c r="K1292" s="2">
        <v>41.79</v>
      </c>
      <c r="L1292" s="3">
        <v>352.17</v>
      </c>
      <c r="M1292" s="3">
        <f>orders_1[[#This Row],[products.Base_Price]]*orders_1[[#This Row],[Quantity]]</f>
        <v>23243.22</v>
      </c>
      <c r="N1292" t="s">
        <v>20</v>
      </c>
      <c r="O1292" t="s">
        <v>10</v>
      </c>
      <c r="P1292" t="s">
        <v>19</v>
      </c>
    </row>
    <row r="1293" spans="1:16" x14ac:dyDescent="0.3">
      <c r="A1293" s="2">
        <v>11292</v>
      </c>
      <c r="B1293" s="2">
        <v>854</v>
      </c>
      <c r="C1293" s="2">
        <v>2076</v>
      </c>
      <c r="D1293" s="2">
        <v>314</v>
      </c>
      <c r="E1293" s="4">
        <v>45570</v>
      </c>
      <c r="F1293" s="4">
        <v>45572</v>
      </c>
      <c r="G1293" s="2">
        <f t="shared" si="20"/>
        <v>2</v>
      </c>
      <c r="H1293" s="2">
        <v>68</v>
      </c>
      <c r="I1293" t="s">
        <v>36</v>
      </c>
      <c r="J1293" t="s">
        <v>13</v>
      </c>
      <c r="K1293" s="2">
        <v>14.63</v>
      </c>
      <c r="L1293" s="3">
        <v>638.11</v>
      </c>
      <c r="M1293" s="3">
        <f>orders_1[[#This Row],[products.Base_Price]]*orders_1[[#This Row],[Quantity]]</f>
        <v>43391.48</v>
      </c>
      <c r="N1293" t="s">
        <v>17</v>
      </c>
      <c r="O1293" t="s">
        <v>14</v>
      </c>
      <c r="P1293" t="s">
        <v>19</v>
      </c>
    </row>
    <row r="1294" spans="1:16" x14ac:dyDescent="0.3">
      <c r="A1294" s="2">
        <v>11293</v>
      </c>
      <c r="B1294" s="2">
        <v>670</v>
      </c>
      <c r="C1294" s="2">
        <v>2007</v>
      </c>
      <c r="D1294" s="2">
        <v>310</v>
      </c>
      <c r="E1294" s="4">
        <v>45476</v>
      </c>
      <c r="F1294" s="4">
        <v>45480</v>
      </c>
      <c r="G1294" s="2">
        <f t="shared" si="20"/>
        <v>4</v>
      </c>
      <c r="H1294" s="2">
        <v>70</v>
      </c>
      <c r="I1294" t="s">
        <v>42</v>
      </c>
      <c r="J1294" t="s">
        <v>21</v>
      </c>
      <c r="K1294" s="2">
        <v>48.07</v>
      </c>
      <c r="L1294" s="3">
        <v>759.78</v>
      </c>
      <c r="M1294" s="3">
        <f>orders_1[[#This Row],[products.Base_Price]]*orders_1[[#This Row],[Quantity]]</f>
        <v>53184.6</v>
      </c>
      <c r="N1294" t="s">
        <v>26</v>
      </c>
      <c r="O1294" t="s">
        <v>25</v>
      </c>
      <c r="P1294" t="s">
        <v>11</v>
      </c>
    </row>
    <row r="1295" spans="1:16" x14ac:dyDescent="0.3">
      <c r="A1295" s="2">
        <v>11294</v>
      </c>
      <c r="B1295" s="2">
        <v>849</v>
      </c>
      <c r="C1295" s="2">
        <v>2070</v>
      </c>
      <c r="D1295" s="2">
        <v>318</v>
      </c>
      <c r="E1295" s="4">
        <v>45427</v>
      </c>
      <c r="F1295" s="4">
        <v>45429</v>
      </c>
      <c r="G1295" s="2">
        <f t="shared" si="20"/>
        <v>2</v>
      </c>
      <c r="H1295" s="2">
        <v>56</v>
      </c>
      <c r="I1295" t="s">
        <v>39</v>
      </c>
      <c r="J1295" t="s">
        <v>22</v>
      </c>
      <c r="K1295" s="2">
        <v>22.6</v>
      </c>
      <c r="L1295" s="3">
        <v>196.67</v>
      </c>
      <c r="M1295" s="3">
        <f>orders_1[[#This Row],[products.Base_Price]]*orders_1[[#This Row],[Quantity]]</f>
        <v>11013.519999999999</v>
      </c>
      <c r="N1295" t="s">
        <v>17</v>
      </c>
      <c r="O1295" t="s">
        <v>10</v>
      </c>
      <c r="P1295" t="s">
        <v>19</v>
      </c>
    </row>
    <row r="1296" spans="1:16" x14ac:dyDescent="0.3">
      <c r="A1296" s="2">
        <v>11295</v>
      </c>
      <c r="B1296" s="2">
        <v>879</v>
      </c>
      <c r="C1296" s="2">
        <v>2048</v>
      </c>
      <c r="D1296" s="2">
        <v>320</v>
      </c>
      <c r="E1296" s="4">
        <v>45584</v>
      </c>
      <c r="F1296" s="4">
        <v>45585</v>
      </c>
      <c r="G1296" s="2">
        <f t="shared" si="20"/>
        <v>1</v>
      </c>
      <c r="H1296" s="2">
        <v>10</v>
      </c>
      <c r="I1296" t="s">
        <v>39</v>
      </c>
      <c r="J1296" t="s">
        <v>22</v>
      </c>
      <c r="K1296" s="2">
        <v>6.74</v>
      </c>
      <c r="L1296" s="3">
        <v>864.57</v>
      </c>
      <c r="M1296" s="3">
        <f>orders_1[[#This Row],[products.Base_Price]]*orders_1[[#This Row],[Quantity]]</f>
        <v>8645.7000000000007</v>
      </c>
      <c r="N1296" t="s">
        <v>15</v>
      </c>
      <c r="O1296" t="s">
        <v>25</v>
      </c>
      <c r="P1296" t="s">
        <v>11</v>
      </c>
    </row>
    <row r="1297" spans="1:16" x14ac:dyDescent="0.3">
      <c r="A1297" s="2">
        <v>11296</v>
      </c>
      <c r="B1297" s="2">
        <v>675</v>
      </c>
      <c r="C1297" s="2">
        <v>2092</v>
      </c>
      <c r="D1297" s="2">
        <v>307</v>
      </c>
      <c r="E1297" s="4">
        <v>45649</v>
      </c>
      <c r="F1297" s="4">
        <v>45656</v>
      </c>
      <c r="G1297" s="2">
        <f t="shared" si="20"/>
        <v>7</v>
      </c>
      <c r="H1297" s="2">
        <v>59</v>
      </c>
      <c r="I1297" t="s">
        <v>42</v>
      </c>
      <c r="J1297" t="s">
        <v>22</v>
      </c>
      <c r="K1297" s="2">
        <v>30.97</v>
      </c>
      <c r="L1297" s="3">
        <v>521.23</v>
      </c>
      <c r="M1297" s="3">
        <f>orders_1[[#This Row],[products.Base_Price]]*orders_1[[#This Row],[Quantity]]</f>
        <v>30752.57</v>
      </c>
      <c r="N1297" t="s">
        <v>17</v>
      </c>
      <c r="O1297" t="s">
        <v>10</v>
      </c>
      <c r="P1297" t="s">
        <v>11</v>
      </c>
    </row>
    <row r="1298" spans="1:16" x14ac:dyDescent="0.3">
      <c r="A1298" s="2">
        <v>11297</v>
      </c>
      <c r="B1298" s="2">
        <v>540</v>
      </c>
      <c r="C1298" s="2">
        <v>2009</v>
      </c>
      <c r="D1298" s="2">
        <v>309</v>
      </c>
      <c r="E1298" s="4">
        <v>45427</v>
      </c>
      <c r="F1298" s="4">
        <v>45434</v>
      </c>
      <c r="G1298" s="2">
        <f t="shared" si="20"/>
        <v>7</v>
      </c>
      <c r="H1298" s="2">
        <v>87</v>
      </c>
      <c r="I1298" t="s">
        <v>39</v>
      </c>
      <c r="J1298" t="s">
        <v>21</v>
      </c>
      <c r="K1298" s="2">
        <v>16.82</v>
      </c>
      <c r="L1298" s="3">
        <v>376.01</v>
      </c>
      <c r="M1298" s="3">
        <f>orders_1[[#This Row],[products.Base_Price]]*orders_1[[#This Row],[Quantity]]</f>
        <v>32712.87</v>
      </c>
      <c r="N1298" t="s">
        <v>24</v>
      </c>
      <c r="O1298" t="s">
        <v>25</v>
      </c>
      <c r="P1298" t="s">
        <v>16</v>
      </c>
    </row>
    <row r="1299" spans="1:16" x14ac:dyDescent="0.3">
      <c r="A1299" s="2">
        <v>11298</v>
      </c>
      <c r="B1299" s="2">
        <v>526</v>
      </c>
      <c r="C1299" s="2">
        <v>2012</v>
      </c>
      <c r="D1299" s="2">
        <v>312</v>
      </c>
      <c r="E1299" s="4">
        <v>45499</v>
      </c>
      <c r="F1299" s="4">
        <v>45507</v>
      </c>
      <c r="G1299" s="2">
        <f t="shared" si="20"/>
        <v>8</v>
      </c>
      <c r="H1299" s="2">
        <v>57</v>
      </c>
      <c r="I1299" t="s">
        <v>78</v>
      </c>
      <c r="J1299" t="s">
        <v>21</v>
      </c>
      <c r="K1299" s="2">
        <v>34.93</v>
      </c>
      <c r="L1299" s="3">
        <v>327.92</v>
      </c>
      <c r="M1299" s="3">
        <f>orders_1[[#This Row],[products.Base_Price]]*orders_1[[#This Row],[Quantity]]</f>
        <v>18691.440000000002</v>
      </c>
      <c r="N1299" t="s">
        <v>15</v>
      </c>
      <c r="O1299" t="s">
        <v>10</v>
      </c>
      <c r="P1299" t="s">
        <v>11</v>
      </c>
    </row>
    <row r="1300" spans="1:16" x14ac:dyDescent="0.3">
      <c r="A1300" s="2">
        <v>11299</v>
      </c>
      <c r="B1300" s="2">
        <v>753</v>
      </c>
      <c r="C1300" s="2">
        <v>2098</v>
      </c>
      <c r="D1300" s="2">
        <v>308</v>
      </c>
      <c r="E1300" s="4">
        <v>45425</v>
      </c>
      <c r="F1300" s="4">
        <v>45431</v>
      </c>
      <c r="G1300" s="2">
        <f t="shared" si="20"/>
        <v>6</v>
      </c>
      <c r="H1300" s="2">
        <v>41</v>
      </c>
      <c r="I1300" t="s">
        <v>78</v>
      </c>
      <c r="J1300" t="s">
        <v>13</v>
      </c>
      <c r="K1300" s="2">
        <v>25.35</v>
      </c>
      <c r="L1300" s="3">
        <v>571.58000000000004</v>
      </c>
      <c r="M1300" s="3">
        <f>orders_1[[#This Row],[products.Base_Price]]*orders_1[[#This Row],[Quantity]]</f>
        <v>23434.780000000002</v>
      </c>
      <c r="N1300" t="s">
        <v>23</v>
      </c>
      <c r="O1300" t="s">
        <v>14</v>
      </c>
      <c r="P1300" t="s">
        <v>19</v>
      </c>
    </row>
    <row r="1301" spans="1:16" x14ac:dyDescent="0.3">
      <c r="A1301" s="2">
        <v>11300</v>
      </c>
      <c r="B1301" s="2">
        <v>744</v>
      </c>
      <c r="C1301" s="2">
        <v>2045</v>
      </c>
      <c r="D1301" s="2">
        <v>306</v>
      </c>
      <c r="E1301" s="4">
        <v>45435</v>
      </c>
      <c r="F1301" s="4">
        <v>45436</v>
      </c>
      <c r="G1301" s="2">
        <f t="shared" si="20"/>
        <v>1</v>
      </c>
      <c r="H1301" s="2">
        <v>86</v>
      </c>
      <c r="I1301" t="s">
        <v>42</v>
      </c>
      <c r="J1301" t="s">
        <v>9</v>
      </c>
      <c r="K1301" s="2">
        <v>41.3</v>
      </c>
      <c r="L1301" s="3">
        <v>652.61</v>
      </c>
      <c r="M1301" s="3">
        <f>orders_1[[#This Row],[products.Base_Price]]*orders_1[[#This Row],[Quantity]]</f>
        <v>56124.46</v>
      </c>
      <c r="N1301" t="s">
        <v>8</v>
      </c>
      <c r="O1301" t="s">
        <v>10</v>
      </c>
      <c r="P1301" t="s">
        <v>16</v>
      </c>
    </row>
    <row r="1302" spans="1:16" x14ac:dyDescent="0.3">
      <c r="A1302" s="2">
        <v>11301</v>
      </c>
      <c r="B1302" s="2">
        <v>637</v>
      </c>
      <c r="C1302" s="2">
        <v>2041</v>
      </c>
      <c r="D1302" s="2">
        <v>313</v>
      </c>
      <c r="E1302" s="4">
        <v>45601</v>
      </c>
      <c r="F1302" s="4">
        <v>45608</v>
      </c>
      <c r="G1302" s="2">
        <f t="shared" si="20"/>
        <v>7</v>
      </c>
      <c r="H1302" s="2">
        <v>22</v>
      </c>
      <c r="I1302" t="s">
        <v>36</v>
      </c>
      <c r="J1302" t="s">
        <v>22</v>
      </c>
      <c r="K1302" s="2">
        <v>48.2</v>
      </c>
      <c r="L1302" s="3">
        <v>792.77</v>
      </c>
      <c r="M1302" s="3">
        <f>orders_1[[#This Row],[products.Base_Price]]*orders_1[[#This Row],[Quantity]]</f>
        <v>17440.939999999999</v>
      </c>
      <c r="N1302" t="s">
        <v>15</v>
      </c>
      <c r="O1302" t="s">
        <v>25</v>
      </c>
      <c r="P1302" t="s">
        <v>16</v>
      </c>
    </row>
    <row r="1303" spans="1:16" x14ac:dyDescent="0.3">
      <c r="A1303" s="2">
        <v>11302</v>
      </c>
      <c r="B1303" s="2">
        <v>555</v>
      </c>
      <c r="C1303" s="2">
        <v>2097</v>
      </c>
      <c r="D1303" s="2">
        <v>307</v>
      </c>
      <c r="E1303" s="4">
        <v>45462</v>
      </c>
      <c r="F1303" s="4">
        <v>45469</v>
      </c>
      <c r="G1303" s="2">
        <f t="shared" si="20"/>
        <v>7</v>
      </c>
      <c r="H1303" s="2">
        <v>31</v>
      </c>
      <c r="I1303" t="s">
        <v>78</v>
      </c>
      <c r="J1303" t="s">
        <v>27</v>
      </c>
      <c r="K1303" s="2">
        <v>30.63</v>
      </c>
      <c r="L1303" s="3">
        <v>828.74</v>
      </c>
      <c r="M1303" s="3">
        <f>orders_1[[#This Row],[products.Base_Price]]*orders_1[[#This Row],[Quantity]]</f>
        <v>25690.94</v>
      </c>
      <c r="N1303" t="s">
        <v>17</v>
      </c>
      <c r="O1303" t="s">
        <v>10</v>
      </c>
      <c r="P1303" t="s">
        <v>11</v>
      </c>
    </row>
    <row r="1304" spans="1:16" x14ac:dyDescent="0.3">
      <c r="A1304" s="2">
        <v>11303</v>
      </c>
      <c r="B1304" s="2">
        <v>509</v>
      </c>
      <c r="C1304" s="2">
        <v>2027</v>
      </c>
      <c r="D1304" s="2">
        <v>315</v>
      </c>
      <c r="E1304" s="4">
        <v>45335</v>
      </c>
      <c r="F1304" s="4">
        <v>45342</v>
      </c>
      <c r="G1304" s="2">
        <f t="shared" si="20"/>
        <v>7</v>
      </c>
      <c r="H1304" s="2">
        <v>11</v>
      </c>
      <c r="I1304" t="s">
        <v>42</v>
      </c>
      <c r="J1304" t="s">
        <v>13</v>
      </c>
      <c r="K1304" s="2">
        <v>45.95</v>
      </c>
      <c r="L1304" s="3">
        <v>454.58</v>
      </c>
      <c r="M1304" s="3">
        <f>orders_1[[#This Row],[products.Base_Price]]*orders_1[[#This Row],[Quantity]]</f>
        <v>5000.38</v>
      </c>
      <c r="N1304" t="s">
        <v>15</v>
      </c>
      <c r="O1304" t="s">
        <v>25</v>
      </c>
      <c r="P1304" t="s">
        <v>19</v>
      </c>
    </row>
    <row r="1305" spans="1:16" x14ac:dyDescent="0.3">
      <c r="A1305" s="2">
        <v>11304</v>
      </c>
      <c r="B1305" s="2">
        <v>865</v>
      </c>
      <c r="C1305" s="2">
        <v>2030</v>
      </c>
      <c r="D1305" s="2">
        <v>309</v>
      </c>
      <c r="E1305" s="4">
        <v>45322</v>
      </c>
      <c r="F1305" s="4">
        <v>45327</v>
      </c>
      <c r="G1305" s="2">
        <f t="shared" si="20"/>
        <v>5</v>
      </c>
      <c r="H1305" s="2">
        <v>32</v>
      </c>
      <c r="I1305" t="s">
        <v>36</v>
      </c>
      <c r="J1305" t="s">
        <v>13</v>
      </c>
      <c r="K1305" s="2">
        <v>27.52</v>
      </c>
      <c r="L1305" s="3">
        <v>537.03</v>
      </c>
      <c r="M1305" s="3">
        <f>orders_1[[#This Row],[products.Base_Price]]*orders_1[[#This Row],[Quantity]]</f>
        <v>17184.96</v>
      </c>
      <c r="N1305" t="s">
        <v>24</v>
      </c>
      <c r="O1305" t="s">
        <v>25</v>
      </c>
      <c r="P1305" t="s">
        <v>16</v>
      </c>
    </row>
    <row r="1306" spans="1:16" x14ac:dyDescent="0.3">
      <c r="A1306" s="2">
        <v>11305</v>
      </c>
      <c r="B1306" s="2">
        <v>640</v>
      </c>
      <c r="C1306" s="2">
        <v>2079</v>
      </c>
      <c r="D1306" s="2">
        <v>318</v>
      </c>
      <c r="E1306" s="4">
        <v>45299</v>
      </c>
      <c r="F1306" s="4">
        <v>45308</v>
      </c>
      <c r="G1306" s="2">
        <f t="shared" si="20"/>
        <v>9</v>
      </c>
      <c r="H1306" s="2">
        <v>65</v>
      </c>
      <c r="I1306" t="s">
        <v>36</v>
      </c>
      <c r="J1306" t="s">
        <v>22</v>
      </c>
      <c r="K1306" s="2">
        <v>12.3</v>
      </c>
      <c r="L1306" s="3">
        <v>99.7</v>
      </c>
      <c r="M1306" s="3">
        <f>orders_1[[#This Row],[products.Base_Price]]*orders_1[[#This Row],[Quantity]]</f>
        <v>6480.5</v>
      </c>
      <c r="N1306" t="s">
        <v>17</v>
      </c>
      <c r="O1306" t="s">
        <v>10</v>
      </c>
      <c r="P1306" t="s">
        <v>19</v>
      </c>
    </row>
    <row r="1307" spans="1:16" x14ac:dyDescent="0.3">
      <c r="A1307" s="2">
        <v>11306</v>
      </c>
      <c r="B1307" s="2">
        <v>830</v>
      </c>
      <c r="C1307" s="2">
        <v>2002</v>
      </c>
      <c r="D1307" s="2">
        <v>307</v>
      </c>
      <c r="E1307" s="4">
        <v>45607</v>
      </c>
      <c r="F1307" s="4">
        <v>45611</v>
      </c>
      <c r="G1307" s="2">
        <f t="shared" si="20"/>
        <v>4</v>
      </c>
      <c r="H1307" s="2">
        <v>46</v>
      </c>
      <c r="I1307" t="s">
        <v>42</v>
      </c>
      <c r="J1307" t="s">
        <v>13</v>
      </c>
      <c r="K1307" s="2">
        <v>30.78</v>
      </c>
      <c r="L1307" s="3">
        <v>646.99</v>
      </c>
      <c r="M1307" s="3">
        <f>orders_1[[#This Row],[products.Base_Price]]*orders_1[[#This Row],[Quantity]]</f>
        <v>29761.54</v>
      </c>
      <c r="N1307" t="s">
        <v>17</v>
      </c>
      <c r="O1307" t="s">
        <v>10</v>
      </c>
      <c r="P1307" t="s">
        <v>11</v>
      </c>
    </row>
    <row r="1308" spans="1:16" x14ac:dyDescent="0.3">
      <c r="A1308" s="2">
        <v>11307</v>
      </c>
      <c r="B1308" s="2">
        <v>840</v>
      </c>
      <c r="C1308" s="2">
        <v>2007</v>
      </c>
      <c r="D1308" s="2">
        <v>317</v>
      </c>
      <c r="E1308" s="4">
        <v>45597</v>
      </c>
      <c r="F1308" s="4">
        <v>45599</v>
      </c>
      <c r="G1308" s="2">
        <f t="shared" si="20"/>
        <v>2</v>
      </c>
      <c r="H1308" s="2">
        <v>3</v>
      </c>
      <c r="I1308" t="s">
        <v>36</v>
      </c>
      <c r="J1308" t="s">
        <v>21</v>
      </c>
      <c r="K1308" s="2">
        <v>48.07</v>
      </c>
      <c r="L1308" s="3">
        <v>759.78</v>
      </c>
      <c r="M1308" s="3">
        <f>orders_1[[#This Row],[products.Base_Price]]*orders_1[[#This Row],[Quantity]]</f>
        <v>2279.34</v>
      </c>
      <c r="N1308" t="s">
        <v>20</v>
      </c>
      <c r="O1308" t="s">
        <v>25</v>
      </c>
      <c r="P1308" t="s">
        <v>19</v>
      </c>
    </row>
    <row r="1309" spans="1:16" x14ac:dyDescent="0.3">
      <c r="A1309" s="2">
        <v>11308</v>
      </c>
      <c r="B1309" s="2">
        <v>833</v>
      </c>
      <c r="C1309" s="2">
        <v>2012</v>
      </c>
      <c r="D1309" s="2">
        <v>304</v>
      </c>
      <c r="E1309" s="4">
        <v>45478</v>
      </c>
      <c r="F1309" s="4">
        <v>45485</v>
      </c>
      <c r="G1309" s="2">
        <f t="shared" si="20"/>
        <v>7</v>
      </c>
      <c r="H1309" s="2">
        <v>67</v>
      </c>
      <c r="I1309" t="s">
        <v>42</v>
      </c>
      <c r="J1309" t="s">
        <v>21</v>
      </c>
      <c r="K1309" s="2">
        <v>34.93</v>
      </c>
      <c r="L1309" s="3">
        <v>327.92</v>
      </c>
      <c r="M1309" s="3">
        <f>orders_1[[#This Row],[products.Base_Price]]*orders_1[[#This Row],[Quantity]]</f>
        <v>21970.639999999999</v>
      </c>
      <c r="N1309" t="s">
        <v>17</v>
      </c>
      <c r="O1309" t="s">
        <v>18</v>
      </c>
      <c r="P1309" t="s">
        <v>19</v>
      </c>
    </row>
    <row r="1310" spans="1:16" x14ac:dyDescent="0.3">
      <c r="A1310" s="2">
        <v>11309</v>
      </c>
      <c r="B1310" s="2">
        <v>782</v>
      </c>
      <c r="C1310" s="2">
        <v>2009</v>
      </c>
      <c r="D1310" s="2">
        <v>310</v>
      </c>
      <c r="E1310" s="4">
        <v>45317</v>
      </c>
      <c r="F1310" s="4">
        <v>45326</v>
      </c>
      <c r="G1310" s="2">
        <f t="shared" si="20"/>
        <v>9</v>
      </c>
      <c r="H1310" s="2">
        <v>52</v>
      </c>
      <c r="I1310" t="s">
        <v>39</v>
      </c>
      <c r="J1310" t="s">
        <v>21</v>
      </c>
      <c r="K1310" s="2">
        <v>16.82</v>
      </c>
      <c r="L1310" s="3">
        <v>376.01</v>
      </c>
      <c r="M1310" s="3">
        <f>orders_1[[#This Row],[products.Base_Price]]*orders_1[[#This Row],[Quantity]]</f>
        <v>19552.52</v>
      </c>
      <c r="N1310" t="s">
        <v>26</v>
      </c>
      <c r="O1310" t="s">
        <v>25</v>
      </c>
      <c r="P1310" t="s">
        <v>11</v>
      </c>
    </row>
    <row r="1311" spans="1:16" x14ac:dyDescent="0.3">
      <c r="A1311" s="2">
        <v>11310</v>
      </c>
      <c r="B1311" s="2">
        <v>773</v>
      </c>
      <c r="C1311" s="2">
        <v>2083</v>
      </c>
      <c r="D1311" s="2">
        <v>304</v>
      </c>
      <c r="E1311" s="4">
        <v>45472</v>
      </c>
      <c r="F1311" s="4">
        <v>45477</v>
      </c>
      <c r="G1311" s="2">
        <f t="shared" si="20"/>
        <v>5</v>
      </c>
      <c r="H1311" s="2">
        <v>79</v>
      </c>
      <c r="I1311" t="s">
        <v>36</v>
      </c>
      <c r="J1311" t="s">
        <v>22</v>
      </c>
      <c r="K1311" s="2">
        <v>13.79</v>
      </c>
      <c r="L1311" s="3">
        <v>843.82</v>
      </c>
      <c r="M1311" s="3">
        <f>orders_1[[#This Row],[products.Base_Price]]*orders_1[[#This Row],[Quantity]]</f>
        <v>66661.78</v>
      </c>
      <c r="N1311" t="s">
        <v>17</v>
      </c>
      <c r="O1311" t="s">
        <v>18</v>
      </c>
      <c r="P1311" t="s">
        <v>19</v>
      </c>
    </row>
    <row r="1312" spans="1:16" x14ac:dyDescent="0.3">
      <c r="A1312" s="2">
        <v>11311</v>
      </c>
      <c r="B1312" s="2">
        <v>525</v>
      </c>
      <c r="C1312" s="2">
        <v>2004</v>
      </c>
      <c r="D1312" s="2">
        <v>308</v>
      </c>
      <c r="E1312" s="4">
        <v>45532</v>
      </c>
      <c r="F1312" s="4">
        <v>45533</v>
      </c>
      <c r="G1312" s="2">
        <f t="shared" si="20"/>
        <v>1</v>
      </c>
      <c r="H1312" s="2">
        <v>87</v>
      </c>
      <c r="I1312" t="s">
        <v>78</v>
      </c>
      <c r="J1312" t="s">
        <v>9</v>
      </c>
      <c r="K1312" s="2">
        <v>4.34</v>
      </c>
      <c r="L1312" s="3">
        <v>52.14</v>
      </c>
      <c r="M1312" s="3">
        <f>orders_1[[#This Row],[products.Base_Price]]*orders_1[[#This Row],[Quantity]]</f>
        <v>4536.18</v>
      </c>
      <c r="N1312" t="s">
        <v>23</v>
      </c>
      <c r="O1312" t="s">
        <v>14</v>
      </c>
      <c r="P1312" t="s">
        <v>19</v>
      </c>
    </row>
    <row r="1313" spans="1:16" x14ac:dyDescent="0.3">
      <c r="A1313" s="2">
        <v>11312</v>
      </c>
      <c r="B1313" s="2">
        <v>659</v>
      </c>
      <c r="C1313" s="2">
        <v>2094</v>
      </c>
      <c r="D1313" s="2">
        <v>308</v>
      </c>
      <c r="E1313" s="4">
        <v>45426</v>
      </c>
      <c r="F1313" s="4">
        <v>45433</v>
      </c>
      <c r="G1313" s="2">
        <f t="shared" si="20"/>
        <v>7</v>
      </c>
      <c r="H1313" s="2">
        <v>15</v>
      </c>
      <c r="I1313" t="s">
        <v>42</v>
      </c>
      <c r="J1313" t="s">
        <v>27</v>
      </c>
      <c r="K1313" s="2">
        <v>22.56</v>
      </c>
      <c r="L1313" s="3">
        <v>393.53</v>
      </c>
      <c r="M1313" s="3">
        <f>orders_1[[#This Row],[products.Base_Price]]*orders_1[[#This Row],[Quantity]]</f>
        <v>5902.95</v>
      </c>
      <c r="N1313" t="s">
        <v>23</v>
      </c>
      <c r="O1313" t="s">
        <v>14</v>
      </c>
      <c r="P1313" t="s">
        <v>19</v>
      </c>
    </row>
    <row r="1314" spans="1:16" x14ac:dyDescent="0.3">
      <c r="A1314" s="2">
        <v>11313</v>
      </c>
      <c r="B1314" s="2">
        <v>634</v>
      </c>
      <c r="C1314" s="2">
        <v>2047</v>
      </c>
      <c r="D1314" s="2">
        <v>314</v>
      </c>
      <c r="E1314" s="4">
        <v>45392</v>
      </c>
      <c r="F1314" s="4">
        <v>45396</v>
      </c>
      <c r="G1314" s="2">
        <f t="shared" si="20"/>
        <v>4</v>
      </c>
      <c r="H1314" s="2">
        <v>90</v>
      </c>
      <c r="I1314" t="s">
        <v>42</v>
      </c>
      <c r="J1314" t="s">
        <v>27</v>
      </c>
      <c r="K1314" s="2">
        <v>31.72</v>
      </c>
      <c r="L1314" s="3">
        <v>210.46</v>
      </c>
      <c r="M1314" s="3">
        <f>orders_1[[#This Row],[products.Base_Price]]*orders_1[[#This Row],[Quantity]]</f>
        <v>18941.400000000001</v>
      </c>
      <c r="N1314" t="s">
        <v>17</v>
      </c>
      <c r="O1314" t="s">
        <v>14</v>
      </c>
      <c r="P1314" t="s">
        <v>19</v>
      </c>
    </row>
    <row r="1315" spans="1:16" x14ac:dyDescent="0.3">
      <c r="A1315" s="2">
        <v>11314</v>
      </c>
      <c r="B1315" s="2">
        <v>530</v>
      </c>
      <c r="C1315" s="2">
        <v>2063</v>
      </c>
      <c r="D1315" s="2">
        <v>315</v>
      </c>
      <c r="E1315" s="4">
        <v>45510</v>
      </c>
      <c r="F1315" s="4">
        <v>45514</v>
      </c>
      <c r="G1315" s="2">
        <f t="shared" si="20"/>
        <v>4</v>
      </c>
      <c r="H1315" s="2">
        <v>86</v>
      </c>
      <c r="I1315" t="s">
        <v>36</v>
      </c>
      <c r="J1315" t="s">
        <v>9</v>
      </c>
      <c r="K1315" s="2">
        <v>13.23</v>
      </c>
      <c r="L1315" s="3">
        <v>151.69999999999999</v>
      </c>
      <c r="M1315" s="3">
        <f>orders_1[[#This Row],[products.Base_Price]]*orders_1[[#This Row],[Quantity]]</f>
        <v>13046.199999999999</v>
      </c>
      <c r="N1315" t="s">
        <v>15</v>
      </c>
      <c r="O1315" t="s">
        <v>25</v>
      </c>
      <c r="P1315" t="s">
        <v>19</v>
      </c>
    </row>
    <row r="1316" spans="1:16" x14ac:dyDescent="0.3">
      <c r="A1316" s="2">
        <v>11315</v>
      </c>
      <c r="B1316" s="2">
        <v>621</v>
      </c>
      <c r="C1316" s="2">
        <v>2050</v>
      </c>
      <c r="D1316" s="2">
        <v>311</v>
      </c>
      <c r="E1316" s="4">
        <v>45454</v>
      </c>
      <c r="F1316" s="4">
        <v>45460</v>
      </c>
      <c r="G1316" s="2">
        <f t="shared" si="20"/>
        <v>6</v>
      </c>
      <c r="H1316" s="2">
        <v>87</v>
      </c>
      <c r="I1316" t="s">
        <v>78</v>
      </c>
      <c r="J1316" t="s">
        <v>21</v>
      </c>
      <c r="K1316" s="2">
        <v>36.43</v>
      </c>
      <c r="L1316" s="3">
        <v>507.16</v>
      </c>
      <c r="M1316" s="3">
        <f>orders_1[[#This Row],[products.Base_Price]]*orders_1[[#This Row],[Quantity]]</f>
        <v>44122.920000000006</v>
      </c>
      <c r="N1316" t="s">
        <v>26</v>
      </c>
      <c r="O1316" t="s">
        <v>10</v>
      </c>
      <c r="P1316" t="s">
        <v>11</v>
      </c>
    </row>
    <row r="1317" spans="1:16" x14ac:dyDescent="0.3">
      <c r="A1317" s="2">
        <v>11316</v>
      </c>
      <c r="B1317" s="2">
        <v>809</v>
      </c>
      <c r="C1317" s="2">
        <v>2084</v>
      </c>
      <c r="D1317" s="2">
        <v>313</v>
      </c>
      <c r="E1317" s="4">
        <v>45377</v>
      </c>
      <c r="F1317" s="4">
        <v>45381</v>
      </c>
      <c r="G1317" s="2">
        <f t="shared" si="20"/>
        <v>4</v>
      </c>
      <c r="H1317" s="2">
        <v>83</v>
      </c>
      <c r="I1317" t="s">
        <v>42</v>
      </c>
      <c r="J1317" t="s">
        <v>21</v>
      </c>
      <c r="K1317" s="2">
        <v>14.27</v>
      </c>
      <c r="L1317" s="3">
        <v>223.58</v>
      </c>
      <c r="M1317" s="3">
        <f>orders_1[[#This Row],[products.Base_Price]]*orders_1[[#This Row],[Quantity]]</f>
        <v>18557.14</v>
      </c>
      <c r="N1317" t="s">
        <v>15</v>
      </c>
      <c r="O1317" t="s">
        <v>25</v>
      </c>
      <c r="P1317" t="s">
        <v>16</v>
      </c>
    </row>
    <row r="1318" spans="1:16" x14ac:dyDescent="0.3">
      <c r="A1318" s="2">
        <v>11317</v>
      </c>
      <c r="B1318" s="2">
        <v>607</v>
      </c>
      <c r="C1318" s="2">
        <v>2061</v>
      </c>
      <c r="D1318" s="2">
        <v>308</v>
      </c>
      <c r="E1318" s="4">
        <v>45635</v>
      </c>
      <c r="F1318" s="4">
        <v>45641</v>
      </c>
      <c r="G1318" s="2">
        <f t="shared" si="20"/>
        <v>6</v>
      </c>
      <c r="H1318" s="2">
        <v>40</v>
      </c>
      <c r="I1318" t="s">
        <v>39</v>
      </c>
      <c r="J1318" t="s">
        <v>13</v>
      </c>
      <c r="K1318" s="2">
        <v>46.64</v>
      </c>
      <c r="L1318" s="3">
        <v>620.16999999999996</v>
      </c>
      <c r="M1318" s="3">
        <f>orders_1[[#This Row],[products.Base_Price]]*orders_1[[#This Row],[Quantity]]</f>
        <v>24806.799999999999</v>
      </c>
      <c r="N1318" t="s">
        <v>23</v>
      </c>
      <c r="O1318" t="s">
        <v>14</v>
      </c>
      <c r="P1318" t="s">
        <v>19</v>
      </c>
    </row>
    <row r="1319" spans="1:16" x14ac:dyDescent="0.3">
      <c r="A1319" s="2">
        <v>11318</v>
      </c>
      <c r="B1319" s="2">
        <v>735</v>
      </c>
      <c r="C1319" s="2">
        <v>2008</v>
      </c>
      <c r="D1319" s="2">
        <v>311</v>
      </c>
      <c r="E1319" s="4">
        <v>45459</v>
      </c>
      <c r="F1319" s="4">
        <v>45467</v>
      </c>
      <c r="G1319" s="2">
        <f t="shared" si="20"/>
        <v>8</v>
      </c>
      <c r="H1319" s="2">
        <v>12</v>
      </c>
      <c r="I1319" t="s">
        <v>78</v>
      </c>
      <c r="J1319" t="s">
        <v>21</v>
      </c>
      <c r="K1319" s="2">
        <v>8.5</v>
      </c>
      <c r="L1319" s="3">
        <v>899.21</v>
      </c>
      <c r="M1319" s="3">
        <f>orders_1[[#This Row],[products.Base_Price]]*orders_1[[#This Row],[Quantity]]</f>
        <v>10790.52</v>
      </c>
      <c r="N1319" t="s">
        <v>26</v>
      </c>
      <c r="O1319" t="s">
        <v>10</v>
      </c>
      <c r="P1319" t="s">
        <v>11</v>
      </c>
    </row>
    <row r="1320" spans="1:16" x14ac:dyDescent="0.3">
      <c r="A1320" s="2">
        <v>11319</v>
      </c>
      <c r="B1320" s="2">
        <v>848</v>
      </c>
      <c r="C1320" s="2">
        <v>2017</v>
      </c>
      <c r="D1320" s="2">
        <v>313</v>
      </c>
      <c r="E1320" s="4">
        <v>45620</v>
      </c>
      <c r="F1320" s="4">
        <v>45621</v>
      </c>
      <c r="G1320" s="2">
        <f t="shared" si="20"/>
        <v>1</v>
      </c>
      <c r="H1320" s="2">
        <v>68</v>
      </c>
      <c r="I1320" t="s">
        <v>39</v>
      </c>
      <c r="J1320" t="s">
        <v>22</v>
      </c>
      <c r="K1320" s="2">
        <v>38.24</v>
      </c>
      <c r="L1320" s="3">
        <v>788.08</v>
      </c>
      <c r="M1320" s="3">
        <f>orders_1[[#This Row],[products.Base_Price]]*orders_1[[#This Row],[Quantity]]</f>
        <v>53589.440000000002</v>
      </c>
      <c r="N1320" t="s">
        <v>15</v>
      </c>
      <c r="O1320" t="s">
        <v>25</v>
      </c>
      <c r="P1320" t="s">
        <v>16</v>
      </c>
    </row>
    <row r="1321" spans="1:16" x14ac:dyDescent="0.3">
      <c r="A1321" s="2">
        <v>11320</v>
      </c>
      <c r="B1321" s="2">
        <v>638</v>
      </c>
      <c r="C1321" s="2">
        <v>2064</v>
      </c>
      <c r="D1321" s="2">
        <v>301</v>
      </c>
      <c r="E1321" s="4">
        <v>45379</v>
      </c>
      <c r="F1321" s="4">
        <v>45383</v>
      </c>
      <c r="G1321" s="2">
        <f t="shared" si="20"/>
        <v>4</v>
      </c>
      <c r="H1321" s="2">
        <v>19</v>
      </c>
      <c r="I1321" t="s">
        <v>42</v>
      </c>
      <c r="J1321" t="s">
        <v>21</v>
      </c>
      <c r="K1321" s="2">
        <v>15.41</v>
      </c>
      <c r="L1321" s="3">
        <v>203.79</v>
      </c>
      <c r="M1321" s="3">
        <f>orders_1[[#This Row],[products.Base_Price]]*orders_1[[#This Row],[Quantity]]</f>
        <v>3872.0099999999998</v>
      </c>
      <c r="N1321" t="s">
        <v>8</v>
      </c>
      <c r="O1321" t="s">
        <v>10</v>
      </c>
      <c r="P1321" t="s">
        <v>11</v>
      </c>
    </row>
    <row r="1322" spans="1:16" x14ac:dyDescent="0.3">
      <c r="A1322" s="2">
        <v>11321</v>
      </c>
      <c r="B1322" s="2">
        <v>672</v>
      </c>
      <c r="C1322" s="2">
        <v>2031</v>
      </c>
      <c r="D1322" s="2">
        <v>302</v>
      </c>
      <c r="E1322" s="4">
        <v>45439</v>
      </c>
      <c r="F1322" s="4">
        <v>45448</v>
      </c>
      <c r="G1322" s="2">
        <f t="shared" si="20"/>
        <v>9</v>
      </c>
      <c r="H1322" s="2">
        <v>43</v>
      </c>
      <c r="I1322" t="s">
        <v>36</v>
      </c>
      <c r="J1322" t="s">
        <v>27</v>
      </c>
      <c r="K1322" s="2">
        <v>24.61</v>
      </c>
      <c r="L1322" s="3">
        <v>342.86</v>
      </c>
      <c r="M1322" s="3">
        <f>orders_1[[#This Row],[products.Base_Price]]*orders_1[[#This Row],[Quantity]]</f>
        <v>14742.980000000001</v>
      </c>
      <c r="N1322" t="s">
        <v>12</v>
      </c>
      <c r="O1322" t="s">
        <v>14</v>
      </c>
      <c r="P1322" t="s">
        <v>11</v>
      </c>
    </row>
    <row r="1323" spans="1:16" x14ac:dyDescent="0.3">
      <c r="A1323" s="2">
        <v>11322</v>
      </c>
      <c r="B1323" s="2">
        <v>781</v>
      </c>
      <c r="C1323" s="2">
        <v>2026</v>
      </c>
      <c r="D1323" s="2">
        <v>306</v>
      </c>
      <c r="E1323" s="4">
        <v>45585</v>
      </c>
      <c r="F1323" s="4">
        <v>45589</v>
      </c>
      <c r="G1323" s="2">
        <f t="shared" si="20"/>
        <v>4</v>
      </c>
      <c r="H1323" s="2">
        <v>51</v>
      </c>
      <c r="I1323" t="s">
        <v>36</v>
      </c>
      <c r="J1323" t="s">
        <v>22</v>
      </c>
      <c r="K1323" s="2">
        <v>23.02</v>
      </c>
      <c r="L1323" s="3">
        <v>858.57</v>
      </c>
      <c r="M1323" s="3">
        <f>orders_1[[#This Row],[products.Base_Price]]*orders_1[[#This Row],[Quantity]]</f>
        <v>43787.07</v>
      </c>
      <c r="N1323" t="s">
        <v>8</v>
      </c>
      <c r="O1323" t="s">
        <v>10</v>
      </c>
      <c r="P1323" t="s">
        <v>16</v>
      </c>
    </row>
    <row r="1324" spans="1:16" x14ac:dyDescent="0.3">
      <c r="A1324" s="2">
        <v>11323</v>
      </c>
      <c r="B1324" s="2">
        <v>633</v>
      </c>
      <c r="C1324" s="2">
        <v>2064</v>
      </c>
      <c r="D1324" s="2">
        <v>319</v>
      </c>
      <c r="E1324" s="4">
        <v>45652</v>
      </c>
      <c r="F1324" s="4">
        <v>45654</v>
      </c>
      <c r="G1324" s="2">
        <f t="shared" si="20"/>
        <v>2</v>
      </c>
      <c r="H1324" s="2">
        <v>48</v>
      </c>
      <c r="I1324" t="s">
        <v>36</v>
      </c>
      <c r="J1324" t="s">
        <v>21</v>
      </c>
      <c r="K1324" s="2">
        <v>15.41</v>
      </c>
      <c r="L1324" s="3">
        <v>203.79</v>
      </c>
      <c r="M1324" s="3">
        <f>orders_1[[#This Row],[products.Base_Price]]*orders_1[[#This Row],[Quantity]]</f>
        <v>9781.92</v>
      </c>
      <c r="N1324" t="s">
        <v>20</v>
      </c>
      <c r="O1324" t="s">
        <v>18</v>
      </c>
      <c r="P1324" t="s">
        <v>11</v>
      </c>
    </row>
    <row r="1325" spans="1:16" x14ac:dyDescent="0.3">
      <c r="A1325" s="2">
        <v>11324</v>
      </c>
      <c r="B1325" s="2">
        <v>674</v>
      </c>
      <c r="C1325" s="2">
        <v>2043</v>
      </c>
      <c r="D1325" s="2">
        <v>305</v>
      </c>
      <c r="E1325" s="4">
        <v>45517</v>
      </c>
      <c r="F1325" s="4">
        <v>45522</v>
      </c>
      <c r="G1325" s="2">
        <f t="shared" si="20"/>
        <v>5</v>
      </c>
      <c r="H1325" s="2">
        <v>43</v>
      </c>
      <c r="I1325" t="s">
        <v>36</v>
      </c>
      <c r="J1325" t="s">
        <v>27</v>
      </c>
      <c r="K1325" s="2">
        <v>14.98</v>
      </c>
      <c r="L1325" s="3">
        <v>375.85</v>
      </c>
      <c r="M1325" s="3">
        <f>orders_1[[#This Row],[products.Base_Price]]*orders_1[[#This Row],[Quantity]]</f>
        <v>16161.550000000001</v>
      </c>
      <c r="N1325" t="s">
        <v>20</v>
      </c>
      <c r="O1325" t="s">
        <v>10</v>
      </c>
      <c r="P1325" t="s">
        <v>19</v>
      </c>
    </row>
    <row r="1326" spans="1:16" x14ac:dyDescent="0.3">
      <c r="A1326" s="2">
        <v>11325</v>
      </c>
      <c r="B1326" s="2">
        <v>650</v>
      </c>
      <c r="C1326" s="2">
        <v>2028</v>
      </c>
      <c r="D1326" s="2">
        <v>301</v>
      </c>
      <c r="E1326" s="4">
        <v>45444</v>
      </c>
      <c r="F1326" s="4">
        <v>45451</v>
      </c>
      <c r="G1326" s="2">
        <f t="shared" si="20"/>
        <v>7</v>
      </c>
      <c r="H1326" s="2">
        <v>9</v>
      </c>
      <c r="I1326" t="s">
        <v>42</v>
      </c>
      <c r="J1326" t="s">
        <v>13</v>
      </c>
      <c r="K1326" s="2">
        <v>30.34</v>
      </c>
      <c r="L1326" s="3">
        <v>630.65</v>
      </c>
      <c r="M1326" s="3">
        <f>orders_1[[#This Row],[products.Base_Price]]*orders_1[[#This Row],[Quantity]]</f>
        <v>5675.8499999999995</v>
      </c>
      <c r="N1326" t="s">
        <v>8</v>
      </c>
      <c r="O1326" t="s">
        <v>10</v>
      </c>
      <c r="P1326" t="s">
        <v>11</v>
      </c>
    </row>
    <row r="1327" spans="1:16" x14ac:dyDescent="0.3">
      <c r="A1327" s="2">
        <v>11326</v>
      </c>
      <c r="B1327" s="2">
        <v>647</v>
      </c>
      <c r="C1327" s="2">
        <v>2031</v>
      </c>
      <c r="D1327" s="2">
        <v>318</v>
      </c>
      <c r="E1327" s="4">
        <v>45599</v>
      </c>
      <c r="F1327" s="4">
        <v>45602</v>
      </c>
      <c r="G1327" s="2">
        <f t="shared" si="20"/>
        <v>3</v>
      </c>
      <c r="H1327" s="2">
        <v>51</v>
      </c>
      <c r="I1327" t="s">
        <v>78</v>
      </c>
      <c r="J1327" t="s">
        <v>27</v>
      </c>
      <c r="K1327" s="2">
        <v>24.61</v>
      </c>
      <c r="L1327" s="3">
        <v>342.86</v>
      </c>
      <c r="M1327" s="3">
        <f>orders_1[[#This Row],[products.Base_Price]]*orders_1[[#This Row],[Quantity]]</f>
        <v>17485.86</v>
      </c>
      <c r="N1327" t="s">
        <v>17</v>
      </c>
      <c r="O1327" t="s">
        <v>10</v>
      </c>
      <c r="P1327" t="s">
        <v>19</v>
      </c>
    </row>
    <row r="1328" spans="1:16" x14ac:dyDescent="0.3">
      <c r="A1328" s="2">
        <v>11327</v>
      </c>
      <c r="B1328" s="2">
        <v>769</v>
      </c>
      <c r="C1328" s="2">
        <v>2015</v>
      </c>
      <c r="D1328" s="2">
        <v>316</v>
      </c>
      <c r="E1328" s="4">
        <v>45338</v>
      </c>
      <c r="F1328" s="4">
        <v>45341</v>
      </c>
      <c r="G1328" s="2">
        <f t="shared" si="20"/>
        <v>3</v>
      </c>
      <c r="H1328" s="2">
        <v>94</v>
      </c>
      <c r="I1328" t="s">
        <v>39</v>
      </c>
      <c r="J1328" t="s">
        <v>13</v>
      </c>
      <c r="K1328" s="2">
        <v>35.520000000000003</v>
      </c>
      <c r="L1328" s="3">
        <v>638.11</v>
      </c>
      <c r="M1328" s="3">
        <f>orders_1[[#This Row],[products.Base_Price]]*orders_1[[#This Row],[Quantity]]</f>
        <v>59982.340000000004</v>
      </c>
      <c r="N1328" t="s">
        <v>24</v>
      </c>
      <c r="O1328" t="s">
        <v>25</v>
      </c>
      <c r="P1328" t="s">
        <v>19</v>
      </c>
    </row>
    <row r="1329" spans="1:16" x14ac:dyDescent="0.3">
      <c r="A1329" s="2">
        <v>11328</v>
      </c>
      <c r="B1329" s="2">
        <v>612</v>
      </c>
      <c r="C1329" s="2">
        <v>2089</v>
      </c>
      <c r="D1329" s="2">
        <v>308</v>
      </c>
      <c r="E1329" s="4">
        <v>45522</v>
      </c>
      <c r="F1329" s="4">
        <v>45529</v>
      </c>
      <c r="G1329" s="2">
        <f t="shared" si="20"/>
        <v>7</v>
      </c>
      <c r="H1329" s="2">
        <v>80</v>
      </c>
      <c r="I1329" t="s">
        <v>78</v>
      </c>
      <c r="J1329" t="s">
        <v>22</v>
      </c>
      <c r="K1329" s="2">
        <v>19.170000000000002</v>
      </c>
      <c r="L1329" s="3">
        <v>513.33000000000004</v>
      </c>
      <c r="M1329" s="3">
        <f>orders_1[[#This Row],[products.Base_Price]]*orders_1[[#This Row],[Quantity]]</f>
        <v>41066.400000000001</v>
      </c>
      <c r="N1329" t="s">
        <v>23</v>
      </c>
      <c r="O1329" t="s">
        <v>14</v>
      </c>
      <c r="P1329" t="s">
        <v>19</v>
      </c>
    </row>
    <row r="1330" spans="1:16" x14ac:dyDescent="0.3">
      <c r="A1330" s="2">
        <v>11329</v>
      </c>
      <c r="B1330" s="2">
        <v>508</v>
      </c>
      <c r="C1330" s="2">
        <v>2079</v>
      </c>
      <c r="D1330" s="2">
        <v>306</v>
      </c>
      <c r="E1330" s="4">
        <v>45562</v>
      </c>
      <c r="F1330" s="4">
        <v>45565</v>
      </c>
      <c r="G1330" s="2">
        <f t="shared" si="20"/>
        <v>3</v>
      </c>
      <c r="H1330" s="2">
        <v>57</v>
      </c>
      <c r="I1330" t="s">
        <v>39</v>
      </c>
      <c r="J1330" t="s">
        <v>22</v>
      </c>
      <c r="K1330" s="2">
        <v>12.3</v>
      </c>
      <c r="L1330" s="3">
        <v>99.7</v>
      </c>
      <c r="M1330" s="3">
        <f>orders_1[[#This Row],[products.Base_Price]]*orders_1[[#This Row],[Quantity]]</f>
        <v>5682.9000000000005</v>
      </c>
      <c r="N1330" t="s">
        <v>8</v>
      </c>
      <c r="O1330" t="s">
        <v>10</v>
      </c>
      <c r="P1330" t="s">
        <v>16</v>
      </c>
    </row>
    <row r="1331" spans="1:16" x14ac:dyDescent="0.3">
      <c r="A1331" s="2">
        <v>11330</v>
      </c>
      <c r="B1331" s="2">
        <v>692</v>
      </c>
      <c r="C1331" s="2">
        <v>2073</v>
      </c>
      <c r="D1331" s="2">
        <v>309</v>
      </c>
      <c r="E1331" s="4">
        <v>45310</v>
      </c>
      <c r="F1331" s="4">
        <v>45312</v>
      </c>
      <c r="G1331" s="2">
        <f t="shared" si="20"/>
        <v>2</v>
      </c>
      <c r="H1331" s="2">
        <v>82</v>
      </c>
      <c r="I1331" t="s">
        <v>36</v>
      </c>
      <c r="J1331" t="s">
        <v>9</v>
      </c>
      <c r="K1331" s="2">
        <v>11.78</v>
      </c>
      <c r="L1331" s="3">
        <v>416.74</v>
      </c>
      <c r="M1331" s="3">
        <f>orders_1[[#This Row],[products.Base_Price]]*orders_1[[#This Row],[Quantity]]</f>
        <v>34172.68</v>
      </c>
      <c r="N1331" t="s">
        <v>24</v>
      </c>
      <c r="O1331" t="s">
        <v>25</v>
      </c>
      <c r="P1331" t="s">
        <v>16</v>
      </c>
    </row>
    <row r="1332" spans="1:16" x14ac:dyDescent="0.3">
      <c r="A1332" s="2">
        <v>11331</v>
      </c>
      <c r="B1332" s="2">
        <v>730</v>
      </c>
      <c r="C1332" s="2">
        <v>2079</v>
      </c>
      <c r="D1332" s="2">
        <v>316</v>
      </c>
      <c r="E1332" s="4">
        <v>45356</v>
      </c>
      <c r="F1332" s="4">
        <v>45362</v>
      </c>
      <c r="G1332" s="2">
        <f t="shared" si="20"/>
        <v>6</v>
      </c>
      <c r="H1332" s="2">
        <v>8</v>
      </c>
      <c r="I1332" t="s">
        <v>39</v>
      </c>
      <c r="J1332" t="s">
        <v>22</v>
      </c>
      <c r="K1332" s="2">
        <v>12.3</v>
      </c>
      <c r="L1332" s="3">
        <v>99.7</v>
      </c>
      <c r="M1332" s="3">
        <f>orders_1[[#This Row],[products.Base_Price]]*orders_1[[#This Row],[Quantity]]</f>
        <v>797.6</v>
      </c>
      <c r="N1332" t="s">
        <v>24</v>
      </c>
      <c r="O1332" t="s">
        <v>25</v>
      </c>
      <c r="P1332" t="s">
        <v>19</v>
      </c>
    </row>
    <row r="1333" spans="1:16" x14ac:dyDescent="0.3">
      <c r="A1333" s="2">
        <v>11332</v>
      </c>
      <c r="B1333" s="2">
        <v>682</v>
      </c>
      <c r="C1333" s="2">
        <v>2060</v>
      </c>
      <c r="D1333" s="2">
        <v>315</v>
      </c>
      <c r="E1333" s="4">
        <v>45452</v>
      </c>
      <c r="F1333" s="4">
        <v>45458</v>
      </c>
      <c r="G1333" s="2">
        <f t="shared" si="20"/>
        <v>6</v>
      </c>
      <c r="H1333" s="2">
        <v>5</v>
      </c>
      <c r="I1333" t="s">
        <v>42</v>
      </c>
      <c r="J1333" t="s">
        <v>21</v>
      </c>
      <c r="K1333" s="2">
        <v>3.65</v>
      </c>
      <c r="L1333" s="3">
        <v>173.1</v>
      </c>
      <c r="M1333" s="3">
        <f>orders_1[[#This Row],[products.Base_Price]]*orders_1[[#This Row],[Quantity]]</f>
        <v>865.5</v>
      </c>
      <c r="N1333" t="s">
        <v>15</v>
      </c>
      <c r="O1333" t="s">
        <v>25</v>
      </c>
      <c r="P1333" t="s">
        <v>19</v>
      </c>
    </row>
    <row r="1334" spans="1:16" x14ac:dyDescent="0.3">
      <c r="A1334" s="2">
        <v>11333</v>
      </c>
      <c r="B1334" s="2">
        <v>843</v>
      </c>
      <c r="C1334" s="2">
        <v>2053</v>
      </c>
      <c r="D1334" s="2">
        <v>313</v>
      </c>
      <c r="E1334" s="4">
        <v>45527</v>
      </c>
      <c r="F1334" s="4">
        <v>45535</v>
      </c>
      <c r="G1334" s="2">
        <f t="shared" si="20"/>
        <v>8</v>
      </c>
      <c r="H1334" s="2">
        <v>16</v>
      </c>
      <c r="I1334" t="s">
        <v>36</v>
      </c>
      <c r="J1334" t="s">
        <v>22</v>
      </c>
      <c r="K1334" s="2">
        <v>34.54</v>
      </c>
      <c r="L1334" s="3">
        <v>162.21</v>
      </c>
      <c r="M1334" s="3">
        <f>orders_1[[#This Row],[products.Base_Price]]*orders_1[[#This Row],[Quantity]]</f>
        <v>2595.36</v>
      </c>
      <c r="N1334" t="s">
        <v>15</v>
      </c>
      <c r="O1334" t="s">
        <v>25</v>
      </c>
      <c r="P1334" t="s">
        <v>16</v>
      </c>
    </row>
    <row r="1335" spans="1:16" x14ac:dyDescent="0.3">
      <c r="A1335" s="2">
        <v>11334</v>
      </c>
      <c r="B1335" s="2">
        <v>896</v>
      </c>
      <c r="C1335" s="2">
        <v>2004</v>
      </c>
      <c r="D1335" s="2">
        <v>310</v>
      </c>
      <c r="E1335" s="4">
        <v>45590</v>
      </c>
      <c r="F1335" s="4">
        <v>45597</v>
      </c>
      <c r="G1335" s="2">
        <f t="shared" si="20"/>
        <v>7</v>
      </c>
      <c r="H1335" s="2">
        <v>76</v>
      </c>
      <c r="I1335" t="s">
        <v>42</v>
      </c>
      <c r="J1335" t="s">
        <v>9</v>
      </c>
      <c r="K1335" s="2">
        <v>4.34</v>
      </c>
      <c r="L1335" s="3">
        <v>52.14</v>
      </c>
      <c r="M1335" s="3">
        <f>orders_1[[#This Row],[products.Base_Price]]*orders_1[[#This Row],[Quantity]]</f>
        <v>3962.64</v>
      </c>
      <c r="N1335" t="s">
        <v>26</v>
      </c>
      <c r="O1335" t="s">
        <v>25</v>
      </c>
      <c r="P1335" t="s">
        <v>11</v>
      </c>
    </row>
    <row r="1336" spans="1:16" x14ac:dyDescent="0.3">
      <c r="A1336" s="2">
        <v>11335</v>
      </c>
      <c r="B1336" s="2">
        <v>712</v>
      </c>
      <c r="C1336" s="2">
        <v>2061</v>
      </c>
      <c r="D1336" s="2">
        <v>318</v>
      </c>
      <c r="E1336" s="4">
        <v>45634</v>
      </c>
      <c r="F1336" s="4">
        <v>45644</v>
      </c>
      <c r="G1336" s="2">
        <f t="shared" si="20"/>
        <v>10</v>
      </c>
      <c r="H1336" s="2">
        <v>90</v>
      </c>
      <c r="I1336" t="s">
        <v>36</v>
      </c>
      <c r="J1336" t="s">
        <v>13</v>
      </c>
      <c r="K1336" s="2">
        <v>46.64</v>
      </c>
      <c r="L1336" s="3">
        <v>620.16999999999996</v>
      </c>
      <c r="M1336" s="3">
        <f>orders_1[[#This Row],[products.Base_Price]]*orders_1[[#This Row],[Quantity]]</f>
        <v>55815.299999999996</v>
      </c>
      <c r="N1336" t="s">
        <v>17</v>
      </c>
      <c r="O1336" t="s">
        <v>10</v>
      </c>
      <c r="P1336" t="s">
        <v>19</v>
      </c>
    </row>
    <row r="1337" spans="1:16" x14ac:dyDescent="0.3">
      <c r="A1337" s="2">
        <v>11336</v>
      </c>
      <c r="B1337" s="2">
        <v>893</v>
      </c>
      <c r="C1337" s="2">
        <v>2073</v>
      </c>
      <c r="D1337" s="2">
        <v>302</v>
      </c>
      <c r="E1337" s="4">
        <v>45461</v>
      </c>
      <c r="F1337" s="4">
        <v>45465</v>
      </c>
      <c r="G1337" s="2">
        <f t="shared" si="20"/>
        <v>4</v>
      </c>
      <c r="H1337" s="2">
        <v>1</v>
      </c>
      <c r="I1337" t="s">
        <v>36</v>
      </c>
      <c r="J1337" t="s">
        <v>9</v>
      </c>
      <c r="K1337" s="2">
        <v>11.78</v>
      </c>
      <c r="L1337" s="3">
        <v>416.74</v>
      </c>
      <c r="M1337" s="3">
        <f>orders_1[[#This Row],[products.Base_Price]]*orders_1[[#This Row],[Quantity]]</f>
        <v>416.74</v>
      </c>
      <c r="N1337" t="s">
        <v>12</v>
      </c>
      <c r="O1337" t="s">
        <v>14</v>
      </c>
      <c r="P1337" t="s">
        <v>11</v>
      </c>
    </row>
    <row r="1338" spans="1:16" x14ac:dyDescent="0.3">
      <c r="A1338" s="2">
        <v>11337</v>
      </c>
      <c r="B1338" s="2">
        <v>878</v>
      </c>
      <c r="C1338" s="2">
        <v>2097</v>
      </c>
      <c r="D1338" s="2">
        <v>302</v>
      </c>
      <c r="E1338" s="4">
        <v>45523</v>
      </c>
      <c r="F1338" s="4">
        <v>45526</v>
      </c>
      <c r="G1338" s="2">
        <f t="shared" si="20"/>
        <v>3</v>
      </c>
      <c r="H1338" s="2">
        <v>57</v>
      </c>
      <c r="I1338" t="s">
        <v>78</v>
      </c>
      <c r="J1338" t="s">
        <v>27</v>
      </c>
      <c r="K1338" s="2">
        <v>30.63</v>
      </c>
      <c r="L1338" s="3">
        <v>828.74</v>
      </c>
      <c r="M1338" s="3">
        <f>orders_1[[#This Row],[products.Base_Price]]*orders_1[[#This Row],[Quantity]]</f>
        <v>47238.18</v>
      </c>
      <c r="N1338" t="s">
        <v>12</v>
      </c>
      <c r="O1338" t="s">
        <v>14</v>
      </c>
      <c r="P1338" t="s">
        <v>11</v>
      </c>
    </row>
    <row r="1339" spans="1:16" x14ac:dyDescent="0.3">
      <c r="A1339" s="2">
        <v>11338</v>
      </c>
      <c r="B1339" s="2">
        <v>897</v>
      </c>
      <c r="C1339" s="2">
        <v>2098</v>
      </c>
      <c r="D1339" s="2">
        <v>314</v>
      </c>
      <c r="E1339" s="4">
        <v>45373</v>
      </c>
      <c r="F1339" s="4">
        <v>45383</v>
      </c>
      <c r="G1339" s="2">
        <f t="shared" si="20"/>
        <v>10</v>
      </c>
      <c r="H1339" s="2">
        <v>68</v>
      </c>
      <c r="I1339" t="s">
        <v>42</v>
      </c>
      <c r="J1339" t="s">
        <v>13</v>
      </c>
      <c r="K1339" s="2">
        <v>25.35</v>
      </c>
      <c r="L1339" s="3">
        <v>571.58000000000004</v>
      </c>
      <c r="M1339" s="3">
        <f>orders_1[[#This Row],[products.Base_Price]]*orders_1[[#This Row],[Quantity]]</f>
        <v>38867.440000000002</v>
      </c>
      <c r="N1339" t="s">
        <v>17</v>
      </c>
      <c r="O1339" t="s">
        <v>14</v>
      </c>
      <c r="P1339" t="s">
        <v>19</v>
      </c>
    </row>
    <row r="1340" spans="1:16" x14ac:dyDescent="0.3">
      <c r="A1340" s="2">
        <v>11339</v>
      </c>
      <c r="B1340" s="2">
        <v>893</v>
      </c>
      <c r="C1340" s="2">
        <v>2072</v>
      </c>
      <c r="D1340" s="2">
        <v>306</v>
      </c>
      <c r="E1340" s="4">
        <v>45432</v>
      </c>
      <c r="F1340" s="4">
        <v>45435</v>
      </c>
      <c r="G1340" s="2">
        <f t="shared" si="20"/>
        <v>3</v>
      </c>
      <c r="H1340" s="2">
        <v>13</v>
      </c>
      <c r="I1340" t="s">
        <v>36</v>
      </c>
      <c r="J1340" t="s">
        <v>9</v>
      </c>
      <c r="K1340" s="2">
        <v>26.22</v>
      </c>
      <c r="L1340" s="3">
        <v>576.57000000000005</v>
      </c>
      <c r="M1340" s="3">
        <f>orders_1[[#This Row],[products.Base_Price]]*orders_1[[#This Row],[Quantity]]</f>
        <v>7495.4100000000008</v>
      </c>
      <c r="N1340" t="s">
        <v>8</v>
      </c>
      <c r="O1340" t="s">
        <v>10</v>
      </c>
      <c r="P1340" t="s">
        <v>16</v>
      </c>
    </row>
    <row r="1341" spans="1:16" x14ac:dyDescent="0.3">
      <c r="A1341" s="2">
        <v>11340</v>
      </c>
      <c r="B1341" s="2">
        <v>527</v>
      </c>
      <c r="C1341" s="2">
        <v>2025</v>
      </c>
      <c r="D1341" s="2">
        <v>307</v>
      </c>
      <c r="E1341" s="4">
        <v>45406</v>
      </c>
      <c r="F1341" s="4">
        <v>45415</v>
      </c>
      <c r="G1341" s="2">
        <f t="shared" si="20"/>
        <v>9</v>
      </c>
      <c r="H1341" s="2">
        <v>74</v>
      </c>
      <c r="I1341" t="s">
        <v>78</v>
      </c>
      <c r="J1341" t="s">
        <v>13</v>
      </c>
      <c r="K1341" s="2">
        <v>3.39</v>
      </c>
      <c r="L1341" s="3">
        <v>303.87</v>
      </c>
      <c r="M1341" s="3">
        <f>orders_1[[#This Row],[products.Base_Price]]*orders_1[[#This Row],[Quantity]]</f>
        <v>22486.38</v>
      </c>
      <c r="N1341" t="s">
        <v>17</v>
      </c>
      <c r="O1341" t="s">
        <v>10</v>
      </c>
      <c r="P1341" t="s">
        <v>11</v>
      </c>
    </row>
    <row r="1342" spans="1:16" x14ac:dyDescent="0.3">
      <c r="A1342" s="2">
        <v>11341</v>
      </c>
      <c r="B1342" s="2">
        <v>630</v>
      </c>
      <c r="C1342" s="2">
        <v>2073</v>
      </c>
      <c r="D1342" s="2">
        <v>309</v>
      </c>
      <c r="E1342" s="4">
        <v>45517</v>
      </c>
      <c r="F1342" s="4">
        <v>45519</v>
      </c>
      <c r="G1342" s="2">
        <f t="shared" si="20"/>
        <v>2</v>
      </c>
      <c r="H1342" s="2">
        <v>13</v>
      </c>
      <c r="I1342" t="s">
        <v>36</v>
      </c>
      <c r="J1342" t="s">
        <v>9</v>
      </c>
      <c r="K1342" s="2">
        <v>11.78</v>
      </c>
      <c r="L1342" s="3">
        <v>416.74</v>
      </c>
      <c r="M1342" s="3">
        <f>orders_1[[#This Row],[products.Base_Price]]*orders_1[[#This Row],[Quantity]]</f>
        <v>5417.62</v>
      </c>
      <c r="N1342" t="s">
        <v>24</v>
      </c>
      <c r="O1342" t="s">
        <v>25</v>
      </c>
      <c r="P1342" t="s">
        <v>16</v>
      </c>
    </row>
    <row r="1343" spans="1:16" x14ac:dyDescent="0.3">
      <c r="A1343" s="2">
        <v>11342</v>
      </c>
      <c r="B1343" s="2">
        <v>566</v>
      </c>
      <c r="C1343" s="2">
        <v>2010</v>
      </c>
      <c r="D1343" s="2">
        <v>316</v>
      </c>
      <c r="E1343" s="4">
        <v>45546</v>
      </c>
      <c r="F1343" s="4">
        <v>45556</v>
      </c>
      <c r="G1343" s="2">
        <f t="shared" si="20"/>
        <v>10</v>
      </c>
      <c r="H1343" s="2">
        <v>46</v>
      </c>
      <c r="I1343" t="s">
        <v>78</v>
      </c>
      <c r="J1343" t="s">
        <v>13</v>
      </c>
      <c r="K1343" s="2">
        <v>9.58</v>
      </c>
      <c r="L1343" s="3">
        <v>440.93</v>
      </c>
      <c r="M1343" s="3">
        <f>orders_1[[#This Row],[products.Base_Price]]*orders_1[[#This Row],[Quantity]]</f>
        <v>20282.78</v>
      </c>
      <c r="N1343" t="s">
        <v>24</v>
      </c>
      <c r="O1343" t="s">
        <v>25</v>
      </c>
      <c r="P1343" t="s">
        <v>19</v>
      </c>
    </row>
    <row r="1344" spans="1:16" x14ac:dyDescent="0.3">
      <c r="A1344" s="2">
        <v>11343</v>
      </c>
      <c r="B1344" s="2">
        <v>726</v>
      </c>
      <c r="C1344" s="2">
        <v>2099</v>
      </c>
      <c r="D1344" s="2">
        <v>316</v>
      </c>
      <c r="E1344" s="4">
        <v>45360</v>
      </c>
      <c r="F1344" s="4">
        <v>45365</v>
      </c>
      <c r="G1344" s="2">
        <f t="shared" si="20"/>
        <v>5</v>
      </c>
      <c r="H1344" s="2">
        <v>51</v>
      </c>
      <c r="I1344" t="s">
        <v>36</v>
      </c>
      <c r="J1344" t="s">
        <v>21</v>
      </c>
      <c r="K1344" s="2">
        <v>31.62</v>
      </c>
      <c r="L1344" s="3">
        <v>652.77</v>
      </c>
      <c r="M1344" s="3">
        <f>orders_1[[#This Row],[products.Base_Price]]*orders_1[[#This Row],[Quantity]]</f>
        <v>33291.269999999997</v>
      </c>
      <c r="N1344" t="s">
        <v>24</v>
      </c>
      <c r="O1344" t="s">
        <v>25</v>
      </c>
      <c r="P1344" t="s">
        <v>19</v>
      </c>
    </row>
    <row r="1345" spans="1:16" x14ac:dyDescent="0.3">
      <c r="A1345" s="2">
        <v>11344</v>
      </c>
      <c r="B1345" s="2">
        <v>603</v>
      </c>
      <c r="C1345" s="2">
        <v>2003</v>
      </c>
      <c r="D1345" s="2">
        <v>310</v>
      </c>
      <c r="E1345" s="4">
        <v>45334</v>
      </c>
      <c r="F1345" s="4">
        <v>45341</v>
      </c>
      <c r="G1345" s="2">
        <f t="shared" si="20"/>
        <v>7</v>
      </c>
      <c r="H1345" s="2">
        <v>90</v>
      </c>
      <c r="I1345" t="s">
        <v>42</v>
      </c>
      <c r="J1345" t="s">
        <v>13</v>
      </c>
      <c r="K1345" s="2">
        <v>39.74</v>
      </c>
      <c r="L1345" s="3">
        <v>864.17</v>
      </c>
      <c r="M1345" s="3">
        <f>orders_1[[#This Row],[products.Base_Price]]*orders_1[[#This Row],[Quantity]]</f>
        <v>77775.3</v>
      </c>
      <c r="N1345" t="s">
        <v>26</v>
      </c>
      <c r="O1345" t="s">
        <v>25</v>
      </c>
      <c r="P1345" t="s">
        <v>11</v>
      </c>
    </row>
    <row r="1346" spans="1:16" x14ac:dyDescent="0.3">
      <c r="A1346" s="2">
        <v>11345</v>
      </c>
      <c r="B1346" s="2">
        <v>617</v>
      </c>
      <c r="C1346" s="2">
        <v>2091</v>
      </c>
      <c r="D1346" s="2">
        <v>306</v>
      </c>
      <c r="E1346" s="4">
        <v>45641</v>
      </c>
      <c r="F1346" s="4">
        <v>45650</v>
      </c>
      <c r="G1346" s="2">
        <f t="shared" ref="G1346:G1409" si="21">F1346-E1346</f>
        <v>9</v>
      </c>
      <c r="H1346" s="2">
        <v>48</v>
      </c>
      <c r="I1346" t="s">
        <v>36</v>
      </c>
      <c r="J1346" t="s">
        <v>21</v>
      </c>
      <c r="K1346" s="2">
        <v>10.41</v>
      </c>
      <c r="L1346" s="3">
        <v>271.61</v>
      </c>
      <c r="M1346" s="3">
        <f>orders_1[[#This Row],[products.Base_Price]]*orders_1[[#This Row],[Quantity]]</f>
        <v>13037.28</v>
      </c>
      <c r="N1346" t="s">
        <v>8</v>
      </c>
      <c r="O1346" t="s">
        <v>10</v>
      </c>
      <c r="P1346" t="s">
        <v>16</v>
      </c>
    </row>
    <row r="1347" spans="1:16" x14ac:dyDescent="0.3">
      <c r="A1347" s="2">
        <v>11346</v>
      </c>
      <c r="B1347" s="2">
        <v>701</v>
      </c>
      <c r="C1347" s="2">
        <v>2039</v>
      </c>
      <c r="D1347" s="2">
        <v>302</v>
      </c>
      <c r="E1347" s="4">
        <v>45432</v>
      </c>
      <c r="F1347" s="4">
        <v>45442</v>
      </c>
      <c r="G1347" s="2">
        <f t="shared" si="21"/>
        <v>10</v>
      </c>
      <c r="H1347" s="2">
        <v>47</v>
      </c>
      <c r="I1347" t="s">
        <v>78</v>
      </c>
      <c r="J1347" t="s">
        <v>27</v>
      </c>
      <c r="K1347" s="2">
        <v>2.69</v>
      </c>
      <c r="L1347" s="3">
        <v>350.51</v>
      </c>
      <c r="M1347" s="3">
        <f>orders_1[[#This Row],[products.Base_Price]]*orders_1[[#This Row],[Quantity]]</f>
        <v>16473.97</v>
      </c>
      <c r="N1347" t="s">
        <v>12</v>
      </c>
      <c r="O1347" t="s">
        <v>14</v>
      </c>
      <c r="P1347" t="s">
        <v>11</v>
      </c>
    </row>
    <row r="1348" spans="1:16" x14ac:dyDescent="0.3">
      <c r="A1348" s="2">
        <v>11347</v>
      </c>
      <c r="B1348" s="2">
        <v>538</v>
      </c>
      <c r="C1348" s="2">
        <v>2073</v>
      </c>
      <c r="D1348" s="2">
        <v>318</v>
      </c>
      <c r="E1348" s="4">
        <v>45518</v>
      </c>
      <c r="F1348" s="4">
        <v>45528</v>
      </c>
      <c r="G1348" s="2">
        <f t="shared" si="21"/>
        <v>10</v>
      </c>
      <c r="H1348" s="2">
        <v>56</v>
      </c>
      <c r="I1348" t="s">
        <v>78</v>
      </c>
      <c r="J1348" t="s">
        <v>9</v>
      </c>
      <c r="K1348" s="2">
        <v>11.78</v>
      </c>
      <c r="L1348" s="3">
        <v>416.74</v>
      </c>
      <c r="M1348" s="3">
        <f>orders_1[[#This Row],[products.Base_Price]]*orders_1[[#This Row],[Quantity]]</f>
        <v>23337.440000000002</v>
      </c>
      <c r="N1348" t="s">
        <v>17</v>
      </c>
      <c r="O1348" t="s">
        <v>10</v>
      </c>
      <c r="P1348" t="s">
        <v>19</v>
      </c>
    </row>
    <row r="1349" spans="1:16" x14ac:dyDescent="0.3">
      <c r="A1349" s="2">
        <v>11348</v>
      </c>
      <c r="B1349" s="2">
        <v>797</v>
      </c>
      <c r="C1349" s="2">
        <v>2074</v>
      </c>
      <c r="D1349" s="2">
        <v>314</v>
      </c>
      <c r="E1349" s="4">
        <v>45513</v>
      </c>
      <c r="F1349" s="4">
        <v>45521</v>
      </c>
      <c r="G1349" s="2">
        <f t="shared" si="21"/>
        <v>8</v>
      </c>
      <c r="H1349" s="2">
        <v>15</v>
      </c>
      <c r="I1349" t="s">
        <v>78</v>
      </c>
      <c r="J1349" t="s">
        <v>13</v>
      </c>
      <c r="K1349" s="2">
        <v>41.45</v>
      </c>
      <c r="L1349" s="3">
        <v>650.42999999999995</v>
      </c>
      <c r="M1349" s="3">
        <f>orders_1[[#This Row],[products.Base_Price]]*orders_1[[#This Row],[Quantity]]</f>
        <v>9756.4499999999989</v>
      </c>
      <c r="N1349" t="s">
        <v>17</v>
      </c>
      <c r="O1349" t="s">
        <v>14</v>
      </c>
      <c r="P1349" t="s">
        <v>19</v>
      </c>
    </row>
    <row r="1350" spans="1:16" x14ac:dyDescent="0.3">
      <c r="A1350" s="2">
        <v>11349</v>
      </c>
      <c r="B1350" s="2">
        <v>585</v>
      </c>
      <c r="C1350" s="2">
        <v>2012</v>
      </c>
      <c r="D1350" s="2">
        <v>310</v>
      </c>
      <c r="E1350" s="4">
        <v>45302</v>
      </c>
      <c r="F1350" s="4">
        <v>45304</v>
      </c>
      <c r="G1350" s="2">
        <f t="shared" si="21"/>
        <v>2</v>
      </c>
      <c r="H1350" s="2">
        <v>17</v>
      </c>
      <c r="I1350" t="s">
        <v>36</v>
      </c>
      <c r="J1350" t="s">
        <v>21</v>
      </c>
      <c r="K1350" s="2">
        <v>34.93</v>
      </c>
      <c r="L1350" s="3">
        <v>327.92</v>
      </c>
      <c r="M1350" s="3">
        <f>orders_1[[#This Row],[products.Base_Price]]*orders_1[[#This Row],[Quantity]]</f>
        <v>5574.64</v>
      </c>
      <c r="N1350" t="s">
        <v>26</v>
      </c>
      <c r="O1350" t="s">
        <v>25</v>
      </c>
      <c r="P1350" t="s">
        <v>11</v>
      </c>
    </row>
    <row r="1351" spans="1:16" x14ac:dyDescent="0.3">
      <c r="A1351" s="2">
        <v>11350</v>
      </c>
      <c r="B1351" s="2">
        <v>599</v>
      </c>
      <c r="C1351" s="2">
        <v>2010</v>
      </c>
      <c r="D1351" s="2">
        <v>317</v>
      </c>
      <c r="E1351" s="4">
        <v>45364</v>
      </c>
      <c r="F1351" s="4">
        <v>45366</v>
      </c>
      <c r="G1351" s="2">
        <f t="shared" si="21"/>
        <v>2</v>
      </c>
      <c r="H1351" s="2">
        <v>24</v>
      </c>
      <c r="I1351" t="s">
        <v>36</v>
      </c>
      <c r="J1351" t="s">
        <v>13</v>
      </c>
      <c r="K1351" s="2">
        <v>9.58</v>
      </c>
      <c r="L1351" s="3">
        <v>440.93</v>
      </c>
      <c r="M1351" s="3">
        <f>orders_1[[#This Row],[products.Base_Price]]*orders_1[[#This Row],[Quantity]]</f>
        <v>10582.32</v>
      </c>
      <c r="N1351" t="s">
        <v>20</v>
      </c>
      <c r="O1351" t="s">
        <v>25</v>
      </c>
      <c r="P1351" t="s">
        <v>19</v>
      </c>
    </row>
    <row r="1352" spans="1:16" x14ac:dyDescent="0.3">
      <c r="A1352" s="2">
        <v>11351</v>
      </c>
      <c r="B1352" s="2">
        <v>509</v>
      </c>
      <c r="C1352" s="2">
        <v>2050</v>
      </c>
      <c r="D1352" s="2">
        <v>315</v>
      </c>
      <c r="E1352" s="4">
        <v>45570</v>
      </c>
      <c r="F1352" s="4">
        <v>45575</v>
      </c>
      <c r="G1352" s="2">
        <f t="shared" si="21"/>
        <v>5</v>
      </c>
      <c r="H1352" s="2">
        <v>44</v>
      </c>
      <c r="I1352" t="s">
        <v>78</v>
      </c>
      <c r="J1352" t="s">
        <v>21</v>
      </c>
      <c r="K1352" s="2">
        <v>36.43</v>
      </c>
      <c r="L1352" s="3">
        <v>507.16</v>
      </c>
      <c r="M1352" s="3">
        <f>orders_1[[#This Row],[products.Base_Price]]*orders_1[[#This Row],[Quantity]]</f>
        <v>22315.040000000001</v>
      </c>
      <c r="N1352" t="s">
        <v>15</v>
      </c>
      <c r="O1352" t="s">
        <v>25</v>
      </c>
      <c r="P1352" t="s">
        <v>19</v>
      </c>
    </row>
    <row r="1353" spans="1:16" x14ac:dyDescent="0.3">
      <c r="A1353" s="2">
        <v>11352</v>
      </c>
      <c r="B1353" s="2">
        <v>688</v>
      </c>
      <c r="C1353" s="2">
        <v>2030</v>
      </c>
      <c r="D1353" s="2">
        <v>304</v>
      </c>
      <c r="E1353" s="4">
        <v>45626</v>
      </c>
      <c r="F1353" s="4">
        <v>45636</v>
      </c>
      <c r="G1353" s="2">
        <f t="shared" si="21"/>
        <v>10</v>
      </c>
      <c r="H1353" s="2">
        <v>47</v>
      </c>
      <c r="I1353" t="s">
        <v>36</v>
      </c>
      <c r="J1353" t="s">
        <v>13</v>
      </c>
      <c r="K1353" s="2">
        <v>27.52</v>
      </c>
      <c r="L1353" s="3">
        <v>537.03</v>
      </c>
      <c r="M1353" s="3">
        <f>orders_1[[#This Row],[products.Base_Price]]*orders_1[[#This Row],[Quantity]]</f>
        <v>25240.41</v>
      </c>
      <c r="N1353" t="s">
        <v>17</v>
      </c>
      <c r="O1353" t="s">
        <v>18</v>
      </c>
      <c r="P1353" t="s">
        <v>19</v>
      </c>
    </row>
    <row r="1354" spans="1:16" x14ac:dyDescent="0.3">
      <c r="A1354" s="2">
        <v>11353</v>
      </c>
      <c r="B1354" s="2">
        <v>609</v>
      </c>
      <c r="C1354" s="2">
        <v>2052</v>
      </c>
      <c r="D1354" s="2">
        <v>309</v>
      </c>
      <c r="E1354" s="4">
        <v>45309</v>
      </c>
      <c r="F1354" s="4">
        <v>45312</v>
      </c>
      <c r="G1354" s="2">
        <f t="shared" si="21"/>
        <v>3</v>
      </c>
      <c r="H1354" s="2">
        <v>45</v>
      </c>
      <c r="I1354" t="s">
        <v>78</v>
      </c>
      <c r="J1354" t="s">
        <v>27</v>
      </c>
      <c r="K1354" s="2">
        <v>47.35</v>
      </c>
      <c r="L1354" s="3">
        <v>665.2</v>
      </c>
      <c r="M1354" s="3">
        <f>orders_1[[#This Row],[products.Base_Price]]*orders_1[[#This Row],[Quantity]]</f>
        <v>29934.000000000004</v>
      </c>
      <c r="N1354" t="s">
        <v>24</v>
      </c>
      <c r="O1354" t="s">
        <v>25</v>
      </c>
      <c r="P1354" t="s">
        <v>16</v>
      </c>
    </row>
    <row r="1355" spans="1:16" x14ac:dyDescent="0.3">
      <c r="A1355" s="2">
        <v>11354</v>
      </c>
      <c r="B1355" s="2">
        <v>544</v>
      </c>
      <c r="C1355" s="2">
        <v>2028</v>
      </c>
      <c r="D1355" s="2">
        <v>307</v>
      </c>
      <c r="E1355" s="4">
        <v>45412</v>
      </c>
      <c r="F1355" s="4">
        <v>45416</v>
      </c>
      <c r="G1355" s="2">
        <f t="shared" si="21"/>
        <v>4</v>
      </c>
      <c r="H1355" s="2">
        <v>48</v>
      </c>
      <c r="I1355" t="s">
        <v>78</v>
      </c>
      <c r="J1355" t="s">
        <v>13</v>
      </c>
      <c r="K1355" s="2">
        <v>30.34</v>
      </c>
      <c r="L1355" s="3">
        <v>630.65</v>
      </c>
      <c r="M1355" s="3">
        <f>orders_1[[#This Row],[products.Base_Price]]*orders_1[[#This Row],[Quantity]]</f>
        <v>30271.199999999997</v>
      </c>
      <c r="N1355" t="s">
        <v>17</v>
      </c>
      <c r="O1355" t="s">
        <v>10</v>
      </c>
      <c r="P1355" t="s">
        <v>11</v>
      </c>
    </row>
    <row r="1356" spans="1:16" x14ac:dyDescent="0.3">
      <c r="A1356" s="2">
        <v>11355</v>
      </c>
      <c r="B1356" s="2">
        <v>860</v>
      </c>
      <c r="C1356" s="2">
        <v>2047</v>
      </c>
      <c r="D1356" s="2">
        <v>320</v>
      </c>
      <c r="E1356" s="4">
        <v>45572</v>
      </c>
      <c r="F1356" s="4">
        <v>45575</v>
      </c>
      <c r="G1356" s="2">
        <f t="shared" si="21"/>
        <v>3</v>
      </c>
      <c r="H1356" s="2">
        <v>45</v>
      </c>
      <c r="I1356" t="s">
        <v>78</v>
      </c>
      <c r="J1356" t="s">
        <v>27</v>
      </c>
      <c r="K1356" s="2">
        <v>31.72</v>
      </c>
      <c r="L1356" s="3">
        <v>210.46</v>
      </c>
      <c r="M1356" s="3">
        <f>orders_1[[#This Row],[products.Base_Price]]*orders_1[[#This Row],[Quantity]]</f>
        <v>9470.7000000000007</v>
      </c>
      <c r="N1356" t="s">
        <v>15</v>
      </c>
      <c r="O1356" t="s">
        <v>25</v>
      </c>
      <c r="P1356" t="s">
        <v>11</v>
      </c>
    </row>
    <row r="1357" spans="1:16" x14ac:dyDescent="0.3">
      <c r="A1357" s="2">
        <v>11356</v>
      </c>
      <c r="B1357" s="2">
        <v>532</v>
      </c>
      <c r="C1357" s="2">
        <v>2026</v>
      </c>
      <c r="D1357" s="2">
        <v>315</v>
      </c>
      <c r="E1357" s="4">
        <v>45555</v>
      </c>
      <c r="F1357" s="4">
        <v>45559</v>
      </c>
      <c r="G1357" s="2">
        <f t="shared" si="21"/>
        <v>4</v>
      </c>
      <c r="H1357" s="2">
        <v>1</v>
      </c>
      <c r="I1357" t="s">
        <v>36</v>
      </c>
      <c r="J1357" t="s">
        <v>22</v>
      </c>
      <c r="K1357" s="2">
        <v>23.02</v>
      </c>
      <c r="L1357" s="3">
        <v>858.57</v>
      </c>
      <c r="M1357" s="3">
        <f>orders_1[[#This Row],[products.Base_Price]]*orders_1[[#This Row],[Quantity]]</f>
        <v>858.57</v>
      </c>
      <c r="N1357" t="s">
        <v>15</v>
      </c>
      <c r="O1357" t="s">
        <v>25</v>
      </c>
      <c r="P1357" t="s">
        <v>19</v>
      </c>
    </row>
    <row r="1358" spans="1:16" x14ac:dyDescent="0.3">
      <c r="A1358" s="2">
        <v>11357</v>
      </c>
      <c r="B1358" s="2">
        <v>740</v>
      </c>
      <c r="C1358" s="2">
        <v>2031</v>
      </c>
      <c r="D1358" s="2">
        <v>319</v>
      </c>
      <c r="E1358" s="4">
        <v>45578</v>
      </c>
      <c r="F1358" s="4">
        <v>45581</v>
      </c>
      <c r="G1358" s="2">
        <f t="shared" si="21"/>
        <v>3</v>
      </c>
      <c r="H1358" s="2">
        <v>3</v>
      </c>
      <c r="I1358" t="s">
        <v>39</v>
      </c>
      <c r="J1358" t="s">
        <v>27</v>
      </c>
      <c r="K1358" s="2">
        <v>24.61</v>
      </c>
      <c r="L1358" s="3">
        <v>342.86</v>
      </c>
      <c r="M1358" s="3">
        <f>orders_1[[#This Row],[products.Base_Price]]*orders_1[[#This Row],[Quantity]]</f>
        <v>1028.58</v>
      </c>
      <c r="N1358" t="s">
        <v>20</v>
      </c>
      <c r="O1358" t="s">
        <v>18</v>
      </c>
      <c r="P1358" t="s">
        <v>11</v>
      </c>
    </row>
    <row r="1359" spans="1:16" x14ac:dyDescent="0.3">
      <c r="A1359" s="2">
        <v>11358</v>
      </c>
      <c r="B1359" s="2">
        <v>639</v>
      </c>
      <c r="C1359" s="2">
        <v>2068</v>
      </c>
      <c r="D1359" s="2">
        <v>306</v>
      </c>
      <c r="E1359" s="4">
        <v>45442</v>
      </c>
      <c r="F1359" s="4">
        <v>45449</v>
      </c>
      <c r="G1359" s="2">
        <f t="shared" si="21"/>
        <v>7</v>
      </c>
      <c r="H1359" s="2">
        <v>66</v>
      </c>
      <c r="I1359" t="s">
        <v>78</v>
      </c>
      <c r="J1359" t="s">
        <v>27</v>
      </c>
      <c r="K1359" s="2">
        <v>47.08</v>
      </c>
      <c r="L1359" s="3">
        <v>501.03</v>
      </c>
      <c r="M1359" s="3">
        <f>orders_1[[#This Row],[products.Base_Price]]*orders_1[[#This Row],[Quantity]]</f>
        <v>33067.979999999996</v>
      </c>
      <c r="N1359" t="s">
        <v>8</v>
      </c>
      <c r="O1359" t="s">
        <v>10</v>
      </c>
      <c r="P1359" t="s">
        <v>16</v>
      </c>
    </row>
    <row r="1360" spans="1:16" x14ac:dyDescent="0.3">
      <c r="A1360" s="2">
        <v>11359</v>
      </c>
      <c r="B1360" s="2">
        <v>681</v>
      </c>
      <c r="C1360" s="2">
        <v>2067</v>
      </c>
      <c r="D1360" s="2">
        <v>316</v>
      </c>
      <c r="E1360" s="4">
        <v>45503</v>
      </c>
      <c r="F1360" s="4">
        <v>45505</v>
      </c>
      <c r="G1360" s="2">
        <f t="shared" si="21"/>
        <v>2</v>
      </c>
      <c r="H1360" s="2">
        <v>15</v>
      </c>
      <c r="I1360" t="s">
        <v>36</v>
      </c>
      <c r="J1360" t="s">
        <v>9</v>
      </c>
      <c r="K1360" s="2">
        <v>24.79</v>
      </c>
      <c r="L1360" s="3">
        <v>48.68</v>
      </c>
      <c r="M1360" s="3">
        <f>orders_1[[#This Row],[products.Base_Price]]*orders_1[[#This Row],[Quantity]]</f>
        <v>730.2</v>
      </c>
      <c r="N1360" t="s">
        <v>24</v>
      </c>
      <c r="O1360" t="s">
        <v>25</v>
      </c>
      <c r="P1360" t="s">
        <v>19</v>
      </c>
    </row>
    <row r="1361" spans="1:16" x14ac:dyDescent="0.3">
      <c r="A1361" s="2">
        <v>11360</v>
      </c>
      <c r="B1361" s="2">
        <v>893</v>
      </c>
      <c r="C1361" s="2">
        <v>2088</v>
      </c>
      <c r="D1361" s="2">
        <v>311</v>
      </c>
      <c r="E1361" s="4">
        <v>45353</v>
      </c>
      <c r="F1361" s="4">
        <v>45361</v>
      </c>
      <c r="G1361" s="2">
        <f t="shared" si="21"/>
        <v>8</v>
      </c>
      <c r="H1361" s="2">
        <v>89</v>
      </c>
      <c r="I1361" t="s">
        <v>78</v>
      </c>
      <c r="J1361" t="s">
        <v>13</v>
      </c>
      <c r="K1361" s="2">
        <v>27.71</v>
      </c>
      <c r="L1361" s="3">
        <v>820.21</v>
      </c>
      <c r="M1361" s="3">
        <f>orders_1[[#This Row],[products.Base_Price]]*orders_1[[#This Row],[Quantity]]</f>
        <v>72998.69</v>
      </c>
      <c r="N1361" t="s">
        <v>26</v>
      </c>
      <c r="O1361" t="s">
        <v>10</v>
      </c>
      <c r="P1361" t="s">
        <v>11</v>
      </c>
    </row>
    <row r="1362" spans="1:16" x14ac:dyDescent="0.3">
      <c r="A1362" s="2">
        <v>11361</v>
      </c>
      <c r="B1362" s="2">
        <v>834</v>
      </c>
      <c r="C1362" s="2">
        <v>2044</v>
      </c>
      <c r="D1362" s="2">
        <v>314</v>
      </c>
      <c r="E1362" s="4">
        <v>45348</v>
      </c>
      <c r="F1362" s="4">
        <v>45355</v>
      </c>
      <c r="G1362" s="2">
        <f t="shared" si="21"/>
        <v>7</v>
      </c>
      <c r="H1362" s="2">
        <v>58</v>
      </c>
      <c r="I1362" t="s">
        <v>39</v>
      </c>
      <c r="J1362" t="s">
        <v>21</v>
      </c>
      <c r="K1362" s="2">
        <v>11.44</v>
      </c>
      <c r="L1362" s="3">
        <v>939.99</v>
      </c>
      <c r="M1362" s="3">
        <f>orders_1[[#This Row],[products.Base_Price]]*orders_1[[#This Row],[Quantity]]</f>
        <v>54519.42</v>
      </c>
      <c r="N1362" t="s">
        <v>17</v>
      </c>
      <c r="O1362" t="s">
        <v>14</v>
      </c>
      <c r="P1362" t="s">
        <v>19</v>
      </c>
    </row>
    <row r="1363" spans="1:16" x14ac:dyDescent="0.3">
      <c r="A1363" s="2">
        <v>11362</v>
      </c>
      <c r="B1363" s="2">
        <v>679</v>
      </c>
      <c r="C1363" s="2">
        <v>2027</v>
      </c>
      <c r="D1363" s="2">
        <v>305</v>
      </c>
      <c r="E1363" s="4">
        <v>45558</v>
      </c>
      <c r="F1363" s="4">
        <v>45560</v>
      </c>
      <c r="G1363" s="2">
        <f t="shared" si="21"/>
        <v>2</v>
      </c>
      <c r="H1363" s="2">
        <v>32</v>
      </c>
      <c r="I1363" t="s">
        <v>78</v>
      </c>
      <c r="J1363" t="s">
        <v>13</v>
      </c>
      <c r="K1363" s="2">
        <v>45.95</v>
      </c>
      <c r="L1363" s="3">
        <v>454.58</v>
      </c>
      <c r="M1363" s="3">
        <f>orders_1[[#This Row],[products.Base_Price]]*orders_1[[#This Row],[Quantity]]</f>
        <v>14546.56</v>
      </c>
      <c r="N1363" t="s">
        <v>20</v>
      </c>
      <c r="O1363" t="s">
        <v>10</v>
      </c>
      <c r="P1363" t="s">
        <v>19</v>
      </c>
    </row>
    <row r="1364" spans="1:16" x14ac:dyDescent="0.3">
      <c r="A1364" s="2">
        <v>11363</v>
      </c>
      <c r="B1364" s="2">
        <v>725</v>
      </c>
      <c r="C1364" s="2">
        <v>2100</v>
      </c>
      <c r="D1364" s="2">
        <v>308</v>
      </c>
      <c r="E1364" s="4">
        <v>45586</v>
      </c>
      <c r="F1364" s="4">
        <v>45594</v>
      </c>
      <c r="G1364" s="2">
        <f t="shared" si="21"/>
        <v>8</v>
      </c>
      <c r="H1364" s="2">
        <v>5</v>
      </c>
      <c r="I1364" t="s">
        <v>42</v>
      </c>
      <c r="J1364" t="s">
        <v>27</v>
      </c>
      <c r="K1364" s="2">
        <v>2.2799999999999998</v>
      </c>
      <c r="L1364" s="3">
        <v>813.8</v>
      </c>
      <c r="M1364" s="3">
        <f>orders_1[[#This Row],[products.Base_Price]]*orders_1[[#This Row],[Quantity]]</f>
        <v>4069</v>
      </c>
      <c r="N1364" t="s">
        <v>23</v>
      </c>
      <c r="O1364" t="s">
        <v>14</v>
      </c>
      <c r="P1364" t="s">
        <v>19</v>
      </c>
    </row>
    <row r="1365" spans="1:16" x14ac:dyDescent="0.3">
      <c r="A1365" s="2">
        <v>11364</v>
      </c>
      <c r="B1365" s="2">
        <v>792</v>
      </c>
      <c r="C1365" s="2">
        <v>2082</v>
      </c>
      <c r="D1365" s="2">
        <v>305</v>
      </c>
      <c r="E1365" s="4">
        <v>45653</v>
      </c>
      <c r="F1365" s="4">
        <v>45656</v>
      </c>
      <c r="G1365" s="2">
        <f t="shared" si="21"/>
        <v>3</v>
      </c>
      <c r="H1365" s="2">
        <v>53</v>
      </c>
      <c r="I1365" t="s">
        <v>36</v>
      </c>
      <c r="J1365" t="s">
        <v>22</v>
      </c>
      <c r="K1365" s="2">
        <v>41.79</v>
      </c>
      <c r="L1365" s="3">
        <v>352.17</v>
      </c>
      <c r="M1365" s="3">
        <f>orders_1[[#This Row],[products.Base_Price]]*orders_1[[#This Row],[Quantity]]</f>
        <v>18665.010000000002</v>
      </c>
      <c r="N1365" t="s">
        <v>20</v>
      </c>
      <c r="O1365" t="s">
        <v>10</v>
      </c>
      <c r="P1365" t="s">
        <v>19</v>
      </c>
    </row>
    <row r="1366" spans="1:16" x14ac:dyDescent="0.3">
      <c r="A1366" s="2">
        <v>11365</v>
      </c>
      <c r="B1366" s="2">
        <v>570</v>
      </c>
      <c r="C1366" s="2">
        <v>2067</v>
      </c>
      <c r="D1366" s="2">
        <v>305</v>
      </c>
      <c r="E1366" s="4">
        <v>45372</v>
      </c>
      <c r="F1366" s="4">
        <v>45375</v>
      </c>
      <c r="G1366" s="2">
        <f t="shared" si="21"/>
        <v>3</v>
      </c>
      <c r="H1366" s="2">
        <v>44</v>
      </c>
      <c r="I1366" t="s">
        <v>39</v>
      </c>
      <c r="J1366" t="s">
        <v>9</v>
      </c>
      <c r="K1366" s="2">
        <v>24.79</v>
      </c>
      <c r="L1366" s="3">
        <v>48.68</v>
      </c>
      <c r="M1366" s="3">
        <f>orders_1[[#This Row],[products.Base_Price]]*orders_1[[#This Row],[Quantity]]</f>
        <v>2141.92</v>
      </c>
      <c r="N1366" t="s">
        <v>20</v>
      </c>
      <c r="O1366" t="s">
        <v>10</v>
      </c>
      <c r="P1366" t="s">
        <v>19</v>
      </c>
    </row>
    <row r="1367" spans="1:16" x14ac:dyDescent="0.3">
      <c r="A1367" s="2">
        <v>11366</v>
      </c>
      <c r="B1367" s="2">
        <v>598</v>
      </c>
      <c r="C1367" s="2">
        <v>2070</v>
      </c>
      <c r="D1367" s="2">
        <v>310</v>
      </c>
      <c r="E1367" s="4">
        <v>45332</v>
      </c>
      <c r="F1367" s="4">
        <v>45342</v>
      </c>
      <c r="G1367" s="2">
        <f t="shared" si="21"/>
        <v>10</v>
      </c>
      <c r="H1367" s="2">
        <v>99</v>
      </c>
      <c r="I1367" t="s">
        <v>42</v>
      </c>
      <c r="J1367" t="s">
        <v>22</v>
      </c>
      <c r="K1367" s="2">
        <v>22.6</v>
      </c>
      <c r="L1367" s="3">
        <v>196.67</v>
      </c>
      <c r="M1367" s="3">
        <f>orders_1[[#This Row],[products.Base_Price]]*orders_1[[#This Row],[Quantity]]</f>
        <v>19470.329999999998</v>
      </c>
      <c r="N1367" t="s">
        <v>26</v>
      </c>
      <c r="O1367" t="s">
        <v>25</v>
      </c>
      <c r="P1367" t="s">
        <v>11</v>
      </c>
    </row>
    <row r="1368" spans="1:16" x14ac:dyDescent="0.3">
      <c r="A1368" s="2">
        <v>11367</v>
      </c>
      <c r="B1368" s="2">
        <v>704</v>
      </c>
      <c r="C1368" s="2">
        <v>2040</v>
      </c>
      <c r="D1368" s="2">
        <v>313</v>
      </c>
      <c r="E1368" s="4">
        <v>45420</v>
      </c>
      <c r="F1368" s="4">
        <v>45424</v>
      </c>
      <c r="G1368" s="2">
        <f t="shared" si="21"/>
        <v>4</v>
      </c>
      <c r="H1368" s="2">
        <v>19</v>
      </c>
      <c r="I1368" t="s">
        <v>36</v>
      </c>
      <c r="J1368" t="s">
        <v>27</v>
      </c>
      <c r="K1368" s="2">
        <v>3.71</v>
      </c>
      <c r="L1368" s="3">
        <v>27.53</v>
      </c>
      <c r="M1368" s="3">
        <f>orders_1[[#This Row],[products.Base_Price]]*orders_1[[#This Row],[Quantity]]</f>
        <v>523.07000000000005</v>
      </c>
      <c r="N1368" t="s">
        <v>15</v>
      </c>
      <c r="O1368" t="s">
        <v>25</v>
      </c>
      <c r="P1368" t="s">
        <v>16</v>
      </c>
    </row>
    <row r="1369" spans="1:16" x14ac:dyDescent="0.3">
      <c r="A1369" s="2">
        <v>11368</v>
      </c>
      <c r="B1369" s="2">
        <v>877</v>
      </c>
      <c r="C1369" s="2">
        <v>2020</v>
      </c>
      <c r="D1369" s="2">
        <v>308</v>
      </c>
      <c r="E1369" s="4">
        <v>45366</v>
      </c>
      <c r="F1369" s="4">
        <v>45375</v>
      </c>
      <c r="G1369" s="2">
        <f t="shared" si="21"/>
        <v>9</v>
      </c>
      <c r="H1369" s="2">
        <v>54</v>
      </c>
      <c r="I1369" t="s">
        <v>39</v>
      </c>
      <c r="J1369" t="s">
        <v>27</v>
      </c>
      <c r="K1369" s="2">
        <v>35.94</v>
      </c>
      <c r="L1369" s="3">
        <v>44.04</v>
      </c>
      <c r="M1369" s="3">
        <f>orders_1[[#This Row],[products.Base_Price]]*orders_1[[#This Row],[Quantity]]</f>
        <v>2378.16</v>
      </c>
      <c r="N1369" t="s">
        <v>23</v>
      </c>
      <c r="O1369" t="s">
        <v>14</v>
      </c>
      <c r="P1369" t="s">
        <v>19</v>
      </c>
    </row>
    <row r="1370" spans="1:16" x14ac:dyDescent="0.3">
      <c r="A1370" s="2">
        <v>11369</v>
      </c>
      <c r="B1370" s="2">
        <v>646</v>
      </c>
      <c r="C1370" s="2">
        <v>2075</v>
      </c>
      <c r="D1370" s="2">
        <v>302</v>
      </c>
      <c r="E1370" s="4">
        <v>45434</v>
      </c>
      <c r="F1370" s="4">
        <v>45441</v>
      </c>
      <c r="G1370" s="2">
        <f t="shared" si="21"/>
        <v>7</v>
      </c>
      <c r="H1370" s="2">
        <v>32</v>
      </c>
      <c r="I1370" t="s">
        <v>78</v>
      </c>
      <c r="J1370" t="s">
        <v>27</v>
      </c>
      <c r="K1370" s="2">
        <v>16.57</v>
      </c>
      <c r="L1370" s="3">
        <v>429.9</v>
      </c>
      <c r="M1370" s="3">
        <f>orders_1[[#This Row],[products.Base_Price]]*orders_1[[#This Row],[Quantity]]</f>
        <v>13756.8</v>
      </c>
      <c r="N1370" t="s">
        <v>12</v>
      </c>
      <c r="O1370" t="s">
        <v>14</v>
      </c>
      <c r="P1370" t="s">
        <v>11</v>
      </c>
    </row>
    <row r="1371" spans="1:16" x14ac:dyDescent="0.3">
      <c r="A1371" s="2">
        <v>11370</v>
      </c>
      <c r="B1371" s="2">
        <v>551</v>
      </c>
      <c r="C1371" s="2">
        <v>2028</v>
      </c>
      <c r="D1371" s="2">
        <v>318</v>
      </c>
      <c r="E1371" s="4">
        <v>45635</v>
      </c>
      <c r="F1371" s="4">
        <v>45639</v>
      </c>
      <c r="G1371" s="2">
        <f t="shared" si="21"/>
        <v>4</v>
      </c>
      <c r="H1371" s="2">
        <v>6</v>
      </c>
      <c r="I1371" t="s">
        <v>42</v>
      </c>
      <c r="J1371" t="s">
        <v>13</v>
      </c>
      <c r="K1371" s="2">
        <v>30.34</v>
      </c>
      <c r="L1371" s="3">
        <v>630.65</v>
      </c>
      <c r="M1371" s="3">
        <f>orders_1[[#This Row],[products.Base_Price]]*orders_1[[#This Row],[Quantity]]</f>
        <v>3783.8999999999996</v>
      </c>
      <c r="N1371" t="s">
        <v>17</v>
      </c>
      <c r="O1371" t="s">
        <v>10</v>
      </c>
      <c r="P1371" t="s">
        <v>19</v>
      </c>
    </row>
    <row r="1372" spans="1:16" x14ac:dyDescent="0.3">
      <c r="A1372" s="2">
        <v>11371</v>
      </c>
      <c r="B1372" s="2">
        <v>599</v>
      </c>
      <c r="C1372" s="2">
        <v>2037</v>
      </c>
      <c r="D1372" s="2">
        <v>320</v>
      </c>
      <c r="E1372" s="4">
        <v>45476</v>
      </c>
      <c r="F1372" s="4">
        <v>45484</v>
      </c>
      <c r="G1372" s="2">
        <f t="shared" si="21"/>
        <v>8</v>
      </c>
      <c r="H1372" s="2">
        <v>51</v>
      </c>
      <c r="I1372" t="s">
        <v>78</v>
      </c>
      <c r="J1372" t="s">
        <v>21</v>
      </c>
      <c r="K1372" s="2">
        <v>29.23</v>
      </c>
      <c r="L1372" s="3">
        <v>491.44</v>
      </c>
      <c r="M1372" s="3">
        <f>orders_1[[#This Row],[products.Base_Price]]*orders_1[[#This Row],[Quantity]]</f>
        <v>25063.439999999999</v>
      </c>
      <c r="N1372" t="s">
        <v>15</v>
      </c>
      <c r="O1372" t="s">
        <v>25</v>
      </c>
      <c r="P1372" t="s">
        <v>11</v>
      </c>
    </row>
    <row r="1373" spans="1:16" x14ac:dyDescent="0.3">
      <c r="A1373" s="2">
        <v>11372</v>
      </c>
      <c r="B1373" s="2">
        <v>794</v>
      </c>
      <c r="C1373" s="2">
        <v>2027</v>
      </c>
      <c r="D1373" s="2">
        <v>308</v>
      </c>
      <c r="E1373" s="4">
        <v>45489</v>
      </c>
      <c r="F1373" s="4">
        <v>45499</v>
      </c>
      <c r="G1373" s="2">
        <f t="shared" si="21"/>
        <v>10</v>
      </c>
      <c r="H1373" s="2">
        <v>68</v>
      </c>
      <c r="I1373" t="s">
        <v>78</v>
      </c>
      <c r="J1373" t="s">
        <v>13</v>
      </c>
      <c r="K1373" s="2">
        <v>45.95</v>
      </c>
      <c r="L1373" s="3">
        <v>454.58</v>
      </c>
      <c r="M1373" s="3">
        <f>orders_1[[#This Row],[products.Base_Price]]*orders_1[[#This Row],[Quantity]]</f>
        <v>30911.439999999999</v>
      </c>
      <c r="N1373" t="s">
        <v>23</v>
      </c>
      <c r="O1373" t="s">
        <v>14</v>
      </c>
      <c r="P1373" t="s">
        <v>19</v>
      </c>
    </row>
    <row r="1374" spans="1:16" x14ac:dyDescent="0.3">
      <c r="A1374" s="2">
        <v>11373</v>
      </c>
      <c r="B1374" s="2">
        <v>763</v>
      </c>
      <c r="C1374" s="2">
        <v>2027</v>
      </c>
      <c r="D1374" s="2">
        <v>320</v>
      </c>
      <c r="E1374" s="4">
        <v>45329</v>
      </c>
      <c r="F1374" s="4">
        <v>45336</v>
      </c>
      <c r="G1374" s="2">
        <f t="shared" si="21"/>
        <v>7</v>
      </c>
      <c r="H1374" s="2">
        <v>66</v>
      </c>
      <c r="I1374" t="s">
        <v>39</v>
      </c>
      <c r="J1374" t="s">
        <v>13</v>
      </c>
      <c r="K1374" s="2">
        <v>45.95</v>
      </c>
      <c r="L1374" s="3">
        <v>454.58</v>
      </c>
      <c r="M1374" s="3">
        <f>orders_1[[#This Row],[products.Base_Price]]*orders_1[[#This Row],[Quantity]]</f>
        <v>30002.28</v>
      </c>
      <c r="N1374" t="s">
        <v>15</v>
      </c>
      <c r="O1374" t="s">
        <v>25</v>
      </c>
      <c r="P1374" t="s">
        <v>11</v>
      </c>
    </row>
    <row r="1375" spans="1:16" x14ac:dyDescent="0.3">
      <c r="A1375" s="2">
        <v>11374</v>
      </c>
      <c r="B1375" s="2">
        <v>767</v>
      </c>
      <c r="C1375" s="2">
        <v>2085</v>
      </c>
      <c r="D1375" s="2">
        <v>311</v>
      </c>
      <c r="E1375" s="4">
        <v>45373</v>
      </c>
      <c r="F1375" s="4">
        <v>45383</v>
      </c>
      <c r="G1375" s="2">
        <f t="shared" si="21"/>
        <v>10</v>
      </c>
      <c r="H1375" s="2">
        <v>83</v>
      </c>
      <c r="I1375" t="s">
        <v>78</v>
      </c>
      <c r="J1375" t="s">
        <v>22</v>
      </c>
      <c r="K1375" s="2">
        <v>47.56</v>
      </c>
      <c r="L1375" s="3">
        <v>131.63</v>
      </c>
      <c r="M1375" s="3">
        <f>orders_1[[#This Row],[products.Base_Price]]*orders_1[[#This Row],[Quantity]]</f>
        <v>10925.289999999999</v>
      </c>
      <c r="N1375" t="s">
        <v>26</v>
      </c>
      <c r="O1375" t="s">
        <v>10</v>
      </c>
      <c r="P1375" t="s">
        <v>11</v>
      </c>
    </row>
    <row r="1376" spans="1:16" x14ac:dyDescent="0.3">
      <c r="A1376" s="2">
        <v>11375</v>
      </c>
      <c r="B1376" s="2">
        <v>877</v>
      </c>
      <c r="C1376" s="2">
        <v>2068</v>
      </c>
      <c r="D1376" s="2">
        <v>307</v>
      </c>
      <c r="E1376" s="4">
        <v>45324</v>
      </c>
      <c r="F1376" s="4">
        <v>45325</v>
      </c>
      <c r="G1376" s="2">
        <f t="shared" si="21"/>
        <v>1</v>
      </c>
      <c r="H1376" s="2">
        <v>77</v>
      </c>
      <c r="I1376" t="s">
        <v>36</v>
      </c>
      <c r="J1376" t="s">
        <v>27</v>
      </c>
      <c r="K1376" s="2">
        <v>47.08</v>
      </c>
      <c r="L1376" s="3">
        <v>501.03</v>
      </c>
      <c r="M1376" s="3">
        <f>orders_1[[#This Row],[products.Base_Price]]*orders_1[[#This Row],[Quantity]]</f>
        <v>38579.31</v>
      </c>
      <c r="N1376" t="s">
        <v>17</v>
      </c>
      <c r="O1376" t="s">
        <v>10</v>
      </c>
      <c r="P1376" t="s">
        <v>11</v>
      </c>
    </row>
    <row r="1377" spans="1:16" x14ac:dyDescent="0.3">
      <c r="A1377" s="2">
        <v>11376</v>
      </c>
      <c r="B1377" s="2">
        <v>613</v>
      </c>
      <c r="C1377" s="2">
        <v>2002</v>
      </c>
      <c r="D1377" s="2">
        <v>319</v>
      </c>
      <c r="E1377" s="4">
        <v>45347</v>
      </c>
      <c r="F1377" s="4">
        <v>45348</v>
      </c>
      <c r="G1377" s="2">
        <f t="shared" si="21"/>
        <v>1</v>
      </c>
      <c r="H1377" s="2">
        <v>27</v>
      </c>
      <c r="I1377" t="s">
        <v>36</v>
      </c>
      <c r="J1377" t="s">
        <v>13</v>
      </c>
      <c r="K1377" s="2">
        <v>30.78</v>
      </c>
      <c r="L1377" s="3">
        <v>646.99</v>
      </c>
      <c r="M1377" s="3">
        <f>orders_1[[#This Row],[products.Base_Price]]*orders_1[[#This Row],[Quantity]]</f>
        <v>17468.73</v>
      </c>
      <c r="N1377" t="s">
        <v>20</v>
      </c>
      <c r="O1377" t="s">
        <v>18</v>
      </c>
      <c r="P1377" t="s">
        <v>11</v>
      </c>
    </row>
    <row r="1378" spans="1:16" x14ac:dyDescent="0.3">
      <c r="A1378" s="2">
        <v>11377</v>
      </c>
      <c r="B1378" s="2">
        <v>799</v>
      </c>
      <c r="C1378" s="2">
        <v>2004</v>
      </c>
      <c r="D1378" s="2">
        <v>307</v>
      </c>
      <c r="E1378" s="4">
        <v>45336</v>
      </c>
      <c r="F1378" s="4">
        <v>45345</v>
      </c>
      <c r="G1378" s="2">
        <f t="shared" si="21"/>
        <v>9</v>
      </c>
      <c r="H1378" s="2">
        <v>75</v>
      </c>
      <c r="I1378" t="s">
        <v>39</v>
      </c>
      <c r="J1378" t="s">
        <v>9</v>
      </c>
      <c r="K1378" s="2">
        <v>4.34</v>
      </c>
      <c r="L1378" s="3">
        <v>52.14</v>
      </c>
      <c r="M1378" s="3">
        <f>orders_1[[#This Row],[products.Base_Price]]*orders_1[[#This Row],[Quantity]]</f>
        <v>3910.5</v>
      </c>
      <c r="N1378" t="s">
        <v>17</v>
      </c>
      <c r="O1378" t="s">
        <v>10</v>
      </c>
      <c r="P1378" t="s">
        <v>11</v>
      </c>
    </row>
    <row r="1379" spans="1:16" x14ac:dyDescent="0.3">
      <c r="A1379" s="2">
        <v>11378</v>
      </c>
      <c r="B1379" s="2">
        <v>743</v>
      </c>
      <c r="C1379" s="2">
        <v>2008</v>
      </c>
      <c r="D1379" s="2">
        <v>301</v>
      </c>
      <c r="E1379" s="4">
        <v>45587</v>
      </c>
      <c r="F1379" s="4">
        <v>45591</v>
      </c>
      <c r="G1379" s="2">
        <f t="shared" si="21"/>
        <v>4</v>
      </c>
      <c r="H1379" s="2">
        <v>20</v>
      </c>
      <c r="I1379" t="s">
        <v>42</v>
      </c>
      <c r="J1379" t="s">
        <v>21</v>
      </c>
      <c r="K1379" s="2">
        <v>8.5</v>
      </c>
      <c r="L1379" s="3">
        <v>899.21</v>
      </c>
      <c r="M1379" s="3">
        <f>orders_1[[#This Row],[products.Base_Price]]*orders_1[[#This Row],[Quantity]]</f>
        <v>17984.2</v>
      </c>
      <c r="N1379" t="s">
        <v>8</v>
      </c>
      <c r="O1379" t="s">
        <v>10</v>
      </c>
      <c r="P1379" t="s">
        <v>11</v>
      </c>
    </row>
    <row r="1380" spans="1:16" x14ac:dyDescent="0.3">
      <c r="A1380" s="2">
        <v>11379</v>
      </c>
      <c r="B1380" s="2">
        <v>798</v>
      </c>
      <c r="C1380" s="2">
        <v>2098</v>
      </c>
      <c r="D1380" s="2">
        <v>315</v>
      </c>
      <c r="E1380" s="4">
        <v>45390</v>
      </c>
      <c r="F1380" s="4">
        <v>45399</v>
      </c>
      <c r="G1380" s="2">
        <f t="shared" si="21"/>
        <v>9</v>
      </c>
      <c r="H1380" s="2">
        <v>46</v>
      </c>
      <c r="I1380" t="s">
        <v>39</v>
      </c>
      <c r="J1380" t="s">
        <v>13</v>
      </c>
      <c r="K1380" s="2">
        <v>25.35</v>
      </c>
      <c r="L1380" s="3">
        <v>571.58000000000004</v>
      </c>
      <c r="M1380" s="3">
        <f>orders_1[[#This Row],[products.Base_Price]]*orders_1[[#This Row],[Quantity]]</f>
        <v>26292.68</v>
      </c>
      <c r="N1380" t="s">
        <v>15</v>
      </c>
      <c r="O1380" t="s">
        <v>25</v>
      </c>
      <c r="P1380" t="s">
        <v>19</v>
      </c>
    </row>
    <row r="1381" spans="1:16" x14ac:dyDescent="0.3">
      <c r="A1381" s="2">
        <v>11380</v>
      </c>
      <c r="B1381" s="2">
        <v>622</v>
      </c>
      <c r="C1381" s="2">
        <v>2076</v>
      </c>
      <c r="D1381" s="2">
        <v>311</v>
      </c>
      <c r="E1381" s="4">
        <v>45370</v>
      </c>
      <c r="F1381" s="4">
        <v>45373</v>
      </c>
      <c r="G1381" s="2">
        <f t="shared" si="21"/>
        <v>3</v>
      </c>
      <c r="H1381" s="2">
        <v>88</v>
      </c>
      <c r="I1381" t="s">
        <v>42</v>
      </c>
      <c r="J1381" t="s">
        <v>13</v>
      </c>
      <c r="K1381" s="2">
        <v>14.63</v>
      </c>
      <c r="L1381" s="3">
        <v>638.11</v>
      </c>
      <c r="M1381" s="3">
        <f>orders_1[[#This Row],[products.Base_Price]]*orders_1[[#This Row],[Quantity]]</f>
        <v>56153.68</v>
      </c>
      <c r="N1381" t="s">
        <v>26</v>
      </c>
      <c r="O1381" t="s">
        <v>10</v>
      </c>
      <c r="P1381" t="s">
        <v>11</v>
      </c>
    </row>
    <row r="1382" spans="1:16" x14ac:dyDescent="0.3">
      <c r="A1382" s="2">
        <v>11381</v>
      </c>
      <c r="B1382" s="2">
        <v>616</v>
      </c>
      <c r="C1382" s="2">
        <v>2072</v>
      </c>
      <c r="D1382" s="2">
        <v>307</v>
      </c>
      <c r="E1382" s="4">
        <v>45360</v>
      </c>
      <c r="F1382" s="4">
        <v>45370</v>
      </c>
      <c r="G1382" s="2">
        <f t="shared" si="21"/>
        <v>10</v>
      </c>
      <c r="H1382" s="2">
        <v>16</v>
      </c>
      <c r="I1382" t="s">
        <v>42</v>
      </c>
      <c r="J1382" t="s">
        <v>9</v>
      </c>
      <c r="K1382" s="2">
        <v>26.22</v>
      </c>
      <c r="L1382" s="3">
        <v>576.57000000000005</v>
      </c>
      <c r="M1382" s="3">
        <f>orders_1[[#This Row],[products.Base_Price]]*orders_1[[#This Row],[Quantity]]</f>
        <v>9225.1200000000008</v>
      </c>
      <c r="N1382" t="s">
        <v>17</v>
      </c>
      <c r="O1382" t="s">
        <v>10</v>
      </c>
      <c r="P1382" t="s">
        <v>11</v>
      </c>
    </row>
    <row r="1383" spans="1:16" x14ac:dyDescent="0.3">
      <c r="A1383" s="2">
        <v>11382</v>
      </c>
      <c r="B1383" s="2">
        <v>597</v>
      </c>
      <c r="C1383" s="2">
        <v>2075</v>
      </c>
      <c r="D1383" s="2">
        <v>312</v>
      </c>
      <c r="E1383" s="4">
        <v>45369</v>
      </c>
      <c r="F1383" s="4">
        <v>45379</v>
      </c>
      <c r="G1383" s="2">
        <f t="shared" si="21"/>
        <v>10</v>
      </c>
      <c r="H1383" s="2">
        <v>22</v>
      </c>
      <c r="I1383" t="s">
        <v>36</v>
      </c>
      <c r="J1383" t="s">
        <v>27</v>
      </c>
      <c r="K1383" s="2">
        <v>16.57</v>
      </c>
      <c r="L1383" s="3">
        <v>429.9</v>
      </c>
      <c r="M1383" s="3">
        <f>orders_1[[#This Row],[products.Base_Price]]*orders_1[[#This Row],[Quantity]]</f>
        <v>9457.7999999999993</v>
      </c>
      <c r="N1383" t="s">
        <v>15</v>
      </c>
      <c r="O1383" t="s">
        <v>10</v>
      </c>
      <c r="P1383" t="s">
        <v>11</v>
      </c>
    </row>
    <row r="1384" spans="1:16" x14ac:dyDescent="0.3">
      <c r="A1384" s="2">
        <v>11383</v>
      </c>
      <c r="B1384" s="2">
        <v>546</v>
      </c>
      <c r="C1384" s="2">
        <v>2053</v>
      </c>
      <c r="D1384" s="2">
        <v>307</v>
      </c>
      <c r="E1384" s="4">
        <v>45652</v>
      </c>
      <c r="F1384" s="4">
        <v>45654</v>
      </c>
      <c r="G1384" s="2">
        <f t="shared" si="21"/>
        <v>2</v>
      </c>
      <c r="H1384" s="2">
        <v>26</v>
      </c>
      <c r="I1384" t="s">
        <v>39</v>
      </c>
      <c r="J1384" t="s">
        <v>22</v>
      </c>
      <c r="K1384" s="2">
        <v>34.54</v>
      </c>
      <c r="L1384" s="3">
        <v>162.21</v>
      </c>
      <c r="M1384" s="3">
        <f>orders_1[[#This Row],[products.Base_Price]]*orders_1[[#This Row],[Quantity]]</f>
        <v>4217.46</v>
      </c>
      <c r="N1384" t="s">
        <v>17</v>
      </c>
      <c r="O1384" t="s">
        <v>10</v>
      </c>
      <c r="P1384" t="s">
        <v>11</v>
      </c>
    </row>
    <row r="1385" spans="1:16" x14ac:dyDescent="0.3">
      <c r="A1385" s="2">
        <v>11384</v>
      </c>
      <c r="B1385" s="2">
        <v>835</v>
      </c>
      <c r="C1385" s="2">
        <v>2072</v>
      </c>
      <c r="D1385" s="2">
        <v>310</v>
      </c>
      <c r="E1385" s="4">
        <v>45415</v>
      </c>
      <c r="F1385" s="4">
        <v>45425</v>
      </c>
      <c r="G1385" s="2">
        <f t="shared" si="21"/>
        <v>10</v>
      </c>
      <c r="H1385" s="2">
        <v>24</v>
      </c>
      <c r="I1385" t="s">
        <v>36</v>
      </c>
      <c r="J1385" t="s">
        <v>9</v>
      </c>
      <c r="K1385" s="2">
        <v>26.22</v>
      </c>
      <c r="L1385" s="3">
        <v>576.57000000000005</v>
      </c>
      <c r="M1385" s="3">
        <f>orders_1[[#This Row],[products.Base_Price]]*orders_1[[#This Row],[Quantity]]</f>
        <v>13837.68</v>
      </c>
      <c r="N1385" t="s">
        <v>26</v>
      </c>
      <c r="O1385" t="s">
        <v>25</v>
      </c>
      <c r="P1385" t="s">
        <v>11</v>
      </c>
    </row>
    <row r="1386" spans="1:16" x14ac:dyDescent="0.3">
      <c r="A1386" s="2">
        <v>11385</v>
      </c>
      <c r="B1386" s="2">
        <v>881</v>
      </c>
      <c r="C1386" s="2">
        <v>2004</v>
      </c>
      <c r="D1386" s="2">
        <v>303</v>
      </c>
      <c r="E1386" s="4">
        <v>45554</v>
      </c>
      <c r="F1386" s="4">
        <v>45564</v>
      </c>
      <c r="G1386" s="2">
        <f t="shared" si="21"/>
        <v>10</v>
      </c>
      <c r="H1386" s="2">
        <v>78</v>
      </c>
      <c r="I1386" t="s">
        <v>78</v>
      </c>
      <c r="J1386" t="s">
        <v>9</v>
      </c>
      <c r="K1386" s="2">
        <v>4.34</v>
      </c>
      <c r="L1386" s="3">
        <v>52.14</v>
      </c>
      <c r="M1386" s="3">
        <f>orders_1[[#This Row],[products.Base_Price]]*orders_1[[#This Row],[Quantity]]</f>
        <v>4066.92</v>
      </c>
      <c r="N1386" t="s">
        <v>15</v>
      </c>
      <c r="O1386" t="s">
        <v>10</v>
      </c>
      <c r="P1386" t="s">
        <v>16</v>
      </c>
    </row>
    <row r="1387" spans="1:16" x14ac:dyDescent="0.3">
      <c r="A1387" s="2">
        <v>11386</v>
      </c>
      <c r="B1387" s="2">
        <v>804</v>
      </c>
      <c r="C1387" s="2">
        <v>2003</v>
      </c>
      <c r="D1387" s="2">
        <v>315</v>
      </c>
      <c r="E1387" s="4">
        <v>45303</v>
      </c>
      <c r="F1387" s="4">
        <v>45307</v>
      </c>
      <c r="G1387" s="2">
        <f t="shared" si="21"/>
        <v>4</v>
      </c>
      <c r="H1387" s="2">
        <v>64</v>
      </c>
      <c r="I1387" t="s">
        <v>78</v>
      </c>
      <c r="J1387" t="s">
        <v>13</v>
      </c>
      <c r="K1387" s="2">
        <v>39.74</v>
      </c>
      <c r="L1387" s="3">
        <v>864.17</v>
      </c>
      <c r="M1387" s="3">
        <f>orders_1[[#This Row],[products.Base_Price]]*orders_1[[#This Row],[Quantity]]</f>
        <v>55306.879999999997</v>
      </c>
      <c r="N1387" t="s">
        <v>15</v>
      </c>
      <c r="O1387" t="s">
        <v>25</v>
      </c>
      <c r="P1387" t="s">
        <v>19</v>
      </c>
    </row>
    <row r="1388" spans="1:16" x14ac:dyDescent="0.3">
      <c r="A1388" s="2">
        <v>11387</v>
      </c>
      <c r="B1388" s="2">
        <v>596</v>
      </c>
      <c r="C1388" s="2">
        <v>2097</v>
      </c>
      <c r="D1388" s="2">
        <v>317</v>
      </c>
      <c r="E1388" s="4">
        <v>45598</v>
      </c>
      <c r="F1388" s="4">
        <v>45608</v>
      </c>
      <c r="G1388" s="2">
        <f t="shared" si="21"/>
        <v>10</v>
      </c>
      <c r="H1388" s="2">
        <v>98</v>
      </c>
      <c r="I1388" t="s">
        <v>78</v>
      </c>
      <c r="J1388" t="s">
        <v>27</v>
      </c>
      <c r="K1388" s="2">
        <v>30.63</v>
      </c>
      <c r="L1388" s="3">
        <v>828.74</v>
      </c>
      <c r="M1388" s="3">
        <f>orders_1[[#This Row],[products.Base_Price]]*orders_1[[#This Row],[Quantity]]</f>
        <v>81216.52</v>
      </c>
      <c r="N1388" t="s">
        <v>20</v>
      </c>
      <c r="O1388" t="s">
        <v>25</v>
      </c>
      <c r="P1388" t="s">
        <v>19</v>
      </c>
    </row>
    <row r="1389" spans="1:16" x14ac:dyDescent="0.3">
      <c r="A1389" s="2">
        <v>11388</v>
      </c>
      <c r="B1389" s="2">
        <v>803</v>
      </c>
      <c r="C1389" s="2">
        <v>2061</v>
      </c>
      <c r="D1389" s="2">
        <v>310</v>
      </c>
      <c r="E1389" s="4">
        <v>45435</v>
      </c>
      <c r="F1389" s="4">
        <v>45445</v>
      </c>
      <c r="G1389" s="2">
        <f t="shared" si="21"/>
        <v>10</v>
      </c>
      <c r="H1389" s="2">
        <v>24</v>
      </c>
      <c r="I1389" t="s">
        <v>78</v>
      </c>
      <c r="J1389" t="s">
        <v>13</v>
      </c>
      <c r="K1389" s="2">
        <v>46.64</v>
      </c>
      <c r="L1389" s="3">
        <v>620.16999999999996</v>
      </c>
      <c r="M1389" s="3">
        <f>orders_1[[#This Row],[products.Base_Price]]*orders_1[[#This Row],[Quantity]]</f>
        <v>14884.079999999998</v>
      </c>
      <c r="N1389" t="s">
        <v>26</v>
      </c>
      <c r="O1389" t="s">
        <v>25</v>
      </c>
      <c r="P1389" t="s">
        <v>11</v>
      </c>
    </row>
    <row r="1390" spans="1:16" x14ac:dyDescent="0.3">
      <c r="A1390" s="2">
        <v>11389</v>
      </c>
      <c r="B1390" s="2">
        <v>874</v>
      </c>
      <c r="C1390" s="2">
        <v>2037</v>
      </c>
      <c r="D1390" s="2">
        <v>308</v>
      </c>
      <c r="E1390" s="4">
        <v>45560</v>
      </c>
      <c r="F1390" s="4">
        <v>45564</v>
      </c>
      <c r="G1390" s="2">
        <f t="shared" si="21"/>
        <v>4</v>
      </c>
      <c r="H1390" s="2">
        <v>30</v>
      </c>
      <c r="I1390" t="s">
        <v>78</v>
      </c>
      <c r="J1390" t="s">
        <v>21</v>
      </c>
      <c r="K1390" s="2">
        <v>29.23</v>
      </c>
      <c r="L1390" s="3">
        <v>491.44</v>
      </c>
      <c r="M1390" s="3">
        <f>orders_1[[#This Row],[products.Base_Price]]*orders_1[[#This Row],[Quantity]]</f>
        <v>14743.2</v>
      </c>
      <c r="N1390" t="s">
        <v>23</v>
      </c>
      <c r="O1390" t="s">
        <v>14</v>
      </c>
      <c r="P1390" t="s">
        <v>19</v>
      </c>
    </row>
    <row r="1391" spans="1:16" x14ac:dyDescent="0.3">
      <c r="A1391" s="2">
        <v>11390</v>
      </c>
      <c r="B1391" s="2">
        <v>560</v>
      </c>
      <c r="C1391" s="2">
        <v>2096</v>
      </c>
      <c r="D1391" s="2">
        <v>318</v>
      </c>
      <c r="E1391" s="4">
        <v>45485</v>
      </c>
      <c r="F1391" s="4">
        <v>45490</v>
      </c>
      <c r="G1391" s="2">
        <f t="shared" si="21"/>
        <v>5</v>
      </c>
      <c r="H1391" s="2">
        <v>62</v>
      </c>
      <c r="I1391" t="s">
        <v>39</v>
      </c>
      <c r="J1391" t="s">
        <v>22</v>
      </c>
      <c r="K1391" s="2">
        <v>20.04</v>
      </c>
      <c r="L1391" s="3">
        <v>70.19</v>
      </c>
      <c r="M1391" s="3">
        <f>orders_1[[#This Row],[products.Base_Price]]*orders_1[[#This Row],[Quantity]]</f>
        <v>4351.78</v>
      </c>
      <c r="N1391" t="s">
        <v>17</v>
      </c>
      <c r="O1391" t="s">
        <v>10</v>
      </c>
      <c r="P1391" t="s">
        <v>19</v>
      </c>
    </row>
    <row r="1392" spans="1:16" x14ac:dyDescent="0.3">
      <c r="A1392" s="2">
        <v>11391</v>
      </c>
      <c r="B1392" s="2">
        <v>734</v>
      </c>
      <c r="C1392" s="2">
        <v>2028</v>
      </c>
      <c r="D1392" s="2">
        <v>316</v>
      </c>
      <c r="E1392" s="4">
        <v>45314</v>
      </c>
      <c r="F1392" s="4">
        <v>45319</v>
      </c>
      <c r="G1392" s="2">
        <f t="shared" si="21"/>
        <v>5</v>
      </c>
      <c r="H1392" s="2">
        <v>41</v>
      </c>
      <c r="I1392" t="s">
        <v>36</v>
      </c>
      <c r="J1392" t="s">
        <v>13</v>
      </c>
      <c r="K1392" s="2">
        <v>30.34</v>
      </c>
      <c r="L1392" s="3">
        <v>630.65</v>
      </c>
      <c r="M1392" s="3">
        <f>orders_1[[#This Row],[products.Base_Price]]*orders_1[[#This Row],[Quantity]]</f>
        <v>25856.649999999998</v>
      </c>
      <c r="N1392" t="s">
        <v>24</v>
      </c>
      <c r="O1392" t="s">
        <v>25</v>
      </c>
      <c r="P1392" t="s">
        <v>19</v>
      </c>
    </row>
    <row r="1393" spans="1:16" x14ac:dyDescent="0.3">
      <c r="A1393" s="2">
        <v>11392</v>
      </c>
      <c r="B1393" s="2">
        <v>613</v>
      </c>
      <c r="C1393" s="2">
        <v>2072</v>
      </c>
      <c r="D1393" s="2">
        <v>317</v>
      </c>
      <c r="E1393" s="4">
        <v>45297</v>
      </c>
      <c r="F1393" s="4">
        <v>45307</v>
      </c>
      <c r="G1393" s="2">
        <f t="shared" si="21"/>
        <v>10</v>
      </c>
      <c r="H1393" s="2">
        <v>29</v>
      </c>
      <c r="I1393" t="s">
        <v>39</v>
      </c>
      <c r="J1393" t="s">
        <v>9</v>
      </c>
      <c r="K1393" s="2">
        <v>26.22</v>
      </c>
      <c r="L1393" s="3">
        <v>576.57000000000005</v>
      </c>
      <c r="M1393" s="3">
        <f>orders_1[[#This Row],[products.Base_Price]]*orders_1[[#This Row],[Quantity]]</f>
        <v>16720.530000000002</v>
      </c>
      <c r="N1393" t="s">
        <v>20</v>
      </c>
      <c r="O1393" t="s">
        <v>25</v>
      </c>
      <c r="P1393" t="s">
        <v>19</v>
      </c>
    </row>
    <row r="1394" spans="1:16" x14ac:dyDescent="0.3">
      <c r="A1394" s="2">
        <v>11393</v>
      </c>
      <c r="B1394" s="2">
        <v>746</v>
      </c>
      <c r="C1394" s="2">
        <v>2039</v>
      </c>
      <c r="D1394" s="2">
        <v>317</v>
      </c>
      <c r="E1394" s="4">
        <v>45364</v>
      </c>
      <c r="F1394" s="4">
        <v>45368</v>
      </c>
      <c r="G1394" s="2">
        <f t="shared" si="21"/>
        <v>4</v>
      </c>
      <c r="H1394" s="2">
        <v>43</v>
      </c>
      <c r="I1394" t="s">
        <v>36</v>
      </c>
      <c r="J1394" t="s">
        <v>27</v>
      </c>
      <c r="K1394" s="2">
        <v>2.69</v>
      </c>
      <c r="L1394" s="3">
        <v>350.51</v>
      </c>
      <c r="M1394" s="3">
        <f>orders_1[[#This Row],[products.Base_Price]]*orders_1[[#This Row],[Quantity]]</f>
        <v>15071.93</v>
      </c>
      <c r="N1394" t="s">
        <v>20</v>
      </c>
      <c r="O1394" t="s">
        <v>25</v>
      </c>
      <c r="P1394" t="s">
        <v>19</v>
      </c>
    </row>
    <row r="1395" spans="1:16" x14ac:dyDescent="0.3">
      <c r="A1395" s="2">
        <v>11394</v>
      </c>
      <c r="B1395" s="2">
        <v>731</v>
      </c>
      <c r="C1395" s="2">
        <v>2092</v>
      </c>
      <c r="D1395" s="2">
        <v>308</v>
      </c>
      <c r="E1395" s="4">
        <v>45468</v>
      </c>
      <c r="F1395" s="4">
        <v>45476</v>
      </c>
      <c r="G1395" s="2">
        <f t="shared" si="21"/>
        <v>8</v>
      </c>
      <c r="H1395" s="2">
        <v>50</v>
      </c>
      <c r="I1395" t="s">
        <v>42</v>
      </c>
      <c r="J1395" t="s">
        <v>22</v>
      </c>
      <c r="K1395" s="2">
        <v>30.97</v>
      </c>
      <c r="L1395" s="3">
        <v>521.23</v>
      </c>
      <c r="M1395" s="3">
        <f>orders_1[[#This Row],[products.Base_Price]]*orders_1[[#This Row],[Quantity]]</f>
        <v>26061.5</v>
      </c>
      <c r="N1395" t="s">
        <v>23</v>
      </c>
      <c r="O1395" t="s">
        <v>14</v>
      </c>
      <c r="P1395" t="s">
        <v>19</v>
      </c>
    </row>
    <row r="1396" spans="1:16" x14ac:dyDescent="0.3">
      <c r="A1396" s="2">
        <v>11395</v>
      </c>
      <c r="B1396" s="2">
        <v>522</v>
      </c>
      <c r="C1396" s="2">
        <v>2094</v>
      </c>
      <c r="D1396" s="2">
        <v>310</v>
      </c>
      <c r="E1396" s="4">
        <v>45486</v>
      </c>
      <c r="F1396" s="4">
        <v>45491</v>
      </c>
      <c r="G1396" s="2">
        <f t="shared" si="21"/>
        <v>5</v>
      </c>
      <c r="H1396" s="2">
        <v>52</v>
      </c>
      <c r="I1396" t="s">
        <v>78</v>
      </c>
      <c r="J1396" t="s">
        <v>27</v>
      </c>
      <c r="K1396" s="2">
        <v>22.56</v>
      </c>
      <c r="L1396" s="3">
        <v>393.53</v>
      </c>
      <c r="M1396" s="3">
        <f>orders_1[[#This Row],[products.Base_Price]]*orders_1[[#This Row],[Quantity]]</f>
        <v>20463.559999999998</v>
      </c>
      <c r="N1396" t="s">
        <v>26</v>
      </c>
      <c r="O1396" t="s">
        <v>25</v>
      </c>
      <c r="P1396" t="s">
        <v>11</v>
      </c>
    </row>
    <row r="1397" spans="1:16" x14ac:dyDescent="0.3">
      <c r="A1397" s="2">
        <v>11396</v>
      </c>
      <c r="B1397" s="2">
        <v>635</v>
      </c>
      <c r="C1397" s="2">
        <v>2025</v>
      </c>
      <c r="D1397" s="2">
        <v>306</v>
      </c>
      <c r="E1397" s="4">
        <v>45361</v>
      </c>
      <c r="F1397" s="4">
        <v>45369</v>
      </c>
      <c r="G1397" s="2">
        <f t="shared" si="21"/>
        <v>8</v>
      </c>
      <c r="H1397" s="2">
        <v>97</v>
      </c>
      <c r="I1397" t="s">
        <v>42</v>
      </c>
      <c r="J1397" t="s">
        <v>13</v>
      </c>
      <c r="K1397" s="2">
        <v>3.39</v>
      </c>
      <c r="L1397" s="3">
        <v>303.87</v>
      </c>
      <c r="M1397" s="3">
        <f>orders_1[[#This Row],[products.Base_Price]]*orders_1[[#This Row],[Quantity]]</f>
        <v>29475.39</v>
      </c>
      <c r="N1397" t="s">
        <v>8</v>
      </c>
      <c r="O1397" t="s">
        <v>10</v>
      </c>
      <c r="P1397" t="s">
        <v>16</v>
      </c>
    </row>
    <row r="1398" spans="1:16" x14ac:dyDescent="0.3">
      <c r="A1398" s="2">
        <v>11397</v>
      </c>
      <c r="B1398" s="2">
        <v>587</v>
      </c>
      <c r="C1398" s="2">
        <v>2071</v>
      </c>
      <c r="D1398" s="2">
        <v>309</v>
      </c>
      <c r="E1398" s="4">
        <v>45380</v>
      </c>
      <c r="F1398" s="4">
        <v>45390</v>
      </c>
      <c r="G1398" s="2">
        <f t="shared" si="21"/>
        <v>10</v>
      </c>
      <c r="H1398" s="2">
        <v>87</v>
      </c>
      <c r="I1398" t="s">
        <v>42</v>
      </c>
      <c r="J1398" t="s">
        <v>27</v>
      </c>
      <c r="K1398" s="2">
        <v>47.19</v>
      </c>
      <c r="L1398" s="3">
        <v>711.14</v>
      </c>
      <c r="M1398" s="3">
        <f>orders_1[[#This Row],[products.Base_Price]]*orders_1[[#This Row],[Quantity]]</f>
        <v>61869.18</v>
      </c>
      <c r="N1398" t="s">
        <v>24</v>
      </c>
      <c r="O1398" t="s">
        <v>25</v>
      </c>
      <c r="P1398" t="s">
        <v>16</v>
      </c>
    </row>
    <row r="1399" spans="1:16" x14ac:dyDescent="0.3">
      <c r="A1399" s="2">
        <v>11398</v>
      </c>
      <c r="B1399" s="2">
        <v>794</v>
      </c>
      <c r="C1399" s="2">
        <v>2004</v>
      </c>
      <c r="D1399" s="2">
        <v>316</v>
      </c>
      <c r="E1399" s="4">
        <v>45440</v>
      </c>
      <c r="F1399" s="4">
        <v>45442</v>
      </c>
      <c r="G1399" s="2">
        <f t="shared" si="21"/>
        <v>2</v>
      </c>
      <c r="H1399" s="2">
        <v>49</v>
      </c>
      <c r="I1399" t="s">
        <v>78</v>
      </c>
      <c r="J1399" t="s">
        <v>9</v>
      </c>
      <c r="K1399" s="2">
        <v>4.34</v>
      </c>
      <c r="L1399" s="3">
        <v>52.14</v>
      </c>
      <c r="M1399" s="3">
        <f>orders_1[[#This Row],[products.Base_Price]]*orders_1[[#This Row],[Quantity]]</f>
        <v>2554.86</v>
      </c>
      <c r="N1399" t="s">
        <v>24</v>
      </c>
      <c r="O1399" t="s">
        <v>25</v>
      </c>
      <c r="P1399" t="s">
        <v>19</v>
      </c>
    </row>
    <row r="1400" spans="1:16" x14ac:dyDescent="0.3">
      <c r="A1400" s="2">
        <v>11399</v>
      </c>
      <c r="B1400" s="2">
        <v>547</v>
      </c>
      <c r="C1400" s="2">
        <v>2050</v>
      </c>
      <c r="D1400" s="2">
        <v>307</v>
      </c>
      <c r="E1400" s="4">
        <v>45387</v>
      </c>
      <c r="F1400" s="4">
        <v>45393</v>
      </c>
      <c r="G1400" s="2">
        <f t="shared" si="21"/>
        <v>6</v>
      </c>
      <c r="H1400" s="2">
        <v>38</v>
      </c>
      <c r="I1400" t="s">
        <v>78</v>
      </c>
      <c r="J1400" t="s">
        <v>21</v>
      </c>
      <c r="K1400" s="2">
        <v>36.43</v>
      </c>
      <c r="L1400" s="3">
        <v>507.16</v>
      </c>
      <c r="M1400" s="3">
        <f>orders_1[[#This Row],[products.Base_Price]]*orders_1[[#This Row],[Quantity]]</f>
        <v>19272.080000000002</v>
      </c>
      <c r="N1400" t="s">
        <v>17</v>
      </c>
      <c r="O1400" t="s">
        <v>10</v>
      </c>
      <c r="P1400" t="s">
        <v>11</v>
      </c>
    </row>
    <row r="1401" spans="1:16" x14ac:dyDescent="0.3">
      <c r="A1401" s="2">
        <v>11400</v>
      </c>
      <c r="B1401" s="2">
        <v>577</v>
      </c>
      <c r="C1401" s="2">
        <v>2080</v>
      </c>
      <c r="D1401" s="2">
        <v>311</v>
      </c>
      <c r="E1401" s="4">
        <v>45589</v>
      </c>
      <c r="F1401" s="4">
        <v>45599</v>
      </c>
      <c r="G1401" s="2">
        <f t="shared" si="21"/>
        <v>10</v>
      </c>
      <c r="H1401" s="2">
        <v>75</v>
      </c>
      <c r="I1401" t="s">
        <v>42</v>
      </c>
      <c r="J1401" t="s">
        <v>9</v>
      </c>
      <c r="K1401" s="2">
        <v>29.56</v>
      </c>
      <c r="L1401" s="3">
        <v>143.84</v>
      </c>
      <c r="M1401" s="3">
        <f>orders_1[[#This Row],[products.Base_Price]]*orders_1[[#This Row],[Quantity]]</f>
        <v>10788</v>
      </c>
      <c r="N1401" t="s">
        <v>26</v>
      </c>
      <c r="O1401" t="s">
        <v>10</v>
      </c>
      <c r="P1401" t="s">
        <v>11</v>
      </c>
    </row>
    <row r="1402" spans="1:16" x14ac:dyDescent="0.3">
      <c r="A1402" s="2">
        <v>11401</v>
      </c>
      <c r="B1402" s="2">
        <v>565</v>
      </c>
      <c r="C1402" s="2">
        <v>2010</v>
      </c>
      <c r="D1402" s="2">
        <v>318</v>
      </c>
      <c r="E1402" s="4">
        <v>45412</v>
      </c>
      <c r="F1402" s="4">
        <v>45420</v>
      </c>
      <c r="G1402" s="2">
        <f t="shared" si="21"/>
        <v>8</v>
      </c>
      <c r="H1402" s="2">
        <v>62</v>
      </c>
      <c r="I1402" t="s">
        <v>42</v>
      </c>
      <c r="J1402" t="s">
        <v>13</v>
      </c>
      <c r="K1402" s="2">
        <v>9.58</v>
      </c>
      <c r="L1402" s="3">
        <v>440.93</v>
      </c>
      <c r="M1402" s="3">
        <f>orders_1[[#This Row],[products.Base_Price]]*orders_1[[#This Row],[Quantity]]</f>
        <v>27337.66</v>
      </c>
      <c r="N1402" t="s">
        <v>17</v>
      </c>
      <c r="O1402" t="s">
        <v>10</v>
      </c>
      <c r="P1402" t="s">
        <v>19</v>
      </c>
    </row>
    <row r="1403" spans="1:16" x14ac:dyDescent="0.3">
      <c r="A1403" s="2">
        <v>11402</v>
      </c>
      <c r="B1403" s="2">
        <v>731</v>
      </c>
      <c r="C1403" s="2">
        <v>2095</v>
      </c>
      <c r="D1403" s="2">
        <v>308</v>
      </c>
      <c r="E1403" s="4">
        <v>45373</v>
      </c>
      <c r="F1403" s="4">
        <v>45376</v>
      </c>
      <c r="G1403" s="2">
        <f t="shared" si="21"/>
        <v>3</v>
      </c>
      <c r="H1403" s="2">
        <v>18</v>
      </c>
      <c r="I1403" t="s">
        <v>78</v>
      </c>
      <c r="J1403" t="s">
        <v>13</v>
      </c>
      <c r="K1403" s="2">
        <v>38.81</v>
      </c>
      <c r="L1403" s="3">
        <v>761.63</v>
      </c>
      <c r="M1403" s="3">
        <f>orders_1[[#This Row],[products.Base_Price]]*orders_1[[#This Row],[Quantity]]</f>
        <v>13709.34</v>
      </c>
      <c r="N1403" t="s">
        <v>23</v>
      </c>
      <c r="O1403" t="s">
        <v>14</v>
      </c>
      <c r="P1403" t="s">
        <v>19</v>
      </c>
    </row>
    <row r="1404" spans="1:16" x14ac:dyDescent="0.3">
      <c r="A1404" s="2">
        <v>11403</v>
      </c>
      <c r="B1404" s="2">
        <v>646</v>
      </c>
      <c r="C1404" s="2">
        <v>2065</v>
      </c>
      <c r="D1404" s="2">
        <v>308</v>
      </c>
      <c r="E1404" s="4">
        <v>45544</v>
      </c>
      <c r="F1404" s="4">
        <v>45552</v>
      </c>
      <c r="G1404" s="2">
        <f t="shared" si="21"/>
        <v>8</v>
      </c>
      <c r="H1404" s="2">
        <v>33</v>
      </c>
      <c r="I1404" t="s">
        <v>39</v>
      </c>
      <c r="J1404" t="s">
        <v>13</v>
      </c>
      <c r="K1404" s="2">
        <v>26.94</v>
      </c>
      <c r="L1404" s="3">
        <v>155.15</v>
      </c>
      <c r="M1404" s="3">
        <f>orders_1[[#This Row],[products.Base_Price]]*orders_1[[#This Row],[Quantity]]</f>
        <v>5119.95</v>
      </c>
      <c r="N1404" t="s">
        <v>23</v>
      </c>
      <c r="O1404" t="s">
        <v>14</v>
      </c>
      <c r="P1404" t="s">
        <v>19</v>
      </c>
    </row>
    <row r="1405" spans="1:16" x14ac:dyDescent="0.3">
      <c r="A1405" s="2">
        <v>11404</v>
      </c>
      <c r="B1405" s="2">
        <v>843</v>
      </c>
      <c r="C1405" s="2">
        <v>2015</v>
      </c>
      <c r="D1405" s="2">
        <v>314</v>
      </c>
      <c r="E1405" s="4">
        <v>45475</v>
      </c>
      <c r="F1405" s="4">
        <v>45479</v>
      </c>
      <c r="G1405" s="2">
        <f t="shared" si="21"/>
        <v>4</v>
      </c>
      <c r="H1405" s="2">
        <v>19</v>
      </c>
      <c r="I1405" t="s">
        <v>39</v>
      </c>
      <c r="J1405" t="s">
        <v>13</v>
      </c>
      <c r="K1405" s="2">
        <v>35.520000000000003</v>
      </c>
      <c r="L1405" s="3">
        <v>638.11</v>
      </c>
      <c r="M1405" s="3">
        <f>orders_1[[#This Row],[products.Base_Price]]*orders_1[[#This Row],[Quantity]]</f>
        <v>12124.09</v>
      </c>
      <c r="N1405" t="s">
        <v>17</v>
      </c>
      <c r="O1405" t="s">
        <v>14</v>
      </c>
      <c r="P1405" t="s">
        <v>19</v>
      </c>
    </row>
    <row r="1406" spans="1:16" x14ac:dyDescent="0.3">
      <c r="A1406" s="2">
        <v>11405</v>
      </c>
      <c r="B1406" s="2">
        <v>856</v>
      </c>
      <c r="C1406" s="2">
        <v>2075</v>
      </c>
      <c r="D1406" s="2">
        <v>309</v>
      </c>
      <c r="E1406" s="4">
        <v>45561</v>
      </c>
      <c r="F1406" s="4">
        <v>45565</v>
      </c>
      <c r="G1406" s="2">
        <f t="shared" si="21"/>
        <v>4</v>
      </c>
      <c r="H1406" s="2">
        <v>62</v>
      </c>
      <c r="I1406" t="s">
        <v>36</v>
      </c>
      <c r="J1406" t="s">
        <v>27</v>
      </c>
      <c r="K1406" s="2">
        <v>16.57</v>
      </c>
      <c r="L1406" s="3">
        <v>429.9</v>
      </c>
      <c r="M1406" s="3">
        <f>orders_1[[#This Row],[products.Base_Price]]*orders_1[[#This Row],[Quantity]]</f>
        <v>26653.8</v>
      </c>
      <c r="N1406" t="s">
        <v>24</v>
      </c>
      <c r="O1406" t="s">
        <v>25</v>
      </c>
      <c r="P1406" t="s">
        <v>16</v>
      </c>
    </row>
    <row r="1407" spans="1:16" x14ac:dyDescent="0.3">
      <c r="A1407" s="2">
        <v>11406</v>
      </c>
      <c r="B1407" s="2">
        <v>807</v>
      </c>
      <c r="C1407" s="2">
        <v>2027</v>
      </c>
      <c r="D1407" s="2">
        <v>304</v>
      </c>
      <c r="E1407" s="4">
        <v>45594</v>
      </c>
      <c r="F1407" s="4">
        <v>45597</v>
      </c>
      <c r="G1407" s="2">
        <f t="shared" si="21"/>
        <v>3</v>
      </c>
      <c r="H1407" s="2">
        <v>4</v>
      </c>
      <c r="I1407" t="s">
        <v>36</v>
      </c>
      <c r="J1407" t="s">
        <v>13</v>
      </c>
      <c r="K1407" s="2">
        <v>45.95</v>
      </c>
      <c r="L1407" s="3">
        <v>454.58</v>
      </c>
      <c r="M1407" s="3">
        <f>orders_1[[#This Row],[products.Base_Price]]*orders_1[[#This Row],[Quantity]]</f>
        <v>1818.32</v>
      </c>
      <c r="N1407" t="s">
        <v>17</v>
      </c>
      <c r="O1407" t="s">
        <v>18</v>
      </c>
      <c r="P1407" t="s">
        <v>19</v>
      </c>
    </row>
    <row r="1408" spans="1:16" x14ac:dyDescent="0.3">
      <c r="A1408" s="2">
        <v>11407</v>
      </c>
      <c r="B1408" s="2">
        <v>783</v>
      </c>
      <c r="C1408" s="2">
        <v>2096</v>
      </c>
      <c r="D1408" s="2">
        <v>308</v>
      </c>
      <c r="E1408" s="4">
        <v>45654</v>
      </c>
      <c r="F1408" s="4">
        <v>45655</v>
      </c>
      <c r="G1408" s="2">
        <f t="shared" si="21"/>
        <v>1</v>
      </c>
      <c r="H1408" s="2">
        <v>24</v>
      </c>
      <c r="I1408" t="s">
        <v>36</v>
      </c>
      <c r="J1408" t="s">
        <v>22</v>
      </c>
      <c r="K1408" s="2">
        <v>20.04</v>
      </c>
      <c r="L1408" s="3">
        <v>70.19</v>
      </c>
      <c r="M1408" s="3">
        <f>orders_1[[#This Row],[products.Base_Price]]*orders_1[[#This Row],[Quantity]]</f>
        <v>1684.56</v>
      </c>
      <c r="N1408" t="s">
        <v>23</v>
      </c>
      <c r="O1408" t="s">
        <v>14</v>
      </c>
      <c r="P1408" t="s">
        <v>19</v>
      </c>
    </row>
    <row r="1409" spans="1:16" x14ac:dyDescent="0.3">
      <c r="A1409" s="2">
        <v>11408</v>
      </c>
      <c r="B1409" s="2">
        <v>508</v>
      </c>
      <c r="C1409" s="2">
        <v>2011</v>
      </c>
      <c r="D1409" s="2">
        <v>310</v>
      </c>
      <c r="E1409" s="4">
        <v>45470</v>
      </c>
      <c r="F1409" s="4">
        <v>45476</v>
      </c>
      <c r="G1409" s="2">
        <f t="shared" si="21"/>
        <v>6</v>
      </c>
      <c r="H1409" s="2">
        <v>53</v>
      </c>
      <c r="I1409" t="s">
        <v>78</v>
      </c>
      <c r="J1409" t="s">
        <v>21</v>
      </c>
      <c r="K1409" s="2">
        <v>12.75</v>
      </c>
      <c r="L1409" s="3">
        <v>987.99</v>
      </c>
      <c r="M1409" s="3">
        <f>orders_1[[#This Row],[products.Base_Price]]*orders_1[[#This Row],[Quantity]]</f>
        <v>52363.47</v>
      </c>
      <c r="N1409" t="s">
        <v>26</v>
      </c>
      <c r="O1409" t="s">
        <v>25</v>
      </c>
      <c r="P1409" t="s">
        <v>11</v>
      </c>
    </row>
    <row r="1410" spans="1:16" x14ac:dyDescent="0.3">
      <c r="A1410" s="2">
        <v>11409</v>
      </c>
      <c r="B1410" s="2">
        <v>572</v>
      </c>
      <c r="C1410" s="2">
        <v>2037</v>
      </c>
      <c r="D1410" s="2">
        <v>306</v>
      </c>
      <c r="E1410" s="4">
        <v>45326</v>
      </c>
      <c r="F1410" s="4">
        <v>45328</v>
      </c>
      <c r="G1410" s="2">
        <f t="shared" ref="G1410:G1473" si="22">F1410-E1410</f>
        <v>2</v>
      </c>
      <c r="H1410" s="2">
        <v>7</v>
      </c>
      <c r="I1410" t="s">
        <v>78</v>
      </c>
      <c r="J1410" t="s">
        <v>21</v>
      </c>
      <c r="K1410" s="2">
        <v>29.23</v>
      </c>
      <c r="L1410" s="3">
        <v>491.44</v>
      </c>
      <c r="M1410" s="3">
        <f>orders_1[[#This Row],[products.Base_Price]]*orders_1[[#This Row],[Quantity]]</f>
        <v>3440.08</v>
      </c>
      <c r="N1410" t="s">
        <v>8</v>
      </c>
      <c r="O1410" t="s">
        <v>10</v>
      </c>
      <c r="P1410" t="s">
        <v>16</v>
      </c>
    </row>
    <row r="1411" spans="1:16" x14ac:dyDescent="0.3">
      <c r="A1411" s="2">
        <v>11410</v>
      </c>
      <c r="B1411" s="2">
        <v>739</v>
      </c>
      <c r="C1411" s="2">
        <v>2070</v>
      </c>
      <c r="D1411" s="2">
        <v>309</v>
      </c>
      <c r="E1411" s="4">
        <v>45540</v>
      </c>
      <c r="F1411" s="4">
        <v>45542</v>
      </c>
      <c r="G1411" s="2">
        <f t="shared" si="22"/>
        <v>2</v>
      </c>
      <c r="H1411" s="2">
        <v>74</v>
      </c>
      <c r="I1411" t="s">
        <v>78</v>
      </c>
      <c r="J1411" t="s">
        <v>22</v>
      </c>
      <c r="K1411" s="2">
        <v>22.6</v>
      </c>
      <c r="L1411" s="3">
        <v>196.67</v>
      </c>
      <c r="M1411" s="3">
        <f>orders_1[[#This Row],[products.Base_Price]]*orders_1[[#This Row],[Quantity]]</f>
        <v>14553.58</v>
      </c>
      <c r="N1411" t="s">
        <v>24</v>
      </c>
      <c r="O1411" t="s">
        <v>25</v>
      </c>
      <c r="P1411" t="s">
        <v>16</v>
      </c>
    </row>
    <row r="1412" spans="1:16" x14ac:dyDescent="0.3">
      <c r="A1412" s="2">
        <v>11411</v>
      </c>
      <c r="B1412" s="2">
        <v>682</v>
      </c>
      <c r="C1412" s="2">
        <v>2058</v>
      </c>
      <c r="D1412" s="2">
        <v>314</v>
      </c>
      <c r="E1412" s="4">
        <v>45504</v>
      </c>
      <c r="F1412" s="4">
        <v>45514</v>
      </c>
      <c r="G1412" s="2">
        <f t="shared" si="22"/>
        <v>10</v>
      </c>
      <c r="H1412" s="2">
        <v>96</v>
      </c>
      <c r="I1412" t="s">
        <v>39</v>
      </c>
      <c r="J1412" t="s">
        <v>27</v>
      </c>
      <c r="K1412" s="2">
        <v>28.48</v>
      </c>
      <c r="L1412" s="3">
        <v>13.34</v>
      </c>
      <c r="M1412" s="3">
        <f>orders_1[[#This Row],[products.Base_Price]]*orders_1[[#This Row],[Quantity]]</f>
        <v>1280.6399999999999</v>
      </c>
      <c r="N1412" t="s">
        <v>17</v>
      </c>
      <c r="O1412" t="s">
        <v>14</v>
      </c>
      <c r="P1412" t="s">
        <v>19</v>
      </c>
    </row>
    <row r="1413" spans="1:16" x14ac:dyDescent="0.3">
      <c r="A1413" s="2">
        <v>11412</v>
      </c>
      <c r="B1413" s="2">
        <v>859</v>
      </c>
      <c r="C1413" s="2">
        <v>2066</v>
      </c>
      <c r="D1413" s="2">
        <v>313</v>
      </c>
      <c r="E1413" s="4">
        <v>45511</v>
      </c>
      <c r="F1413" s="4">
        <v>45518</v>
      </c>
      <c r="G1413" s="2">
        <f t="shared" si="22"/>
        <v>7</v>
      </c>
      <c r="H1413" s="2">
        <v>86</v>
      </c>
      <c r="I1413" t="s">
        <v>39</v>
      </c>
      <c r="J1413" t="s">
        <v>9</v>
      </c>
      <c r="K1413" s="2">
        <v>43.64</v>
      </c>
      <c r="L1413" s="3">
        <v>832.31</v>
      </c>
      <c r="M1413" s="3">
        <f>orders_1[[#This Row],[products.Base_Price]]*orders_1[[#This Row],[Quantity]]</f>
        <v>71578.659999999989</v>
      </c>
      <c r="N1413" t="s">
        <v>15</v>
      </c>
      <c r="O1413" t="s">
        <v>25</v>
      </c>
      <c r="P1413" t="s">
        <v>16</v>
      </c>
    </row>
    <row r="1414" spans="1:16" x14ac:dyDescent="0.3">
      <c r="A1414" s="2">
        <v>11413</v>
      </c>
      <c r="B1414" s="2">
        <v>851</v>
      </c>
      <c r="C1414" s="2">
        <v>2038</v>
      </c>
      <c r="D1414" s="2">
        <v>314</v>
      </c>
      <c r="E1414" s="4">
        <v>45608</v>
      </c>
      <c r="F1414" s="4">
        <v>45612</v>
      </c>
      <c r="G1414" s="2">
        <f t="shared" si="22"/>
        <v>4</v>
      </c>
      <c r="H1414" s="2">
        <v>73</v>
      </c>
      <c r="I1414" t="s">
        <v>36</v>
      </c>
      <c r="J1414" t="s">
        <v>27</v>
      </c>
      <c r="K1414" s="2">
        <v>26.62</v>
      </c>
      <c r="L1414" s="3">
        <v>680</v>
      </c>
      <c r="M1414" s="3">
        <f>orders_1[[#This Row],[products.Base_Price]]*orders_1[[#This Row],[Quantity]]</f>
        <v>49640</v>
      </c>
      <c r="N1414" t="s">
        <v>17</v>
      </c>
      <c r="O1414" t="s">
        <v>14</v>
      </c>
      <c r="P1414" t="s">
        <v>19</v>
      </c>
    </row>
    <row r="1415" spans="1:16" x14ac:dyDescent="0.3">
      <c r="A1415" s="2">
        <v>11414</v>
      </c>
      <c r="B1415" s="2">
        <v>668</v>
      </c>
      <c r="C1415" s="2">
        <v>2080</v>
      </c>
      <c r="D1415" s="2">
        <v>302</v>
      </c>
      <c r="E1415" s="4">
        <v>45410</v>
      </c>
      <c r="F1415" s="4">
        <v>45412</v>
      </c>
      <c r="G1415" s="2">
        <f t="shared" si="22"/>
        <v>2</v>
      </c>
      <c r="H1415" s="2">
        <v>64</v>
      </c>
      <c r="I1415" t="s">
        <v>39</v>
      </c>
      <c r="J1415" t="s">
        <v>9</v>
      </c>
      <c r="K1415" s="2">
        <v>29.56</v>
      </c>
      <c r="L1415" s="3">
        <v>143.84</v>
      </c>
      <c r="M1415" s="3">
        <f>orders_1[[#This Row],[products.Base_Price]]*orders_1[[#This Row],[Quantity]]</f>
        <v>9205.76</v>
      </c>
      <c r="N1415" t="s">
        <v>12</v>
      </c>
      <c r="O1415" t="s">
        <v>14</v>
      </c>
      <c r="P1415" t="s">
        <v>11</v>
      </c>
    </row>
    <row r="1416" spans="1:16" x14ac:dyDescent="0.3">
      <c r="A1416" s="2">
        <v>11415</v>
      </c>
      <c r="B1416" s="2">
        <v>867</v>
      </c>
      <c r="C1416" s="2">
        <v>2053</v>
      </c>
      <c r="D1416" s="2">
        <v>320</v>
      </c>
      <c r="E1416" s="4">
        <v>45509</v>
      </c>
      <c r="F1416" s="4">
        <v>45516</v>
      </c>
      <c r="G1416" s="2">
        <f t="shared" si="22"/>
        <v>7</v>
      </c>
      <c r="H1416" s="2">
        <v>91</v>
      </c>
      <c r="I1416" t="s">
        <v>39</v>
      </c>
      <c r="J1416" t="s">
        <v>22</v>
      </c>
      <c r="K1416" s="2">
        <v>34.54</v>
      </c>
      <c r="L1416" s="3">
        <v>162.21</v>
      </c>
      <c r="M1416" s="3">
        <f>orders_1[[#This Row],[products.Base_Price]]*orders_1[[#This Row],[Quantity]]</f>
        <v>14761.11</v>
      </c>
      <c r="N1416" t="s">
        <v>15</v>
      </c>
      <c r="O1416" t="s">
        <v>25</v>
      </c>
      <c r="P1416" t="s">
        <v>11</v>
      </c>
    </row>
    <row r="1417" spans="1:16" x14ac:dyDescent="0.3">
      <c r="A1417" s="2">
        <v>11416</v>
      </c>
      <c r="B1417" s="2">
        <v>659</v>
      </c>
      <c r="C1417" s="2">
        <v>2033</v>
      </c>
      <c r="D1417" s="2">
        <v>307</v>
      </c>
      <c r="E1417" s="4">
        <v>45625</v>
      </c>
      <c r="F1417" s="4">
        <v>45630</v>
      </c>
      <c r="G1417" s="2">
        <f t="shared" si="22"/>
        <v>5</v>
      </c>
      <c r="H1417" s="2">
        <v>75</v>
      </c>
      <c r="I1417" t="s">
        <v>39</v>
      </c>
      <c r="J1417" t="s">
        <v>22</v>
      </c>
      <c r="K1417" s="2">
        <v>8.33</v>
      </c>
      <c r="L1417" s="3">
        <v>629.69000000000005</v>
      </c>
      <c r="M1417" s="3">
        <f>orders_1[[#This Row],[products.Base_Price]]*orders_1[[#This Row],[Quantity]]</f>
        <v>47226.750000000007</v>
      </c>
      <c r="N1417" t="s">
        <v>17</v>
      </c>
      <c r="O1417" t="s">
        <v>10</v>
      </c>
      <c r="P1417" t="s">
        <v>11</v>
      </c>
    </row>
    <row r="1418" spans="1:16" x14ac:dyDescent="0.3">
      <c r="A1418" s="2">
        <v>11417</v>
      </c>
      <c r="B1418" s="2">
        <v>896</v>
      </c>
      <c r="C1418" s="2">
        <v>2085</v>
      </c>
      <c r="D1418" s="2">
        <v>311</v>
      </c>
      <c r="E1418" s="4">
        <v>45467</v>
      </c>
      <c r="F1418" s="4">
        <v>45474</v>
      </c>
      <c r="G1418" s="2">
        <f t="shared" si="22"/>
        <v>7</v>
      </c>
      <c r="H1418" s="2">
        <v>87</v>
      </c>
      <c r="I1418" t="s">
        <v>78</v>
      </c>
      <c r="J1418" t="s">
        <v>22</v>
      </c>
      <c r="K1418" s="2">
        <v>47.56</v>
      </c>
      <c r="L1418" s="3">
        <v>131.63</v>
      </c>
      <c r="M1418" s="3">
        <f>orders_1[[#This Row],[products.Base_Price]]*orders_1[[#This Row],[Quantity]]</f>
        <v>11451.81</v>
      </c>
      <c r="N1418" t="s">
        <v>26</v>
      </c>
      <c r="O1418" t="s">
        <v>10</v>
      </c>
      <c r="P1418" t="s">
        <v>11</v>
      </c>
    </row>
    <row r="1419" spans="1:16" x14ac:dyDescent="0.3">
      <c r="A1419" s="2">
        <v>11418</v>
      </c>
      <c r="B1419" s="2">
        <v>710</v>
      </c>
      <c r="C1419" s="2">
        <v>2018</v>
      </c>
      <c r="D1419" s="2">
        <v>320</v>
      </c>
      <c r="E1419" s="4">
        <v>45515</v>
      </c>
      <c r="F1419" s="4">
        <v>45525</v>
      </c>
      <c r="G1419" s="2">
        <f t="shared" si="22"/>
        <v>10</v>
      </c>
      <c r="H1419" s="2">
        <v>72</v>
      </c>
      <c r="I1419" t="s">
        <v>39</v>
      </c>
      <c r="J1419" t="s">
        <v>21</v>
      </c>
      <c r="K1419" s="2">
        <v>16.739999999999998</v>
      </c>
      <c r="L1419" s="3">
        <v>103.05</v>
      </c>
      <c r="M1419" s="3">
        <f>orders_1[[#This Row],[products.Base_Price]]*orders_1[[#This Row],[Quantity]]</f>
        <v>7419.5999999999995</v>
      </c>
      <c r="N1419" t="s">
        <v>15</v>
      </c>
      <c r="O1419" t="s">
        <v>25</v>
      </c>
      <c r="P1419" t="s">
        <v>11</v>
      </c>
    </row>
    <row r="1420" spans="1:16" x14ac:dyDescent="0.3">
      <c r="A1420" s="2">
        <v>11419</v>
      </c>
      <c r="B1420" s="2">
        <v>742</v>
      </c>
      <c r="C1420" s="2">
        <v>2080</v>
      </c>
      <c r="D1420" s="2">
        <v>302</v>
      </c>
      <c r="E1420" s="4">
        <v>45314</v>
      </c>
      <c r="F1420" s="4">
        <v>45315</v>
      </c>
      <c r="G1420" s="2">
        <f t="shared" si="22"/>
        <v>1</v>
      </c>
      <c r="H1420" s="2">
        <v>24</v>
      </c>
      <c r="I1420" t="s">
        <v>42</v>
      </c>
      <c r="J1420" t="s">
        <v>9</v>
      </c>
      <c r="K1420" s="2">
        <v>29.56</v>
      </c>
      <c r="L1420" s="3">
        <v>143.84</v>
      </c>
      <c r="M1420" s="3">
        <f>orders_1[[#This Row],[products.Base_Price]]*orders_1[[#This Row],[Quantity]]</f>
        <v>3452.16</v>
      </c>
      <c r="N1420" t="s">
        <v>12</v>
      </c>
      <c r="O1420" t="s">
        <v>14</v>
      </c>
      <c r="P1420" t="s">
        <v>11</v>
      </c>
    </row>
    <row r="1421" spans="1:16" x14ac:dyDescent="0.3">
      <c r="A1421" s="2">
        <v>11420</v>
      </c>
      <c r="B1421" s="2">
        <v>510</v>
      </c>
      <c r="C1421" s="2">
        <v>2003</v>
      </c>
      <c r="D1421" s="2">
        <v>311</v>
      </c>
      <c r="E1421" s="4">
        <v>45348</v>
      </c>
      <c r="F1421" s="4">
        <v>45350</v>
      </c>
      <c r="G1421" s="2">
        <f t="shared" si="22"/>
        <v>2</v>
      </c>
      <c r="H1421" s="2">
        <v>26</v>
      </c>
      <c r="I1421" t="s">
        <v>78</v>
      </c>
      <c r="J1421" t="s">
        <v>13</v>
      </c>
      <c r="K1421" s="2">
        <v>39.74</v>
      </c>
      <c r="L1421" s="3">
        <v>864.17</v>
      </c>
      <c r="M1421" s="3">
        <f>orders_1[[#This Row],[products.Base_Price]]*orders_1[[#This Row],[Quantity]]</f>
        <v>22468.42</v>
      </c>
      <c r="N1421" t="s">
        <v>26</v>
      </c>
      <c r="O1421" t="s">
        <v>10</v>
      </c>
      <c r="P1421" t="s">
        <v>11</v>
      </c>
    </row>
    <row r="1422" spans="1:16" x14ac:dyDescent="0.3">
      <c r="A1422" s="2">
        <v>11421</v>
      </c>
      <c r="B1422" s="2">
        <v>647</v>
      </c>
      <c r="C1422" s="2">
        <v>2045</v>
      </c>
      <c r="D1422" s="2">
        <v>310</v>
      </c>
      <c r="E1422" s="4">
        <v>45471</v>
      </c>
      <c r="F1422" s="4">
        <v>45477</v>
      </c>
      <c r="G1422" s="2">
        <f t="shared" si="22"/>
        <v>6</v>
      </c>
      <c r="H1422" s="2">
        <v>90</v>
      </c>
      <c r="I1422" t="s">
        <v>36</v>
      </c>
      <c r="J1422" t="s">
        <v>9</v>
      </c>
      <c r="K1422" s="2">
        <v>41.3</v>
      </c>
      <c r="L1422" s="3">
        <v>652.61</v>
      </c>
      <c r="M1422" s="3">
        <f>orders_1[[#This Row],[products.Base_Price]]*orders_1[[#This Row],[Quantity]]</f>
        <v>58734.9</v>
      </c>
      <c r="N1422" t="s">
        <v>26</v>
      </c>
      <c r="O1422" t="s">
        <v>25</v>
      </c>
      <c r="P1422" t="s">
        <v>11</v>
      </c>
    </row>
    <row r="1423" spans="1:16" x14ac:dyDescent="0.3">
      <c r="A1423" s="2">
        <v>11422</v>
      </c>
      <c r="B1423" s="2">
        <v>771</v>
      </c>
      <c r="C1423" s="2">
        <v>2058</v>
      </c>
      <c r="D1423" s="2">
        <v>317</v>
      </c>
      <c r="E1423" s="4">
        <v>45311</v>
      </c>
      <c r="F1423" s="4">
        <v>45321</v>
      </c>
      <c r="G1423" s="2">
        <f t="shared" si="22"/>
        <v>10</v>
      </c>
      <c r="H1423" s="2">
        <v>41</v>
      </c>
      <c r="I1423" t="s">
        <v>39</v>
      </c>
      <c r="J1423" t="s">
        <v>27</v>
      </c>
      <c r="K1423" s="2">
        <v>28.48</v>
      </c>
      <c r="L1423" s="3">
        <v>13.34</v>
      </c>
      <c r="M1423" s="3">
        <f>orders_1[[#This Row],[products.Base_Price]]*orders_1[[#This Row],[Quantity]]</f>
        <v>546.93999999999994</v>
      </c>
      <c r="N1423" t="s">
        <v>20</v>
      </c>
      <c r="O1423" t="s">
        <v>25</v>
      </c>
      <c r="P1423" t="s">
        <v>19</v>
      </c>
    </row>
    <row r="1424" spans="1:16" x14ac:dyDescent="0.3">
      <c r="A1424" s="2">
        <v>11423</v>
      </c>
      <c r="B1424" s="2">
        <v>810</v>
      </c>
      <c r="C1424" s="2">
        <v>2012</v>
      </c>
      <c r="D1424" s="2">
        <v>313</v>
      </c>
      <c r="E1424" s="4">
        <v>45578</v>
      </c>
      <c r="F1424" s="4">
        <v>45582</v>
      </c>
      <c r="G1424" s="2">
        <f t="shared" si="22"/>
        <v>4</v>
      </c>
      <c r="H1424" s="2">
        <v>70</v>
      </c>
      <c r="I1424" t="s">
        <v>78</v>
      </c>
      <c r="J1424" t="s">
        <v>21</v>
      </c>
      <c r="K1424" s="2">
        <v>34.93</v>
      </c>
      <c r="L1424" s="3">
        <v>327.92</v>
      </c>
      <c r="M1424" s="3">
        <f>orders_1[[#This Row],[products.Base_Price]]*orders_1[[#This Row],[Quantity]]</f>
        <v>22954.400000000001</v>
      </c>
      <c r="N1424" t="s">
        <v>15</v>
      </c>
      <c r="O1424" t="s">
        <v>25</v>
      </c>
      <c r="P1424" t="s">
        <v>16</v>
      </c>
    </row>
    <row r="1425" spans="1:16" x14ac:dyDescent="0.3">
      <c r="A1425" s="2">
        <v>11424</v>
      </c>
      <c r="B1425" s="2">
        <v>708</v>
      </c>
      <c r="C1425" s="2">
        <v>2016</v>
      </c>
      <c r="D1425" s="2">
        <v>316</v>
      </c>
      <c r="E1425" s="4">
        <v>45380</v>
      </c>
      <c r="F1425" s="4">
        <v>45387</v>
      </c>
      <c r="G1425" s="2">
        <f t="shared" si="22"/>
        <v>7</v>
      </c>
      <c r="H1425" s="2">
        <v>17</v>
      </c>
      <c r="I1425" t="s">
        <v>36</v>
      </c>
      <c r="J1425" t="s">
        <v>13</v>
      </c>
      <c r="K1425" s="2">
        <v>12.52</v>
      </c>
      <c r="L1425" s="3">
        <v>709.8</v>
      </c>
      <c r="M1425" s="3">
        <f>orders_1[[#This Row],[products.Base_Price]]*orders_1[[#This Row],[Quantity]]</f>
        <v>12066.599999999999</v>
      </c>
      <c r="N1425" t="s">
        <v>24</v>
      </c>
      <c r="O1425" t="s">
        <v>25</v>
      </c>
      <c r="P1425" t="s">
        <v>19</v>
      </c>
    </row>
    <row r="1426" spans="1:16" x14ac:dyDescent="0.3">
      <c r="A1426" s="2">
        <v>11425</v>
      </c>
      <c r="B1426" s="2">
        <v>704</v>
      </c>
      <c r="C1426" s="2">
        <v>2083</v>
      </c>
      <c r="D1426" s="2">
        <v>310</v>
      </c>
      <c r="E1426" s="4">
        <v>45605</v>
      </c>
      <c r="F1426" s="4">
        <v>45615</v>
      </c>
      <c r="G1426" s="2">
        <f t="shared" si="22"/>
        <v>10</v>
      </c>
      <c r="H1426" s="2">
        <v>40</v>
      </c>
      <c r="I1426" t="s">
        <v>36</v>
      </c>
      <c r="J1426" t="s">
        <v>22</v>
      </c>
      <c r="K1426" s="2">
        <v>13.79</v>
      </c>
      <c r="L1426" s="3">
        <v>843.82</v>
      </c>
      <c r="M1426" s="3">
        <f>orders_1[[#This Row],[products.Base_Price]]*orders_1[[#This Row],[Quantity]]</f>
        <v>33752.800000000003</v>
      </c>
      <c r="N1426" t="s">
        <v>26</v>
      </c>
      <c r="O1426" t="s">
        <v>25</v>
      </c>
      <c r="P1426" t="s">
        <v>11</v>
      </c>
    </row>
    <row r="1427" spans="1:16" x14ac:dyDescent="0.3">
      <c r="A1427" s="2">
        <v>11426</v>
      </c>
      <c r="B1427" s="2">
        <v>587</v>
      </c>
      <c r="C1427" s="2">
        <v>2025</v>
      </c>
      <c r="D1427" s="2">
        <v>303</v>
      </c>
      <c r="E1427" s="4">
        <v>45328</v>
      </c>
      <c r="F1427" s="4">
        <v>45331</v>
      </c>
      <c r="G1427" s="2">
        <f t="shared" si="22"/>
        <v>3</v>
      </c>
      <c r="H1427" s="2">
        <v>45</v>
      </c>
      <c r="I1427" t="s">
        <v>39</v>
      </c>
      <c r="J1427" t="s">
        <v>13</v>
      </c>
      <c r="K1427" s="2">
        <v>3.39</v>
      </c>
      <c r="L1427" s="3">
        <v>303.87</v>
      </c>
      <c r="M1427" s="3">
        <f>orders_1[[#This Row],[products.Base_Price]]*orders_1[[#This Row],[Quantity]]</f>
        <v>13674.15</v>
      </c>
      <c r="N1427" t="s">
        <v>15</v>
      </c>
      <c r="O1427" t="s">
        <v>10</v>
      </c>
      <c r="P1427" t="s">
        <v>16</v>
      </c>
    </row>
    <row r="1428" spans="1:16" x14ac:dyDescent="0.3">
      <c r="A1428" s="2">
        <v>11427</v>
      </c>
      <c r="B1428" s="2">
        <v>805</v>
      </c>
      <c r="C1428" s="2">
        <v>2034</v>
      </c>
      <c r="D1428" s="2">
        <v>319</v>
      </c>
      <c r="E1428" s="4">
        <v>45303</v>
      </c>
      <c r="F1428" s="4">
        <v>45313</v>
      </c>
      <c r="G1428" s="2">
        <f t="shared" si="22"/>
        <v>10</v>
      </c>
      <c r="H1428" s="2">
        <v>30</v>
      </c>
      <c r="I1428" t="s">
        <v>42</v>
      </c>
      <c r="J1428" t="s">
        <v>27</v>
      </c>
      <c r="K1428" s="2">
        <v>26.17</v>
      </c>
      <c r="L1428" s="3">
        <v>540.23</v>
      </c>
      <c r="M1428" s="3">
        <f>orders_1[[#This Row],[products.Base_Price]]*orders_1[[#This Row],[Quantity]]</f>
        <v>16206.900000000001</v>
      </c>
      <c r="N1428" t="s">
        <v>20</v>
      </c>
      <c r="O1428" t="s">
        <v>18</v>
      </c>
      <c r="P1428" t="s">
        <v>11</v>
      </c>
    </row>
    <row r="1429" spans="1:16" x14ac:dyDescent="0.3">
      <c r="A1429" s="2">
        <v>11428</v>
      </c>
      <c r="B1429" s="2">
        <v>505</v>
      </c>
      <c r="C1429" s="2">
        <v>2083</v>
      </c>
      <c r="D1429" s="2">
        <v>301</v>
      </c>
      <c r="E1429" s="4">
        <v>45465</v>
      </c>
      <c r="F1429" s="4">
        <v>45473</v>
      </c>
      <c r="G1429" s="2">
        <f t="shared" si="22"/>
        <v>8</v>
      </c>
      <c r="H1429" s="2">
        <v>66</v>
      </c>
      <c r="I1429" t="s">
        <v>78</v>
      </c>
      <c r="J1429" t="s">
        <v>22</v>
      </c>
      <c r="K1429" s="2">
        <v>13.79</v>
      </c>
      <c r="L1429" s="3">
        <v>843.82</v>
      </c>
      <c r="M1429" s="3">
        <f>orders_1[[#This Row],[products.Base_Price]]*orders_1[[#This Row],[Quantity]]</f>
        <v>55692.12</v>
      </c>
      <c r="N1429" t="s">
        <v>8</v>
      </c>
      <c r="O1429" t="s">
        <v>10</v>
      </c>
      <c r="P1429" t="s">
        <v>11</v>
      </c>
    </row>
    <row r="1430" spans="1:16" x14ac:dyDescent="0.3">
      <c r="A1430" s="2">
        <v>11429</v>
      </c>
      <c r="B1430" s="2">
        <v>831</v>
      </c>
      <c r="C1430" s="2">
        <v>2018</v>
      </c>
      <c r="D1430" s="2">
        <v>301</v>
      </c>
      <c r="E1430" s="4">
        <v>45475</v>
      </c>
      <c r="F1430" s="4">
        <v>45484</v>
      </c>
      <c r="G1430" s="2">
        <f t="shared" si="22"/>
        <v>9</v>
      </c>
      <c r="H1430" s="2">
        <v>35</v>
      </c>
      <c r="I1430" t="s">
        <v>42</v>
      </c>
      <c r="J1430" t="s">
        <v>21</v>
      </c>
      <c r="K1430" s="2">
        <v>16.739999999999998</v>
      </c>
      <c r="L1430" s="3">
        <v>103.05</v>
      </c>
      <c r="M1430" s="3">
        <f>orders_1[[#This Row],[products.Base_Price]]*orders_1[[#This Row],[Quantity]]</f>
        <v>3606.75</v>
      </c>
      <c r="N1430" t="s">
        <v>8</v>
      </c>
      <c r="O1430" t="s">
        <v>10</v>
      </c>
      <c r="P1430" t="s">
        <v>11</v>
      </c>
    </row>
    <row r="1431" spans="1:16" x14ac:dyDescent="0.3">
      <c r="A1431" s="2">
        <v>11430</v>
      </c>
      <c r="B1431" s="2">
        <v>578</v>
      </c>
      <c r="C1431" s="2">
        <v>2042</v>
      </c>
      <c r="D1431" s="2">
        <v>318</v>
      </c>
      <c r="E1431" s="4">
        <v>45371</v>
      </c>
      <c r="F1431" s="4">
        <v>45381</v>
      </c>
      <c r="G1431" s="2">
        <f t="shared" si="22"/>
        <v>10</v>
      </c>
      <c r="H1431" s="2">
        <v>3</v>
      </c>
      <c r="I1431" t="s">
        <v>39</v>
      </c>
      <c r="J1431" t="s">
        <v>27</v>
      </c>
      <c r="K1431" s="2">
        <v>46.87</v>
      </c>
      <c r="L1431" s="3">
        <v>313.88</v>
      </c>
      <c r="M1431" s="3">
        <f>orders_1[[#This Row],[products.Base_Price]]*orders_1[[#This Row],[Quantity]]</f>
        <v>941.64</v>
      </c>
      <c r="N1431" t="s">
        <v>17</v>
      </c>
      <c r="O1431" t="s">
        <v>10</v>
      </c>
      <c r="P1431" t="s">
        <v>19</v>
      </c>
    </row>
    <row r="1432" spans="1:16" x14ac:dyDescent="0.3">
      <c r="A1432" s="2">
        <v>11431</v>
      </c>
      <c r="B1432" s="2">
        <v>777</v>
      </c>
      <c r="C1432" s="2">
        <v>2012</v>
      </c>
      <c r="D1432" s="2">
        <v>319</v>
      </c>
      <c r="E1432" s="4">
        <v>45371</v>
      </c>
      <c r="F1432" s="4">
        <v>45372</v>
      </c>
      <c r="G1432" s="2">
        <f t="shared" si="22"/>
        <v>1</v>
      </c>
      <c r="H1432" s="2">
        <v>53</v>
      </c>
      <c r="I1432" t="s">
        <v>78</v>
      </c>
      <c r="J1432" t="s">
        <v>21</v>
      </c>
      <c r="K1432" s="2">
        <v>34.93</v>
      </c>
      <c r="L1432" s="3">
        <v>327.92</v>
      </c>
      <c r="M1432" s="3">
        <f>orders_1[[#This Row],[products.Base_Price]]*orders_1[[#This Row],[Quantity]]</f>
        <v>17379.760000000002</v>
      </c>
      <c r="N1432" t="s">
        <v>20</v>
      </c>
      <c r="O1432" t="s">
        <v>18</v>
      </c>
      <c r="P1432" t="s">
        <v>11</v>
      </c>
    </row>
    <row r="1433" spans="1:16" x14ac:dyDescent="0.3">
      <c r="A1433" s="2">
        <v>11432</v>
      </c>
      <c r="B1433" s="2">
        <v>533</v>
      </c>
      <c r="C1433" s="2">
        <v>2057</v>
      </c>
      <c r="D1433" s="2">
        <v>310</v>
      </c>
      <c r="E1433" s="4">
        <v>45508</v>
      </c>
      <c r="F1433" s="4">
        <v>45516</v>
      </c>
      <c r="G1433" s="2">
        <f t="shared" si="22"/>
        <v>8</v>
      </c>
      <c r="H1433" s="2">
        <v>100</v>
      </c>
      <c r="I1433" t="s">
        <v>78</v>
      </c>
      <c r="J1433" t="s">
        <v>22</v>
      </c>
      <c r="K1433" s="2">
        <v>34.299999999999997</v>
      </c>
      <c r="L1433" s="3">
        <v>40.43</v>
      </c>
      <c r="M1433" s="3">
        <f>orders_1[[#This Row],[products.Base_Price]]*orders_1[[#This Row],[Quantity]]</f>
        <v>4043</v>
      </c>
      <c r="N1433" t="s">
        <v>26</v>
      </c>
      <c r="O1433" t="s">
        <v>25</v>
      </c>
      <c r="P1433" t="s">
        <v>11</v>
      </c>
    </row>
    <row r="1434" spans="1:16" x14ac:dyDescent="0.3">
      <c r="A1434" s="2">
        <v>11433</v>
      </c>
      <c r="B1434" s="2">
        <v>676</v>
      </c>
      <c r="C1434" s="2">
        <v>2048</v>
      </c>
      <c r="D1434" s="2">
        <v>317</v>
      </c>
      <c r="E1434" s="4">
        <v>45372</v>
      </c>
      <c r="F1434" s="4">
        <v>45374</v>
      </c>
      <c r="G1434" s="2">
        <f t="shared" si="22"/>
        <v>2</v>
      </c>
      <c r="H1434" s="2">
        <v>69</v>
      </c>
      <c r="I1434" t="s">
        <v>39</v>
      </c>
      <c r="J1434" t="s">
        <v>22</v>
      </c>
      <c r="K1434" s="2">
        <v>6.74</v>
      </c>
      <c r="L1434" s="3">
        <v>864.57</v>
      </c>
      <c r="M1434" s="3">
        <f>orders_1[[#This Row],[products.Base_Price]]*orders_1[[#This Row],[Quantity]]</f>
        <v>59655.33</v>
      </c>
      <c r="N1434" t="s">
        <v>20</v>
      </c>
      <c r="O1434" t="s">
        <v>25</v>
      </c>
      <c r="P1434" t="s">
        <v>19</v>
      </c>
    </row>
    <row r="1435" spans="1:16" x14ac:dyDescent="0.3">
      <c r="A1435" s="2">
        <v>11434</v>
      </c>
      <c r="B1435" s="2">
        <v>623</v>
      </c>
      <c r="C1435" s="2">
        <v>2018</v>
      </c>
      <c r="D1435" s="2">
        <v>318</v>
      </c>
      <c r="E1435" s="4">
        <v>45314</v>
      </c>
      <c r="F1435" s="4">
        <v>45315</v>
      </c>
      <c r="G1435" s="2">
        <f t="shared" si="22"/>
        <v>1</v>
      </c>
      <c r="H1435" s="2">
        <v>25</v>
      </c>
      <c r="I1435" t="s">
        <v>78</v>
      </c>
      <c r="J1435" t="s">
        <v>21</v>
      </c>
      <c r="K1435" s="2">
        <v>16.739999999999998</v>
      </c>
      <c r="L1435" s="3">
        <v>103.05</v>
      </c>
      <c r="M1435" s="3">
        <f>orders_1[[#This Row],[products.Base_Price]]*orders_1[[#This Row],[Quantity]]</f>
        <v>2576.25</v>
      </c>
      <c r="N1435" t="s">
        <v>17</v>
      </c>
      <c r="O1435" t="s">
        <v>10</v>
      </c>
      <c r="P1435" t="s">
        <v>19</v>
      </c>
    </row>
    <row r="1436" spans="1:16" x14ac:dyDescent="0.3">
      <c r="A1436" s="2">
        <v>11435</v>
      </c>
      <c r="B1436" s="2">
        <v>617</v>
      </c>
      <c r="C1436" s="2">
        <v>2026</v>
      </c>
      <c r="D1436" s="2">
        <v>305</v>
      </c>
      <c r="E1436" s="4">
        <v>45585</v>
      </c>
      <c r="F1436" s="4">
        <v>45593</v>
      </c>
      <c r="G1436" s="2">
        <f t="shared" si="22"/>
        <v>8</v>
      </c>
      <c r="H1436" s="2">
        <v>59</v>
      </c>
      <c r="I1436" t="s">
        <v>42</v>
      </c>
      <c r="J1436" t="s">
        <v>22</v>
      </c>
      <c r="K1436" s="2">
        <v>23.02</v>
      </c>
      <c r="L1436" s="3">
        <v>858.57</v>
      </c>
      <c r="M1436" s="3">
        <f>orders_1[[#This Row],[products.Base_Price]]*orders_1[[#This Row],[Quantity]]</f>
        <v>50655.630000000005</v>
      </c>
      <c r="N1436" t="s">
        <v>20</v>
      </c>
      <c r="O1436" t="s">
        <v>10</v>
      </c>
      <c r="P1436" t="s">
        <v>19</v>
      </c>
    </row>
    <row r="1437" spans="1:16" x14ac:dyDescent="0.3">
      <c r="A1437" s="2">
        <v>11436</v>
      </c>
      <c r="B1437" s="2">
        <v>694</v>
      </c>
      <c r="C1437" s="2">
        <v>2050</v>
      </c>
      <c r="D1437" s="2">
        <v>316</v>
      </c>
      <c r="E1437" s="4">
        <v>45620</v>
      </c>
      <c r="F1437" s="4">
        <v>45625</v>
      </c>
      <c r="G1437" s="2">
        <f t="shared" si="22"/>
        <v>5</v>
      </c>
      <c r="H1437" s="2">
        <v>89</v>
      </c>
      <c r="I1437" t="s">
        <v>78</v>
      </c>
      <c r="J1437" t="s">
        <v>21</v>
      </c>
      <c r="K1437" s="2">
        <v>36.43</v>
      </c>
      <c r="L1437" s="3">
        <v>507.16</v>
      </c>
      <c r="M1437" s="3">
        <f>orders_1[[#This Row],[products.Base_Price]]*orders_1[[#This Row],[Quantity]]</f>
        <v>45137.240000000005</v>
      </c>
      <c r="N1437" t="s">
        <v>24</v>
      </c>
      <c r="O1437" t="s">
        <v>25</v>
      </c>
      <c r="P1437" t="s">
        <v>19</v>
      </c>
    </row>
    <row r="1438" spans="1:16" x14ac:dyDescent="0.3">
      <c r="A1438" s="2">
        <v>11437</v>
      </c>
      <c r="B1438" s="2">
        <v>852</v>
      </c>
      <c r="C1438" s="2">
        <v>2018</v>
      </c>
      <c r="D1438" s="2">
        <v>303</v>
      </c>
      <c r="E1438" s="4">
        <v>45422</v>
      </c>
      <c r="F1438" s="4">
        <v>45430</v>
      </c>
      <c r="G1438" s="2">
        <f t="shared" si="22"/>
        <v>8</v>
      </c>
      <c r="H1438" s="2">
        <v>85</v>
      </c>
      <c r="I1438" t="s">
        <v>36</v>
      </c>
      <c r="J1438" t="s">
        <v>21</v>
      </c>
      <c r="K1438" s="2">
        <v>16.739999999999998</v>
      </c>
      <c r="L1438" s="3">
        <v>103.05</v>
      </c>
      <c r="M1438" s="3">
        <f>orders_1[[#This Row],[products.Base_Price]]*orders_1[[#This Row],[Quantity]]</f>
        <v>8759.25</v>
      </c>
      <c r="N1438" t="s">
        <v>15</v>
      </c>
      <c r="O1438" t="s">
        <v>10</v>
      </c>
      <c r="P1438" t="s">
        <v>16</v>
      </c>
    </row>
    <row r="1439" spans="1:16" x14ac:dyDescent="0.3">
      <c r="A1439" s="2">
        <v>11438</v>
      </c>
      <c r="B1439" s="2">
        <v>803</v>
      </c>
      <c r="C1439" s="2">
        <v>2025</v>
      </c>
      <c r="D1439" s="2">
        <v>310</v>
      </c>
      <c r="E1439" s="4">
        <v>45561</v>
      </c>
      <c r="F1439" s="4">
        <v>45562</v>
      </c>
      <c r="G1439" s="2">
        <f t="shared" si="22"/>
        <v>1</v>
      </c>
      <c r="H1439" s="2">
        <v>98</v>
      </c>
      <c r="I1439" t="s">
        <v>42</v>
      </c>
      <c r="J1439" t="s">
        <v>13</v>
      </c>
      <c r="K1439" s="2">
        <v>3.39</v>
      </c>
      <c r="L1439" s="3">
        <v>303.87</v>
      </c>
      <c r="M1439" s="3">
        <f>orders_1[[#This Row],[products.Base_Price]]*orders_1[[#This Row],[Quantity]]</f>
        <v>29779.260000000002</v>
      </c>
      <c r="N1439" t="s">
        <v>26</v>
      </c>
      <c r="O1439" t="s">
        <v>25</v>
      </c>
      <c r="P1439" t="s">
        <v>11</v>
      </c>
    </row>
    <row r="1440" spans="1:16" x14ac:dyDescent="0.3">
      <c r="A1440" s="2">
        <v>11439</v>
      </c>
      <c r="B1440" s="2">
        <v>716</v>
      </c>
      <c r="C1440" s="2">
        <v>2015</v>
      </c>
      <c r="D1440" s="2">
        <v>310</v>
      </c>
      <c r="E1440" s="4">
        <v>45564</v>
      </c>
      <c r="F1440" s="4">
        <v>45569</v>
      </c>
      <c r="G1440" s="2">
        <f t="shared" si="22"/>
        <v>5</v>
      </c>
      <c r="H1440" s="2">
        <v>41</v>
      </c>
      <c r="I1440" t="s">
        <v>36</v>
      </c>
      <c r="J1440" t="s">
        <v>13</v>
      </c>
      <c r="K1440" s="2">
        <v>35.520000000000003</v>
      </c>
      <c r="L1440" s="3">
        <v>638.11</v>
      </c>
      <c r="M1440" s="3">
        <f>orders_1[[#This Row],[products.Base_Price]]*orders_1[[#This Row],[Quantity]]</f>
        <v>26162.510000000002</v>
      </c>
      <c r="N1440" t="s">
        <v>26</v>
      </c>
      <c r="O1440" t="s">
        <v>25</v>
      </c>
      <c r="P1440" t="s">
        <v>11</v>
      </c>
    </row>
    <row r="1441" spans="1:16" x14ac:dyDescent="0.3">
      <c r="A1441" s="2">
        <v>11440</v>
      </c>
      <c r="B1441" s="2">
        <v>695</v>
      </c>
      <c r="C1441" s="2">
        <v>2099</v>
      </c>
      <c r="D1441" s="2">
        <v>315</v>
      </c>
      <c r="E1441" s="4">
        <v>45548</v>
      </c>
      <c r="F1441" s="4">
        <v>45551</v>
      </c>
      <c r="G1441" s="2">
        <f t="shared" si="22"/>
        <v>3</v>
      </c>
      <c r="H1441" s="2">
        <v>71</v>
      </c>
      <c r="I1441" t="s">
        <v>42</v>
      </c>
      <c r="J1441" t="s">
        <v>21</v>
      </c>
      <c r="K1441" s="2">
        <v>31.62</v>
      </c>
      <c r="L1441" s="3">
        <v>652.77</v>
      </c>
      <c r="M1441" s="3">
        <f>orders_1[[#This Row],[products.Base_Price]]*orders_1[[#This Row],[Quantity]]</f>
        <v>46346.67</v>
      </c>
      <c r="N1441" t="s">
        <v>15</v>
      </c>
      <c r="O1441" t="s">
        <v>25</v>
      </c>
      <c r="P1441" t="s">
        <v>19</v>
      </c>
    </row>
    <row r="1442" spans="1:16" x14ac:dyDescent="0.3">
      <c r="A1442" s="2">
        <v>11441</v>
      </c>
      <c r="B1442" s="2">
        <v>672</v>
      </c>
      <c r="C1442" s="2">
        <v>2078</v>
      </c>
      <c r="D1442" s="2">
        <v>314</v>
      </c>
      <c r="E1442" s="4">
        <v>45403</v>
      </c>
      <c r="F1442" s="4">
        <v>45408</v>
      </c>
      <c r="G1442" s="2">
        <f t="shared" si="22"/>
        <v>5</v>
      </c>
      <c r="H1442" s="2">
        <v>49</v>
      </c>
      <c r="I1442" t="s">
        <v>42</v>
      </c>
      <c r="J1442" t="s">
        <v>21</v>
      </c>
      <c r="K1442" s="2">
        <v>14.85</v>
      </c>
      <c r="L1442" s="3">
        <v>517.03</v>
      </c>
      <c r="M1442" s="3">
        <f>orders_1[[#This Row],[products.Base_Price]]*orders_1[[#This Row],[Quantity]]</f>
        <v>25334.469999999998</v>
      </c>
      <c r="N1442" t="s">
        <v>17</v>
      </c>
      <c r="O1442" t="s">
        <v>14</v>
      </c>
      <c r="P1442" t="s">
        <v>19</v>
      </c>
    </row>
    <row r="1443" spans="1:16" x14ac:dyDescent="0.3">
      <c r="A1443" s="2">
        <v>11442</v>
      </c>
      <c r="B1443" s="2">
        <v>516</v>
      </c>
      <c r="C1443" s="2">
        <v>2025</v>
      </c>
      <c r="D1443" s="2">
        <v>302</v>
      </c>
      <c r="E1443" s="4">
        <v>45401</v>
      </c>
      <c r="F1443" s="4">
        <v>45404</v>
      </c>
      <c r="G1443" s="2">
        <f t="shared" si="22"/>
        <v>3</v>
      </c>
      <c r="H1443" s="2">
        <v>14</v>
      </c>
      <c r="I1443" t="s">
        <v>78</v>
      </c>
      <c r="J1443" t="s">
        <v>13</v>
      </c>
      <c r="K1443" s="2">
        <v>3.39</v>
      </c>
      <c r="L1443" s="3">
        <v>303.87</v>
      </c>
      <c r="M1443" s="3">
        <f>orders_1[[#This Row],[products.Base_Price]]*orders_1[[#This Row],[Quantity]]</f>
        <v>4254.18</v>
      </c>
      <c r="N1443" t="s">
        <v>12</v>
      </c>
      <c r="O1443" t="s">
        <v>14</v>
      </c>
      <c r="P1443" t="s">
        <v>11</v>
      </c>
    </row>
    <row r="1444" spans="1:16" x14ac:dyDescent="0.3">
      <c r="A1444" s="2">
        <v>11443</v>
      </c>
      <c r="B1444" s="2">
        <v>842</v>
      </c>
      <c r="C1444" s="2">
        <v>2039</v>
      </c>
      <c r="D1444" s="2">
        <v>301</v>
      </c>
      <c r="E1444" s="4">
        <v>45655</v>
      </c>
      <c r="F1444" s="4">
        <v>45665</v>
      </c>
      <c r="G1444" s="2">
        <f t="shared" si="22"/>
        <v>10</v>
      </c>
      <c r="H1444" s="2">
        <v>75</v>
      </c>
      <c r="I1444" t="s">
        <v>42</v>
      </c>
      <c r="J1444" t="s">
        <v>27</v>
      </c>
      <c r="K1444" s="2">
        <v>2.69</v>
      </c>
      <c r="L1444" s="3">
        <v>350.51</v>
      </c>
      <c r="M1444" s="3">
        <f>orders_1[[#This Row],[products.Base_Price]]*orders_1[[#This Row],[Quantity]]</f>
        <v>26288.25</v>
      </c>
      <c r="N1444" t="s">
        <v>8</v>
      </c>
      <c r="O1444" t="s">
        <v>10</v>
      </c>
      <c r="P1444" t="s">
        <v>11</v>
      </c>
    </row>
    <row r="1445" spans="1:16" x14ac:dyDescent="0.3">
      <c r="A1445" s="2">
        <v>11444</v>
      </c>
      <c r="B1445" s="2">
        <v>789</v>
      </c>
      <c r="C1445" s="2">
        <v>2050</v>
      </c>
      <c r="D1445" s="2">
        <v>305</v>
      </c>
      <c r="E1445" s="4">
        <v>45434</v>
      </c>
      <c r="F1445" s="4">
        <v>45443</v>
      </c>
      <c r="G1445" s="2">
        <f t="shared" si="22"/>
        <v>9</v>
      </c>
      <c r="H1445" s="2">
        <v>23</v>
      </c>
      <c r="I1445" t="s">
        <v>42</v>
      </c>
      <c r="J1445" t="s">
        <v>21</v>
      </c>
      <c r="K1445" s="2">
        <v>36.43</v>
      </c>
      <c r="L1445" s="3">
        <v>507.16</v>
      </c>
      <c r="M1445" s="3">
        <f>orders_1[[#This Row],[products.Base_Price]]*orders_1[[#This Row],[Quantity]]</f>
        <v>11664.68</v>
      </c>
      <c r="N1445" t="s">
        <v>20</v>
      </c>
      <c r="O1445" t="s">
        <v>10</v>
      </c>
      <c r="P1445" t="s">
        <v>19</v>
      </c>
    </row>
    <row r="1446" spans="1:16" x14ac:dyDescent="0.3">
      <c r="A1446" s="2">
        <v>11445</v>
      </c>
      <c r="B1446" s="2">
        <v>703</v>
      </c>
      <c r="C1446" s="2">
        <v>2071</v>
      </c>
      <c r="D1446" s="2">
        <v>318</v>
      </c>
      <c r="E1446" s="4">
        <v>45631</v>
      </c>
      <c r="F1446" s="4">
        <v>45641</v>
      </c>
      <c r="G1446" s="2">
        <f t="shared" si="22"/>
        <v>10</v>
      </c>
      <c r="H1446" s="2">
        <v>18</v>
      </c>
      <c r="I1446" t="s">
        <v>36</v>
      </c>
      <c r="J1446" t="s">
        <v>27</v>
      </c>
      <c r="K1446" s="2">
        <v>47.19</v>
      </c>
      <c r="L1446" s="3">
        <v>711.14</v>
      </c>
      <c r="M1446" s="3">
        <f>orders_1[[#This Row],[products.Base_Price]]*orders_1[[#This Row],[Quantity]]</f>
        <v>12800.52</v>
      </c>
      <c r="N1446" t="s">
        <v>17</v>
      </c>
      <c r="O1446" t="s">
        <v>10</v>
      </c>
      <c r="P1446" t="s">
        <v>19</v>
      </c>
    </row>
    <row r="1447" spans="1:16" x14ac:dyDescent="0.3">
      <c r="A1447" s="2">
        <v>11446</v>
      </c>
      <c r="B1447" s="2">
        <v>820</v>
      </c>
      <c r="C1447" s="2">
        <v>2042</v>
      </c>
      <c r="D1447" s="2">
        <v>319</v>
      </c>
      <c r="E1447" s="4">
        <v>45525</v>
      </c>
      <c r="F1447" s="4">
        <v>45532</v>
      </c>
      <c r="G1447" s="2">
        <f t="shared" si="22"/>
        <v>7</v>
      </c>
      <c r="H1447" s="2">
        <v>52</v>
      </c>
      <c r="I1447" t="s">
        <v>78</v>
      </c>
      <c r="J1447" t="s">
        <v>27</v>
      </c>
      <c r="K1447" s="2">
        <v>46.87</v>
      </c>
      <c r="L1447" s="3">
        <v>313.88</v>
      </c>
      <c r="M1447" s="3">
        <f>orders_1[[#This Row],[products.Base_Price]]*orders_1[[#This Row],[Quantity]]</f>
        <v>16321.76</v>
      </c>
      <c r="N1447" t="s">
        <v>20</v>
      </c>
      <c r="O1447" t="s">
        <v>18</v>
      </c>
      <c r="P1447" t="s">
        <v>11</v>
      </c>
    </row>
    <row r="1448" spans="1:16" x14ac:dyDescent="0.3">
      <c r="A1448" s="2">
        <v>11447</v>
      </c>
      <c r="B1448" s="2">
        <v>559</v>
      </c>
      <c r="C1448" s="2">
        <v>2036</v>
      </c>
      <c r="D1448" s="2">
        <v>318</v>
      </c>
      <c r="E1448" s="4">
        <v>45491</v>
      </c>
      <c r="F1448" s="4">
        <v>45493</v>
      </c>
      <c r="G1448" s="2">
        <f t="shared" si="22"/>
        <v>2</v>
      </c>
      <c r="H1448" s="2">
        <v>5</v>
      </c>
      <c r="I1448" t="s">
        <v>42</v>
      </c>
      <c r="J1448" t="s">
        <v>22</v>
      </c>
      <c r="K1448" s="2">
        <v>39.39</v>
      </c>
      <c r="L1448" s="3">
        <v>745.86</v>
      </c>
      <c r="M1448" s="3">
        <f>orders_1[[#This Row],[products.Base_Price]]*orders_1[[#This Row],[Quantity]]</f>
        <v>3729.3</v>
      </c>
      <c r="N1448" t="s">
        <v>17</v>
      </c>
      <c r="O1448" t="s">
        <v>10</v>
      </c>
      <c r="P1448" t="s">
        <v>19</v>
      </c>
    </row>
    <row r="1449" spans="1:16" x14ac:dyDescent="0.3">
      <c r="A1449" s="2">
        <v>11448</v>
      </c>
      <c r="B1449" s="2">
        <v>762</v>
      </c>
      <c r="C1449" s="2">
        <v>2017</v>
      </c>
      <c r="D1449" s="2">
        <v>315</v>
      </c>
      <c r="E1449" s="4">
        <v>45389</v>
      </c>
      <c r="F1449" s="4">
        <v>45398</v>
      </c>
      <c r="G1449" s="2">
        <f t="shared" si="22"/>
        <v>9</v>
      </c>
      <c r="H1449" s="2">
        <v>28</v>
      </c>
      <c r="I1449" t="s">
        <v>39</v>
      </c>
      <c r="J1449" t="s">
        <v>22</v>
      </c>
      <c r="K1449" s="2">
        <v>38.24</v>
      </c>
      <c r="L1449" s="3">
        <v>788.08</v>
      </c>
      <c r="M1449" s="3">
        <f>orders_1[[#This Row],[products.Base_Price]]*orders_1[[#This Row],[Quantity]]</f>
        <v>22066.240000000002</v>
      </c>
      <c r="N1449" t="s">
        <v>15</v>
      </c>
      <c r="O1449" t="s">
        <v>25</v>
      </c>
      <c r="P1449" t="s">
        <v>19</v>
      </c>
    </row>
    <row r="1450" spans="1:16" x14ac:dyDescent="0.3">
      <c r="A1450" s="2">
        <v>11449</v>
      </c>
      <c r="B1450" s="2">
        <v>640</v>
      </c>
      <c r="C1450" s="2">
        <v>2088</v>
      </c>
      <c r="D1450" s="2">
        <v>307</v>
      </c>
      <c r="E1450" s="4">
        <v>45496</v>
      </c>
      <c r="F1450" s="4">
        <v>45501</v>
      </c>
      <c r="G1450" s="2">
        <f t="shared" si="22"/>
        <v>5</v>
      </c>
      <c r="H1450" s="2">
        <v>66</v>
      </c>
      <c r="I1450" t="s">
        <v>36</v>
      </c>
      <c r="J1450" t="s">
        <v>13</v>
      </c>
      <c r="K1450" s="2">
        <v>27.71</v>
      </c>
      <c r="L1450" s="3">
        <v>820.21</v>
      </c>
      <c r="M1450" s="3">
        <f>orders_1[[#This Row],[products.Base_Price]]*orders_1[[#This Row],[Quantity]]</f>
        <v>54133.86</v>
      </c>
      <c r="N1450" t="s">
        <v>17</v>
      </c>
      <c r="O1450" t="s">
        <v>10</v>
      </c>
      <c r="P1450" t="s">
        <v>11</v>
      </c>
    </row>
    <row r="1451" spans="1:16" x14ac:dyDescent="0.3">
      <c r="A1451" s="2">
        <v>11450</v>
      </c>
      <c r="B1451" s="2">
        <v>762</v>
      </c>
      <c r="C1451" s="2">
        <v>2093</v>
      </c>
      <c r="D1451" s="2">
        <v>320</v>
      </c>
      <c r="E1451" s="4">
        <v>45406</v>
      </c>
      <c r="F1451" s="4">
        <v>45410</v>
      </c>
      <c r="G1451" s="2">
        <f t="shared" si="22"/>
        <v>4</v>
      </c>
      <c r="H1451" s="2">
        <v>86</v>
      </c>
      <c r="I1451" t="s">
        <v>42</v>
      </c>
      <c r="J1451" t="s">
        <v>9</v>
      </c>
      <c r="K1451" s="2">
        <v>25.73</v>
      </c>
      <c r="L1451" s="3">
        <v>537.69000000000005</v>
      </c>
      <c r="M1451" s="3">
        <f>orders_1[[#This Row],[products.Base_Price]]*orders_1[[#This Row],[Quantity]]</f>
        <v>46241.340000000004</v>
      </c>
      <c r="N1451" t="s">
        <v>15</v>
      </c>
      <c r="O1451" t="s">
        <v>25</v>
      </c>
      <c r="P1451" t="s">
        <v>11</v>
      </c>
    </row>
    <row r="1452" spans="1:16" x14ac:dyDescent="0.3">
      <c r="A1452" s="2">
        <v>11451</v>
      </c>
      <c r="B1452" s="2">
        <v>563</v>
      </c>
      <c r="C1452" s="2">
        <v>2045</v>
      </c>
      <c r="D1452" s="2">
        <v>305</v>
      </c>
      <c r="E1452" s="4">
        <v>45400</v>
      </c>
      <c r="F1452" s="4">
        <v>45410</v>
      </c>
      <c r="G1452" s="2">
        <f t="shared" si="22"/>
        <v>10</v>
      </c>
      <c r="H1452" s="2">
        <v>97</v>
      </c>
      <c r="I1452" t="s">
        <v>42</v>
      </c>
      <c r="J1452" t="s">
        <v>9</v>
      </c>
      <c r="K1452" s="2">
        <v>41.3</v>
      </c>
      <c r="L1452" s="3">
        <v>652.61</v>
      </c>
      <c r="M1452" s="3">
        <f>orders_1[[#This Row],[products.Base_Price]]*orders_1[[#This Row],[Quantity]]</f>
        <v>63303.17</v>
      </c>
      <c r="N1452" t="s">
        <v>20</v>
      </c>
      <c r="O1452" t="s">
        <v>10</v>
      </c>
      <c r="P1452" t="s">
        <v>19</v>
      </c>
    </row>
    <row r="1453" spans="1:16" x14ac:dyDescent="0.3">
      <c r="A1453" s="2">
        <v>11452</v>
      </c>
      <c r="B1453" s="2">
        <v>839</v>
      </c>
      <c r="C1453" s="2">
        <v>2068</v>
      </c>
      <c r="D1453" s="2">
        <v>312</v>
      </c>
      <c r="E1453" s="4">
        <v>45512</v>
      </c>
      <c r="F1453" s="4">
        <v>45522</v>
      </c>
      <c r="G1453" s="2">
        <f t="shared" si="22"/>
        <v>10</v>
      </c>
      <c r="H1453" s="2">
        <v>30</v>
      </c>
      <c r="I1453" t="s">
        <v>42</v>
      </c>
      <c r="J1453" t="s">
        <v>27</v>
      </c>
      <c r="K1453" s="2">
        <v>47.08</v>
      </c>
      <c r="L1453" s="3">
        <v>501.03</v>
      </c>
      <c r="M1453" s="3">
        <f>orders_1[[#This Row],[products.Base_Price]]*orders_1[[#This Row],[Quantity]]</f>
        <v>15030.9</v>
      </c>
      <c r="N1453" t="s">
        <v>15</v>
      </c>
      <c r="O1453" t="s">
        <v>10</v>
      </c>
      <c r="P1453" t="s">
        <v>11</v>
      </c>
    </row>
    <row r="1454" spans="1:16" x14ac:dyDescent="0.3">
      <c r="A1454" s="2">
        <v>11453</v>
      </c>
      <c r="B1454" s="2">
        <v>708</v>
      </c>
      <c r="C1454" s="2">
        <v>2076</v>
      </c>
      <c r="D1454" s="2">
        <v>306</v>
      </c>
      <c r="E1454" s="4">
        <v>45563</v>
      </c>
      <c r="F1454" s="4">
        <v>45567</v>
      </c>
      <c r="G1454" s="2">
        <f t="shared" si="22"/>
        <v>4</v>
      </c>
      <c r="H1454" s="2">
        <v>22</v>
      </c>
      <c r="I1454" t="s">
        <v>78</v>
      </c>
      <c r="J1454" t="s">
        <v>13</v>
      </c>
      <c r="K1454" s="2">
        <v>14.63</v>
      </c>
      <c r="L1454" s="3">
        <v>638.11</v>
      </c>
      <c r="M1454" s="3">
        <f>orders_1[[#This Row],[products.Base_Price]]*orders_1[[#This Row],[Quantity]]</f>
        <v>14038.42</v>
      </c>
      <c r="N1454" t="s">
        <v>8</v>
      </c>
      <c r="O1454" t="s">
        <v>10</v>
      </c>
      <c r="P1454" t="s">
        <v>16</v>
      </c>
    </row>
    <row r="1455" spans="1:16" x14ac:dyDescent="0.3">
      <c r="A1455" s="2">
        <v>11454</v>
      </c>
      <c r="B1455" s="2">
        <v>879</v>
      </c>
      <c r="C1455" s="2">
        <v>2021</v>
      </c>
      <c r="D1455" s="2">
        <v>315</v>
      </c>
      <c r="E1455" s="4">
        <v>45477</v>
      </c>
      <c r="F1455" s="4">
        <v>45478</v>
      </c>
      <c r="G1455" s="2">
        <f t="shared" si="22"/>
        <v>1</v>
      </c>
      <c r="H1455" s="2">
        <v>1</v>
      </c>
      <c r="I1455" t="s">
        <v>39</v>
      </c>
      <c r="J1455" t="s">
        <v>9</v>
      </c>
      <c r="K1455" s="2">
        <v>18.77</v>
      </c>
      <c r="L1455" s="3">
        <v>259.72000000000003</v>
      </c>
      <c r="M1455" s="3">
        <f>orders_1[[#This Row],[products.Base_Price]]*orders_1[[#This Row],[Quantity]]</f>
        <v>259.72000000000003</v>
      </c>
      <c r="N1455" t="s">
        <v>15</v>
      </c>
      <c r="O1455" t="s">
        <v>25</v>
      </c>
      <c r="P1455" t="s">
        <v>19</v>
      </c>
    </row>
    <row r="1456" spans="1:16" x14ac:dyDescent="0.3">
      <c r="A1456" s="2">
        <v>11455</v>
      </c>
      <c r="B1456" s="2">
        <v>643</v>
      </c>
      <c r="C1456" s="2">
        <v>2019</v>
      </c>
      <c r="D1456" s="2">
        <v>307</v>
      </c>
      <c r="E1456" s="4">
        <v>45298</v>
      </c>
      <c r="F1456" s="4">
        <v>45301</v>
      </c>
      <c r="G1456" s="2">
        <f t="shared" si="22"/>
        <v>3</v>
      </c>
      <c r="H1456" s="2">
        <v>56</v>
      </c>
      <c r="I1456" t="s">
        <v>36</v>
      </c>
      <c r="J1456" t="s">
        <v>22</v>
      </c>
      <c r="K1456" s="2">
        <v>27.65</v>
      </c>
      <c r="L1456" s="3">
        <v>89.85</v>
      </c>
      <c r="M1456" s="3">
        <f>orders_1[[#This Row],[products.Base_Price]]*orders_1[[#This Row],[Quantity]]</f>
        <v>5031.5999999999995</v>
      </c>
      <c r="N1456" t="s">
        <v>17</v>
      </c>
      <c r="O1456" t="s">
        <v>10</v>
      </c>
      <c r="P1456" t="s">
        <v>11</v>
      </c>
    </row>
    <row r="1457" spans="1:16" x14ac:dyDescent="0.3">
      <c r="A1457" s="2">
        <v>11456</v>
      </c>
      <c r="B1457" s="2">
        <v>803</v>
      </c>
      <c r="C1457" s="2">
        <v>2069</v>
      </c>
      <c r="D1457" s="2">
        <v>307</v>
      </c>
      <c r="E1457" s="4">
        <v>45460</v>
      </c>
      <c r="F1457" s="4">
        <v>45468</v>
      </c>
      <c r="G1457" s="2">
        <f t="shared" si="22"/>
        <v>8</v>
      </c>
      <c r="H1457" s="2">
        <v>33</v>
      </c>
      <c r="I1457" t="s">
        <v>36</v>
      </c>
      <c r="J1457" t="s">
        <v>22</v>
      </c>
      <c r="K1457" s="2">
        <v>2.94</v>
      </c>
      <c r="L1457" s="3">
        <v>494.92</v>
      </c>
      <c r="M1457" s="3">
        <f>orders_1[[#This Row],[products.Base_Price]]*orders_1[[#This Row],[Quantity]]</f>
        <v>16332.36</v>
      </c>
      <c r="N1457" t="s">
        <v>17</v>
      </c>
      <c r="O1457" t="s">
        <v>10</v>
      </c>
      <c r="P1457" t="s">
        <v>11</v>
      </c>
    </row>
    <row r="1458" spans="1:16" x14ac:dyDescent="0.3">
      <c r="A1458" s="2">
        <v>11457</v>
      </c>
      <c r="B1458" s="2">
        <v>668</v>
      </c>
      <c r="C1458" s="2">
        <v>2032</v>
      </c>
      <c r="D1458" s="2">
        <v>307</v>
      </c>
      <c r="E1458" s="4">
        <v>45420</v>
      </c>
      <c r="F1458" s="4">
        <v>45430</v>
      </c>
      <c r="G1458" s="2">
        <f t="shared" si="22"/>
        <v>10</v>
      </c>
      <c r="H1458" s="2">
        <v>36</v>
      </c>
      <c r="I1458" t="s">
        <v>78</v>
      </c>
      <c r="J1458" t="s">
        <v>9</v>
      </c>
      <c r="K1458" s="2">
        <v>3.81</v>
      </c>
      <c r="L1458" s="3">
        <v>682.41</v>
      </c>
      <c r="M1458" s="3">
        <f>orders_1[[#This Row],[products.Base_Price]]*orders_1[[#This Row],[Quantity]]</f>
        <v>24566.76</v>
      </c>
      <c r="N1458" t="s">
        <v>17</v>
      </c>
      <c r="O1458" t="s">
        <v>10</v>
      </c>
      <c r="P1458" t="s">
        <v>11</v>
      </c>
    </row>
    <row r="1459" spans="1:16" x14ac:dyDescent="0.3">
      <c r="A1459" s="2">
        <v>11458</v>
      </c>
      <c r="B1459" s="2">
        <v>898</v>
      </c>
      <c r="C1459" s="2">
        <v>2062</v>
      </c>
      <c r="D1459" s="2">
        <v>312</v>
      </c>
      <c r="E1459" s="4">
        <v>45335</v>
      </c>
      <c r="F1459" s="4">
        <v>45342</v>
      </c>
      <c r="G1459" s="2">
        <f t="shared" si="22"/>
        <v>7</v>
      </c>
      <c r="H1459" s="2">
        <v>43</v>
      </c>
      <c r="I1459" t="s">
        <v>78</v>
      </c>
      <c r="J1459" t="s">
        <v>9</v>
      </c>
      <c r="K1459" s="2">
        <v>32.479999999999997</v>
      </c>
      <c r="L1459" s="3">
        <v>409.49</v>
      </c>
      <c r="M1459" s="3">
        <f>orders_1[[#This Row],[products.Base_Price]]*orders_1[[#This Row],[Quantity]]</f>
        <v>17608.07</v>
      </c>
      <c r="N1459" t="s">
        <v>15</v>
      </c>
      <c r="O1459" t="s">
        <v>10</v>
      </c>
      <c r="P1459" t="s">
        <v>11</v>
      </c>
    </row>
    <row r="1460" spans="1:16" x14ac:dyDescent="0.3">
      <c r="A1460" s="2">
        <v>11459</v>
      </c>
      <c r="B1460" s="2">
        <v>845</v>
      </c>
      <c r="C1460" s="2">
        <v>2085</v>
      </c>
      <c r="D1460" s="2">
        <v>307</v>
      </c>
      <c r="E1460" s="4">
        <v>45331</v>
      </c>
      <c r="F1460" s="4">
        <v>45333</v>
      </c>
      <c r="G1460" s="2">
        <f t="shared" si="22"/>
        <v>2</v>
      </c>
      <c r="H1460" s="2">
        <v>1</v>
      </c>
      <c r="I1460" t="s">
        <v>39</v>
      </c>
      <c r="J1460" t="s">
        <v>22</v>
      </c>
      <c r="K1460" s="2">
        <v>47.56</v>
      </c>
      <c r="L1460" s="3">
        <v>131.63</v>
      </c>
      <c r="M1460" s="3">
        <f>orders_1[[#This Row],[products.Base_Price]]*orders_1[[#This Row],[Quantity]]</f>
        <v>131.63</v>
      </c>
      <c r="N1460" t="s">
        <v>17</v>
      </c>
      <c r="O1460" t="s">
        <v>10</v>
      </c>
      <c r="P1460" t="s">
        <v>11</v>
      </c>
    </row>
    <row r="1461" spans="1:16" x14ac:dyDescent="0.3">
      <c r="A1461" s="2">
        <v>11460</v>
      </c>
      <c r="B1461" s="2">
        <v>742</v>
      </c>
      <c r="C1461" s="2">
        <v>2029</v>
      </c>
      <c r="D1461" s="2">
        <v>301</v>
      </c>
      <c r="E1461" s="4">
        <v>45555</v>
      </c>
      <c r="F1461" s="4">
        <v>45561</v>
      </c>
      <c r="G1461" s="2">
        <f t="shared" si="22"/>
        <v>6</v>
      </c>
      <c r="H1461" s="2">
        <v>1</v>
      </c>
      <c r="I1461" t="s">
        <v>36</v>
      </c>
      <c r="J1461" t="s">
        <v>21</v>
      </c>
      <c r="K1461" s="2">
        <v>9.19</v>
      </c>
      <c r="L1461" s="3">
        <v>357.06</v>
      </c>
      <c r="M1461" s="3">
        <f>orders_1[[#This Row],[products.Base_Price]]*orders_1[[#This Row],[Quantity]]</f>
        <v>357.06</v>
      </c>
      <c r="N1461" t="s">
        <v>8</v>
      </c>
      <c r="O1461" t="s">
        <v>10</v>
      </c>
      <c r="P1461" t="s">
        <v>11</v>
      </c>
    </row>
    <row r="1462" spans="1:16" x14ac:dyDescent="0.3">
      <c r="A1462" s="2">
        <v>11461</v>
      </c>
      <c r="B1462" s="2">
        <v>870</v>
      </c>
      <c r="C1462" s="2">
        <v>2067</v>
      </c>
      <c r="D1462" s="2">
        <v>304</v>
      </c>
      <c r="E1462" s="4">
        <v>45637</v>
      </c>
      <c r="F1462" s="4">
        <v>45638</v>
      </c>
      <c r="G1462" s="2">
        <f t="shared" si="22"/>
        <v>1</v>
      </c>
      <c r="H1462" s="2">
        <v>84</v>
      </c>
      <c r="I1462" t="s">
        <v>78</v>
      </c>
      <c r="J1462" t="s">
        <v>9</v>
      </c>
      <c r="K1462" s="2">
        <v>24.79</v>
      </c>
      <c r="L1462" s="3">
        <v>48.68</v>
      </c>
      <c r="M1462" s="3">
        <f>orders_1[[#This Row],[products.Base_Price]]*orders_1[[#This Row],[Quantity]]</f>
        <v>4089.12</v>
      </c>
      <c r="N1462" t="s">
        <v>17</v>
      </c>
      <c r="O1462" t="s">
        <v>18</v>
      </c>
      <c r="P1462" t="s">
        <v>19</v>
      </c>
    </row>
    <row r="1463" spans="1:16" x14ac:dyDescent="0.3">
      <c r="A1463" s="2">
        <v>11462</v>
      </c>
      <c r="B1463" s="2">
        <v>727</v>
      </c>
      <c r="C1463" s="2">
        <v>2061</v>
      </c>
      <c r="D1463" s="2">
        <v>317</v>
      </c>
      <c r="E1463" s="4">
        <v>45627</v>
      </c>
      <c r="F1463" s="4">
        <v>45629</v>
      </c>
      <c r="G1463" s="2">
        <f t="shared" si="22"/>
        <v>2</v>
      </c>
      <c r="H1463" s="2">
        <v>44</v>
      </c>
      <c r="I1463" t="s">
        <v>39</v>
      </c>
      <c r="J1463" t="s">
        <v>13</v>
      </c>
      <c r="K1463" s="2">
        <v>46.64</v>
      </c>
      <c r="L1463" s="3">
        <v>620.16999999999996</v>
      </c>
      <c r="M1463" s="3">
        <f>orders_1[[#This Row],[products.Base_Price]]*orders_1[[#This Row],[Quantity]]</f>
        <v>27287.48</v>
      </c>
      <c r="N1463" t="s">
        <v>20</v>
      </c>
      <c r="O1463" t="s">
        <v>25</v>
      </c>
      <c r="P1463" t="s">
        <v>19</v>
      </c>
    </row>
    <row r="1464" spans="1:16" x14ac:dyDescent="0.3">
      <c r="A1464" s="2">
        <v>11463</v>
      </c>
      <c r="B1464" s="2">
        <v>582</v>
      </c>
      <c r="C1464" s="2">
        <v>2072</v>
      </c>
      <c r="D1464" s="2">
        <v>309</v>
      </c>
      <c r="E1464" s="4">
        <v>45473</v>
      </c>
      <c r="F1464" s="4">
        <v>45482</v>
      </c>
      <c r="G1464" s="2">
        <f t="shared" si="22"/>
        <v>9</v>
      </c>
      <c r="H1464" s="2">
        <v>42</v>
      </c>
      <c r="I1464" t="s">
        <v>78</v>
      </c>
      <c r="J1464" t="s">
        <v>9</v>
      </c>
      <c r="K1464" s="2">
        <v>26.22</v>
      </c>
      <c r="L1464" s="3">
        <v>576.57000000000005</v>
      </c>
      <c r="M1464" s="3">
        <f>orders_1[[#This Row],[products.Base_Price]]*orders_1[[#This Row],[Quantity]]</f>
        <v>24215.940000000002</v>
      </c>
      <c r="N1464" t="s">
        <v>24</v>
      </c>
      <c r="O1464" t="s">
        <v>25</v>
      </c>
      <c r="P1464" t="s">
        <v>16</v>
      </c>
    </row>
    <row r="1465" spans="1:16" x14ac:dyDescent="0.3">
      <c r="A1465" s="2">
        <v>11464</v>
      </c>
      <c r="B1465" s="2">
        <v>897</v>
      </c>
      <c r="C1465" s="2">
        <v>2006</v>
      </c>
      <c r="D1465" s="2">
        <v>306</v>
      </c>
      <c r="E1465" s="4">
        <v>45607</v>
      </c>
      <c r="F1465" s="4">
        <v>45609</v>
      </c>
      <c r="G1465" s="2">
        <f t="shared" si="22"/>
        <v>2</v>
      </c>
      <c r="H1465" s="2">
        <v>85</v>
      </c>
      <c r="I1465" t="s">
        <v>39</v>
      </c>
      <c r="J1465" t="s">
        <v>22</v>
      </c>
      <c r="K1465" s="2">
        <v>41.47</v>
      </c>
      <c r="L1465" s="3">
        <v>541.85</v>
      </c>
      <c r="M1465" s="3">
        <f>orders_1[[#This Row],[products.Base_Price]]*orders_1[[#This Row],[Quantity]]</f>
        <v>46057.25</v>
      </c>
      <c r="N1465" t="s">
        <v>8</v>
      </c>
      <c r="O1465" t="s">
        <v>10</v>
      </c>
      <c r="P1465" t="s">
        <v>16</v>
      </c>
    </row>
    <row r="1466" spans="1:16" x14ac:dyDescent="0.3">
      <c r="A1466" s="2">
        <v>11465</v>
      </c>
      <c r="B1466" s="2">
        <v>533</v>
      </c>
      <c r="C1466" s="2">
        <v>2003</v>
      </c>
      <c r="D1466" s="2">
        <v>314</v>
      </c>
      <c r="E1466" s="4">
        <v>45482</v>
      </c>
      <c r="F1466" s="4">
        <v>45483</v>
      </c>
      <c r="G1466" s="2">
        <f t="shared" si="22"/>
        <v>1</v>
      </c>
      <c r="H1466" s="2">
        <v>100</v>
      </c>
      <c r="I1466" t="s">
        <v>78</v>
      </c>
      <c r="J1466" t="s">
        <v>13</v>
      </c>
      <c r="K1466" s="2">
        <v>39.74</v>
      </c>
      <c r="L1466" s="3">
        <v>864.17</v>
      </c>
      <c r="M1466" s="3">
        <f>orders_1[[#This Row],[products.Base_Price]]*orders_1[[#This Row],[Quantity]]</f>
        <v>86417</v>
      </c>
      <c r="N1466" t="s">
        <v>17</v>
      </c>
      <c r="O1466" t="s">
        <v>14</v>
      </c>
      <c r="P1466" t="s">
        <v>19</v>
      </c>
    </row>
    <row r="1467" spans="1:16" x14ac:dyDescent="0.3">
      <c r="A1467" s="2">
        <v>11466</v>
      </c>
      <c r="B1467" s="2">
        <v>584</v>
      </c>
      <c r="C1467" s="2">
        <v>2013</v>
      </c>
      <c r="D1467" s="2">
        <v>320</v>
      </c>
      <c r="E1467" s="4">
        <v>45436</v>
      </c>
      <c r="F1467" s="4">
        <v>45445</v>
      </c>
      <c r="G1467" s="2">
        <f t="shared" si="22"/>
        <v>9</v>
      </c>
      <c r="H1467" s="2">
        <v>52</v>
      </c>
      <c r="I1467" t="s">
        <v>36</v>
      </c>
      <c r="J1467" t="s">
        <v>13</v>
      </c>
      <c r="K1467" s="2">
        <v>19.53</v>
      </c>
      <c r="L1467" s="3">
        <v>563.69000000000005</v>
      </c>
      <c r="M1467" s="3">
        <f>orders_1[[#This Row],[products.Base_Price]]*orders_1[[#This Row],[Quantity]]</f>
        <v>29311.880000000005</v>
      </c>
      <c r="N1467" t="s">
        <v>15</v>
      </c>
      <c r="O1467" t="s">
        <v>25</v>
      </c>
      <c r="P1467" t="s">
        <v>11</v>
      </c>
    </row>
    <row r="1468" spans="1:16" x14ac:dyDescent="0.3">
      <c r="A1468" s="2">
        <v>11467</v>
      </c>
      <c r="B1468" s="2">
        <v>532</v>
      </c>
      <c r="C1468" s="2">
        <v>2011</v>
      </c>
      <c r="D1468" s="2">
        <v>314</v>
      </c>
      <c r="E1468" s="4">
        <v>45379</v>
      </c>
      <c r="F1468" s="4">
        <v>45381</v>
      </c>
      <c r="G1468" s="2">
        <f t="shared" si="22"/>
        <v>2</v>
      </c>
      <c r="H1468" s="2">
        <v>19</v>
      </c>
      <c r="I1468" t="s">
        <v>42</v>
      </c>
      <c r="J1468" t="s">
        <v>21</v>
      </c>
      <c r="K1468" s="2">
        <v>12.75</v>
      </c>
      <c r="L1468" s="3">
        <v>987.99</v>
      </c>
      <c r="M1468" s="3">
        <f>orders_1[[#This Row],[products.Base_Price]]*orders_1[[#This Row],[Quantity]]</f>
        <v>18771.810000000001</v>
      </c>
      <c r="N1468" t="s">
        <v>17</v>
      </c>
      <c r="O1468" t="s">
        <v>14</v>
      </c>
      <c r="P1468" t="s">
        <v>19</v>
      </c>
    </row>
    <row r="1469" spans="1:16" x14ac:dyDescent="0.3">
      <c r="A1469" s="2">
        <v>11468</v>
      </c>
      <c r="B1469" s="2">
        <v>679</v>
      </c>
      <c r="C1469" s="2">
        <v>2079</v>
      </c>
      <c r="D1469" s="2">
        <v>301</v>
      </c>
      <c r="E1469" s="4">
        <v>45459</v>
      </c>
      <c r="F1469" s="4">
        <v>45469</v>
      </c>
      <c r="G1469" s="2">
        <f t="shared" si="22"/>
        <v>10</v>
      </c>
      <c r="H1469" s="2">
        <v>95</v>
      </c>
      <c r="I1469" t="s">
        <v>78</v>
      </c>
      <c r="J1469" t="s">
        <v>22</v>
      </c>
      <c r="K1469" s="2">
        <v>12.3</v>
      </c>
      <c r="L1469" s="3">
        <v>99.7</v>
      </c>
      <c r="M1469" s="3">
        <f>orders_1[[#This Row],[products.Base_Price]]*orders_1[[#This Row],[Quantity]]</f>
        <v>9471.5</v>
      </c>
      <c r="N1469" t="s">
        <v>8</v>
      </c>
      <c r="O1469" t="s">
        <v>10</v>
      </c>
      <c r="P1469" t="s">
        <v>11</v>
      </c>
    </row>
    <row r="1470" spans="1:16" x14ac:dyDescent="0.3">
      <c r="A1470" s="2">
        <v>11469</v>
      </c>
      <c r="B1470" s="2">
        <v>859</v>
      </c>
      <c r="C1470" s="2">
        <v>2048</v>
      </c>
      <c r="D1470" s="2">
        <v>307</v>
      </c>
      <c r="E1470" s="4">
        <v>45482</v>
      </c>
      <c r="F1470" s="4">
        <v>45484</v>
      </c>
      <c r="G1470" s="2">
        <f t="shared" si="22"/>
        <v>2</v>
      </c>
      <c r="H1470" s="2">
        <v>11</v>
      </c>
      <c r="I1470" t="s">
        <v>42</v>
      </c>
      <c r="J1470" t="s">
        <v>22</v>
      </c>
      <c r="K1470" s="2">
        <v>6.74</v>
      </c>
      <c r="L1470" s="3">
        <v>864.57</v>
      </c>
      <c r="M1470" s="3">
        <f>orders_1[[#This Row],[products.Base_Price]]*orders_1[[#This Row],[Quantity]]</f>
        <v>9510.27</v>
      </c>
      <c r="N1470" t="s">
        <v>17</v>
      </c>
      <c r="O1470" t="s">
        <v>10</v>
      </c>
      <c r="P1470" t="s">
        <v>11</v>
      </c>
    </row>
    <row r="1471" spans="1:16" x14ac:dyDescent="0.3">
      <c r="A1471" s="2">
        <v>11470</v>
      </c>
      <c r="B1471" s="2">
        <v>811</v>
      </c>
      <c r="C1471" s="2">
        <v>2028</v>
      </c>
      <c r="D1471" s="2">
        <v>301</v>
      </c>
      <c r="E1471" s="4">
        <v>45592</v>
      </c>
      <c r="F1471" s="4">
        <v>45594</v>
      </c>
      <c r="G1471" s="2">
        <f t="shared" si="22"/>
        <v>2</v>
      </c>
      <c r="H1471" s="2">
        <v>23</v>
      </c>
      <c r="I1471" t="s">
        <v>39</v>
      </c>
      <c r="J1471" t="s">
        <v>13</v>
      </c>
      <c r="K1471" s="2">
        <v>30.34</v>
      </c>
      <c r="L1471" s="3">
        <v>630.65</v>
      </c>
      <c r="M1471" s="3">
        <f>orders_1[[#This Row],[products.Base_Price]]*orders_1[[#This Row],[Quantity]]</f>
        <v>14504.949999999999</v>
      </c>
      <c r="N1471" t="s">
        <v>8</v>
      </c>
      <c r="O1471" t="s">
        <v>10</v>
      </c>
      <c r="P1471" t="s">
        <v>11</v>
      </c>
    </row>
    <row r="1472" spans="1:16" x14ac:dyDescent="0.3">
      <c r="A1472" s="2">
        <v>11471</v>
      </c>
      <c r="B1472" s="2">
        <v>880</v>
      </c>
      <c r="C1472" s="2">
        <v>2055</v>
      </c>
      <c r="D1472" s="2">
        <v>308</v>
      </c>
      <c r="E1472" s="4">
        <v>45457</v>
      </c>
      <c r="F1472" s="4">
        <v>45463</v>
      </c>
      <c r="G1472" s="2">
        <f t="shared" si="22"/>
        <v>6</v>
      </c>
      <c r="H1472" s="2">
        <v>19</v>
      </c>
      <c r="I1472" t="s">
        <v>36</v>
      </c>
      <c r="J1472" t="s">
        <v>27</v>
      </c>
      <c r="K1472" s="2">
        <v>26.24</v>
      </c>
      <c r="L1472" s="3">
        <v>312.67</v>
      </c>
      <c r="M1472" s="3">
        <f>orders_1[[#This Row],[products.Base_Price]]*orders_1[[#This Row],[Quantity]]</f>
        <v>5940.7300000000005</v>
      </c>
      <c r="N1472" t="s">
        <v>23</v>
      </c>
      <c r="O1472" t="s">
        <v>14</v>
      </c>
      <c r="P1472" t="s">
        <v>19</v>
      </c>
    </row>
    <row r="1473" spans="1:16" x14ac:dyDescent="0.3">
      <c r="A1473" s="2">
        <v>11472</v>
      </c>
      <c r="B1473" s="2">
        <v>615</v>
      </c>
      <c r="C1473" s="2">
        <v>2068</v>
      </c>
      <c r="D1473" s="2">
        <v>312</v>
      </c>
      <c r="E1473" s="4">
        <v>45483</v>
      </c>
      <c r="F1473" s="4">
        <v>45484</v>
      </c>
      <c r="G1473" s="2">
        <f t="shared" si="22"/>
        <v>1</v>
      </c>
      <c r="H1473" s="2">
        <v>73</v>
      </c>
      <c r="I1473" t="s">
        <v>36</v>
      </c>
      <c r="J1473" t="s">
        <v>27</v>
      </c>
      <c r="K1473" s="2">
        <v>47.08</v>
      </c>
      <c r="L1473" s="3">
        <v>501.03</v>
      </c>
      <c r="M1473" s="3">
        <f>orders_1[[#This Row],[products.Base_Price]]*orders_1[[#This Row],[Quantity]]</f>
        <v>36575.189999999995</v>
      </c>
      <c r="N1473" t="s">
        <v>15</v>
      </c>
      <c r="O1473" t="s">
        <v>10</v>
      </c>
      <c r="P1473" t="s">
        <v>11</v>
      </c>
    </row>
    <row r="1474" spans="1:16" x14ac:dyDescent="0.3">
      <c r="A1474" s="2">
        <v>11473</v>
      </c>
      <c r="B1474" s="2">
        <v>637</v>
      </c>
      <c r="C1474" s="2">
        <v>2011</v>
      </c>
      <c r="D1474" s="2">
        <v>308</v>
      </c>
      <c r="E1474" s="4">
        <v>45311</v>
      </c>
      <c r="F1474" s="4">
        <v>45314</v>
      </c>
      <c r="G1474" s="2">
        <f t="shared" ref="G1474:G1501" si="23">F1474-E1474</f>
        <v>3</v>
      </c>
      <c r="H1474" s="2">
        <v>66</v>
      </c>
      <c r="I1474" t="s">
        <v>42</v>
      </c>
      <c r="J1474" t="s">
        <v>21</v>
      </c>
      <c r="K1474" s="2">
        <v>12.75</v>
      </c>
      <c r="L1474" s="3">
        <v>987.99</v>
      </c>
      <c r="M1474" s="3">
        <f>orders_1[[#This Row],[products.Base_Price]]*orders_1[[#This Row],[Quantity]]</f>
        <v>65207.340000000004</v>
      </c>
      <c r="N1474" t="s">
        <v>23</v>
      </c>
      <c r="O1474" t="s">
        <v>14</v>
      </c>
      <c r="P1474" t="s">
        <v>19</v>
      </c>
    </row>
    <row r="1475" spans="1:16" x14ac:dyDescent="0.3">
      <c r="A1475" s="2">
        <v>11474</v>
      </c>
      <c r="B1475" s="2">
        <v>598</v>
      </c>
      <c r="C1475" s="2">
        <v>2021</v>
      </c>
      <c r="D1475" s="2">
        <v>317</v>
      </c>
      <c r="E1475" s="4">
        <v>45645</v>
      </c>
      <c r="F1475" s="4">
        <v>45646</v>
      </c>
      <c r="G1475" s="2">
        <f t="shared" si="23"/>
        <v>1</v>
      </c>
      <c r="H1475" s="2">
        <v>12</v>
      </c>
      <c r="I1475" t="s">
        <v>36</v>
      </c>
      <c r="J1475" t="s">
        <v>9</v>
      </c>
      <c r="K1475" s="2">
        <v>18.77</v>
      </c>
      <c r="L1475" s="3">
        <v>259.72000000000003</v>
      </c>
      <c r="M1475" s="3">
        <f>orders_1[[#This Row],[products.Base_Price]]*orders_1[[#This Row],[Quantity]]</f>
        <v>3116.6400000000003</v>
      </c>
      <c r="N1475" t="s">
        <v>20</v>
      </c>
      <c r="O1475" t="s">
        <v>25</v>
      </c>
      <c r="P1475" t="s">
        <v>19</v>
      </c>
    </row>
    <row r="1476" spans="1:16" x14ac:dyDescent="0.3">
      <c r="A1476" s="2">
        <v>11475</v>
      </c>
      <c r="B1476" s="2">
        <v>571</v>
      </c>
      <c r="C1476" s="2">
        <v>2097</v>
      </c>
      <c r="D1476" s="2">
        <v>302</v>
      </c>
      <c r="E1476" s="4">
        <v>45496</v>
      </c>
      <c r="F1476" s="4">
        <v>45497</v>
      </c>
      <c r="G1476" s="2">
        <f t="shared" si="23"/>
        <v>1</v>
      </c>
      <c r="H1476" s="2">
        <v>97</v>
      </c>
      <c r="I1476" t="s">
        <v>36</v>
      </c>
      <c r="J1476" t="s">
        <v>27</v>
      </c>
      <c r="K1476" s="2">
        <v>30.63</v>
      </c>
      <c r="L1476" s="3">
        <v>828.74</v>
      </c>
      <c r="M1476" s="3">
        <f>orders_1[[#This Row],[products.Base_Price]]*orders_1[[#This Row],[Quantity]]</f>
        <v>80387.78</v>
      </c>
      <c r="N1476" t="s">
        <v>12</v>
      </c>
      <c r="O1476" t="s">
        <v>14</v>
      </c>
      <c r="P1476" t="s">
        <v>11</v>
      </c>
    </row>
    <row r="1477" spans="1:16" x14ac:dyDescent="0.3">
      <c r="A1477" s="2">
        <v>11476</v>
      </c>
      <c r="B1477" s="2">
        <v>681</v>
      </c>
      <c r="C1477" s="2">
        <v>2044</v>
      </c>
      <c r="D1477" s="2">
        <v>309</v>
      </c>
      <c r="E1477" s="4">
        <v>45551</v>
      </c>
      <c r="F1477" s="4">
        <v>45561</v>
      </c>
      <c r="G1477" s="2">
        <f t="shared" si="23"/>
        <v>10</v>
      </c>
      <c r="H1477" s="2">
        <v>29</v>
      </c>
      <c r="I1477" t="s">
        <v>36</v>
      </c>
      <c r="J1477" t="s">
        <v>21</v>
      </c>
      <c r="K1477" s="2">
        <v>11.44</v>
      </c>
      <c r="L1477" s="3">
        <v>939.99</v>
      </c>
      <c r="M1477" s="3">
        <f>orders_1[[#This Row],[products.Base_Price]]*orders_1[[#This Row],[Quantity]]</f>
        <v>27259.71</v>
      </c>
      <c r="N1477" t="s">
        <v>24</v>
      </c>
      <c r="O1477" t="s">
        <v>25</v>
      </c>
      <c r="P1477" t="s">
        <v>16</v>
      </c>
    </row>
    <row r="1478" spans="1:16" x14ac:dyDescent="0.3">
      <c r="A1478" s="2">
        <v>11477</v>
      </c>
      <c r="B1478" s="2">
        <v>646</v>
      </c>
      <c r="C1478" s="2">
        <v>2084</v>
      </c>
      <c r="D1478" s="2">
        <v>314</v>
      </c>
      <c r="E1478" s="4">
        <v>45299</v>
      </c>
      <c r="F1478" s="4">
        <v>45307</v>
      </c>
      <c r="G1478" s="2">
        <f t="shared" si="23"/>
        <v>8</v>
      </c>
      <c r="H1478" s="2">
        <v>2</v>
      </c>
      <c r="I1478" t="s">
        <v>42</v>
      </c>
      <c r="J1478" t="s">
        <v>21</v>
      </c>
      <c r="K1478" s="2">
        <v>14.27</v>
      </c>
      <c r="L1478" s="3">
        <v>223.58</v>
      </c>
      <c r="M1478" s="3">
        <f>orders_1[[#This Row],[products.Base_Price]]*orders_1[[#This Row],[Quantity]]</f>
        <v>447.16</v>
      </c>
      <c r="N1478" t="s">
        <v>17</v>
      </c>
      <c r="O1478" t="s">
        <v>14</v>
      </c>
      <c r="P1478" t="s">
        <v>19</v>
      </c>
    </row>
    <row r="1479" spans="1:16" x14ac:dyDescent="0.3">
      <c r="A1479" s="2">
        <v>11478</v>
      </c>
      <c r="B1479" s="2">
        <v>639</v>
      </c>
      <c r="C1479" s="2">
        <v>2057</v>
      </c>
      <c r="D1479" s="2">
        <v>320</v>
      </c>
      <c r="E1479" s="4">
        <v>45625</v>
      </c>
      <c r="F1479" s="4">
        <v>45634</v>
      </c>
      <c r="G1479" s="2">
        <f t="shared" si="23"/>
        <v>9</v>
      </c>
      <c r="H1479" s="2">
        <v>15</v>
      </c>
      <c r="I1479" t="s">
        <v>78</v>
      </c>
      <c r="J1479" t="s">
        <v>22</v>
      </c>
      <c r="K1479" s="2">
        <v>34.299999999999997</v>
      </c>
      <c r="L1479" s="3">
        <v>40.43</v>
      </c>
      <c r="M1479" s="3">
        <f>orders_1[[#This Row],[products.Base_Price]]*orders_1[[#This Row],[Quantity]]</f>
        <v>606.45000000000005</v>
      </c>
      <c r="N1479" t="s">
        <v>15</v>
      </c>
      <c r="O1479" t="s">
        <v>25</v>
      </c>
      <c r="P1479" t="s">
        <v>11</v>
      </c>
    </row>
    <row r="1480" spans="1:16" x14ac:dyDescent="0.3">
      <c r="A1480" s="2">
        <v>11479</v>
      </c>
      <c r="B1480" s="2">
        <v>778</v>
      </c>
      <c r="C1480" s="2">
        <v>2096</v>
      </c>
      <c r="D1480" s="2">
        <v>302</v>
      </c>
      <c r="E1480" s="4">
        <v>45436</v>
      </c>
      <c r="F1480" s="4">
        <v>45443</v>
      </c>
      <c r="G1480" s="2">
        <f t="shared" si="23"/>
        <v>7</v>
      </c>
      <c r="H1480" s="2">
        <v>29</v>
      </c>
      <c r="I1480" t="s">
        <v>42</v>
      </c>
      <c r="J1480" t="s">
        <v>22</v>
      </c>
      <c r="K1480" s="2">
        <v>20.04</v>
      </c>
      <c r="L1480" s="3">
        <v>70.19</v>
      </c>
      <c r="M1480" s="3">
        <f>orders_1[[#This Row],[products.Base_Price]]*orders_1[[#This Row],[Quantity]]</f>
        <v>2035.51</v>
      </c>
      <c r="N1480" t="s">
        <v>12</v>
      </c>
      <c r="O1480" t="s">
        <v>14</v>
      </c>
      <c r="P1480" t="s">
        <v>11</v>
      </c>
    </row>
    <row r="1481" spans="1:16" x14ac:dyDescent="0.3">
      <c r="A1481" s="2">
        <v>11480</v>
      </c>
      <c r="B1481" s="2">
        <v>756</v>
      </c>
      <c r="C1481" s="2">
        <v>2006</v>
      </c>
      <c r="D1481" s="2">
        <v>308</v>
      </c>
      <c r="E1481" s="4">
        <v>45533</v>
      </c>
      <c r="F1481" s="4">
        <v>45540</v>
      </c>
      <c r="G1481" s="2">
        <f t="shared" si="23"/>
        <v>7</v>
      </c>
      <c r="H1481" s="2">
        <v>46</v>
      </c>
      <c r="I1481" t="s">
        <v>36</v>
      </c>
      <c r="J1481" t="s">
        <v>22</v>
      </c>
      <c r="K1481" s="2">
        <v>41.47</v>
      </c>
      <c r="L1481" s="3">
        <v>541.85</v>
      </c>
      <c r="M1481" s="3">
        <f>orders_1[[#This Row],[products.Base_Price]]*orders_1[[#This Row],[Quantity]]</f>
        <v>24925.100000000002</v>
      </c>
      <c r="N1481" t="s">
        <v>23</v>
      </c>
      <c r="O1481" t="s">
        <v>14</v>
      </c>
      <c r="P1481" t="s">
        <v>19</v>
      </c>
    </row>
    <row r="1482" spans="1:16" x14ac:dyDescent="0.3">
      <c r="A1482" s="2">
        <v>11481</v>
      </c>
      <c r="B1482" s="2">
        <v>694</v>
      </c>
      <c r="C1482" s="2">
        <v>2024</v>
      </c>
      <c r="D1482" s="2">
        <v>311</v>
      </c>
      <c r="E1482" s="4">
        <v>45505</v>
      </c>
      <c r="F1482" s="4">
        <v>45507</v>
      </c>
      <c r="G1482" s="2">
        <f t="shared" si="23"/>
        <v>2</v>
      </c>
      <c r="H1482" s="2">
        <v>11</v>
      </c>
      <c r="I1482" t="s">
        <v>36</v>
      </c>
      <c r="J1482" t="s">
        <v>13</v>
      </c>
      <c r="K1482" s="2">
        <v>21.16</v>
      </c>
      <c r="L1482" s="3">
        <v>291.08</v>
      </c>
      <c r="M1482" s="3">
        <f>orders_1[[#This Row],[products.Base_Price]]*orders_1[[#This Row],[Quantity]]</f>
        <v>3201.8799999999997</v>
      </c>
      <c r="N1482" t="s">
        <v>26</v>
      </c>
      <c r="O1482" t="s">
        <v>10</v>
      </c>
      <c r="P1482" t="s">
        <v>11</v>
      </c>
    </row>
    <row r="1483" spans="1:16" x14ac:dyDescent="0.3">
      <c r="A1483" s="2">
        <v>11482</v>
      </c>
      <c r="B1483" s="2">
        <v>656</v>
      </c>
      <c r="C1483" s="2">
        <v>2028</v>
      </c>
      <c r="D1483" s="2">
        <v>304</v>
      </c>
      <c r="E1483" s="4">
        <v>45427</v>
      </c>
      <c r="F1483" s="4">
        <v>45433</v>
      </c>
      <c r="G1483" s="2">
        <f t="shared" si="23"/>
        <v>6</v>
      </c>
      <c r="H1483" s="2">
        <v>28</v>
      </c>
      <c r="I1483" t="s">
        <v>36</v>
      </c>
      <c r="J1483" t="s">
        <v>13</v>
      </c>
      <c r="K1483" s="2">
        <v>30.34</v>
      </c>
      <c r="L1483" s="3">
        <v>630.65</v>
      </c>
      <c r="M1483" s="3">
        <f>orders_1[[#This Row],[products.Base_Price]]*orders_1[[#This Row],[Quantity]]</f>
        <v>17658.2</v>
      </c>
      <c r="N1483" t="s">
        <v>17</v>
      </c>
      <c r="O1483" t="s">
        <v>18</v>
      </c>
      <c r="P1483" t="s">
        <v>19</v>
      </c>
    </row>
    <row r="1484" spans="1:16" x14ac:dyDescent="0.3">
      <c r="A1484" s="2">
        <v>11483</v>
      </c>
      <c r="B1484" s="2">
        <v>877</v>
      </c>
      <c r="C1484" s="2">
        <v>2069</v>
      </c>
      <c r="D1484" s="2">
        <v>307</v>
      </c>
      <c r="E1484" s="4">
        <v>45439</v>
      </c>
      <c r="F1484" s="4">
        <v>45448</v>
      </c>
      <c r="G1484" s="2">
        <f t="shared" si="23"/>
        <v>9</v>
      </c>
      <c r="H1484" s="2">
        <v>49</v>
      </c>
      <c r="I1484" t="s">
        <v>78</v>
      </c>
      <c r="J1484" t="s">
        <v>22</v>
      </c>
      <c r="K1484" s="2">
        <v>2.94</v>
      </c>
      <c r="L1484" s="3">
        <v>494.92</v>
      </c>
      <c r="M1484" s="3">
        <f>orders_1[[#This Row],[products.Base_Price]]*orders_1[[#This Row],[Quantity]]</f>
        <v>24251.08</v>
      </c>
      <c r="N1484" t="s">
        <v>17</v>
      </c>
      <c r="O1484" t="s">
        <v>10</v>
      </c>
      <c r="P1484" t="s">
        <v>11</v>
      </c>
    </row>
    <row r="1485" spans="1:16" x14ac:dyDescent="0.3">
      <c r="A1485" s="2">
        <v>11484</v>
      </c>
      <c r="B1485" s="2">
        <v>503</v>
      </c>
      <c r="C1485" s="2">
        <v>2029</v>
      </c>
      <c r="D1485" s="2">
        <v>306</v>
      </c>
      <c r="E1485" s="4">
        <v>45633</v>
      </c>
      <c r="F1485" s="4">
        <v>45636</v>
      </c>
      <c r="G1485" s="2">
        <f t="shared" si="23"/>
        <v>3</v>
      </c>
      <c r="H1485" s="2">
        <v>9</v>
      </c>
      <c r="I1485" t="s">
        <v>39</v>
      </c>
      <c r="J1485" t="s">
        <v>21</v>
      </c>
      <c r="K1485" s="2">
        <v>9.19</v>
      </c>
      <c r="L1485" s="3">
        <v>357.06</v>
      </c>
      <c r="M1485" s="3">
        <f>orders_1[[#This Row],[products.Base_Price]]*orders_1[[#This Row],[Quantity]]</f>
        <v>3213.54</v>
      </c>
      <c r="N1485" t="s">
        <v>8</v>
      </c>
      <c r="O1485" t="s">
        <v>10</v>
      </c>
      <c r="P1485" t="s">
        <v>16</v>
      </c>
    </row>
    <row r="1486" spans="1:16" x14ac:dyDescent="0.3">
      <c r="A1486" s="2">
        <v>11485</v>
      </c>
      <c r="B1486" s="2">
        <v>537</v>
      </c>
      <c r="C1486" s="2">
        <v>2044</v>
      </c>
      <c r="D1486" s="2">
        <v>314</v>
      </c>
      <c r="E1486" s="4">
        <v>45607</v>
      </c>
      <c r="F1486" s="4">
        <v>45608</v>
      </c>
      <c r="G1486" s="2">
        <f t="shared" si="23"/>
        <v>1</v>
      </c>
      <c r="H1486" s="2">
        <v>86</v>
      </c>
      <c r="I1486" t="s">
        <v>42</v>
      </c>
      <c r="J1486" t="s">
        <v>21</v>
      </c>
      <c r="K1486" s="2">
        <v>11.44</v>
      </c>
      <c r="L1486" s="3">
        <v>939.99</v>
      </c>
      <c r="M1486" s="3">
        <f>orders_1[[#This Row],[products.Base_Price]]*orders_1[[#This Row],[Quantity]]</f>
        <v>80839.14</v>
      </c>
      <c r="N1486" t="s">
        <v>17</v>
      </c>
      <c r="O1486" t="s">
        <v>14</v>
      </c>
      <c r="P1486" t="s">
        <v>19</v>
      </c>
    </row>
    <row r="1487" spans="1:16" x14ac:dyDescent="0.3">
      <c r="A1487" s="2">
        <v>11486</v>
      </c>
      <c r="B1487" s="2">
        <v>569</v>
      </c>
      <c r="C1487" s="2">
        <v>2038</v>
      </c>
      <c r="D1487" s="2">
        <v>317</v>
      </c>
      <c r="E1487" s="4">
        <v>45475</v>
      </c>
      <c r="F1487" s="4">
        <v>45481</v>
      </c>
      <c r="G1487" s="2">
        <f t="shared" si="23"/>
        <v>6</v>
      </c>
      <c r="H1487" s="2">
        <v>66</v>
      </c>
      <c r="I1487" t="s">
        <v>36</v>
      </c>
      <c r="J1487" t="s">
        <v>27</v>
      </c>
      <c r="K1487" s="2">
        <v>26.62</v>
      </c>
      <c r="L1487" s="3">
        <v>680</v>
      </c>
      <c r="M1487" s="3">
        <f>orders_1[[#This Row],[products.Base_Price]]*orders_1[[#This Row],[Quantity]]</f>
        <v>44880</v>
      </c>
      <c r="N1487" t="s">
        <v>20</v>
      </c>
      <c r="O1487" t="s">
        <v>25</v>
      </c>
      <c r="P1487" t="s">
        <v>19</v>
      </c>
    </row>
    <row r="1488" spans="1:16" x14ac:dyDescent="0.3">
      <c r="A1488" s="2">
        <v>11487</v>
      </c>
      <c r="B1488" s="2">
        <v>862</v>
      </c>
      <c r="C1488" s="2">
        <v>2010</v>
      </c>
      <c r="D1488" s="2">
        <v>316</v>
      </c>
      <c r="E1488" s="4">
        <v>45560</v>
      </c>
      <c r="F1488" s="4">
        <v>45565</v>
      </c>
      <c r="G1488" s="2">
        <f t="shared" si="23"/>
        <v>5</v>
      </c>
      <c r="H1488" s="2">
        <v>65</v>
      </c>
      <c r="I1488" t="s">
        <v>36</v>
      </c>
      <c r="J1488" t="s">
        <v>13</v>
      </c>
      <c r="K1488" s="2">
        <v>9.58</v>
      </c>
      <c r="L1488" s="3">
        <v>440.93</v>
      </c>
      <c r="M1488" s="3">
        <f>orders_1[[#This Row],[products.Base_Price]]*orders_1[[#This Row],[Quantity]]</f>
        <v>28660.45</v>
      </c>
      <c r="N1488" t="s">
        <v>24</v>
      </c>
      <c r="O1488" t="s">
        <v>25</v>
      </c>
      <c r="P1488" t="s">
        <v>19</v>
      </c>
    </row>
    <row r="1489" spans="1:16" x14ac:dyDescent="0.3">
      <c r="A1489" s="2">
        <v>11488</v>
      </c>
      <c r="B1489" s="2">
        <v>665</v>
      </c>
      <c r="C1489" s="2">
        <v>2048</v>
      </c>
      <c r="D1489" s="2">
        <v>301</v>
      </c>
      <c r="E1489" s="4">
        <v>45373</v>
      </c>
      <c r="F1489" s="4">
        <v>45380</v>
      </c>
      <c r="G1489" s="2">
        <f t="shared" si="23"/>
        <v>7</v>
      </c>
      <c r="H1489" s="2">
        <v>81</v>
      </c>
      <c r="I1489" t="s">
        <v>78</v>
      </c>
      <c r="J1489" t="s">
        <v>22</v>
      </c>
      <c r="K1489" s="2">
        <v>6.74</v>
      </c>
      <c r="L1489" s="3">
        <v>864.57</v>
      </c>
      <c r="M1489" s="3">
        <f>orders_1[[#This Row],[products.Base_Price]]*orders_1[[#This Row],[Quantity]]</f>
        <v>70030.17</v>
      </c>
      <c r="N1489" t="s">
        <v>8</v>
      </c>
      <c r="O1489" t="s">
        <v>10</v>
      </c>
      <c r="P1489" t="s">
        <v>11</v>
      </c>
    </row>
    <row r="1490" spans="1:16" x14ac:dyDescent="0.3">
      <c r="A1490" s="2">
        <v>11489</v>
      </c>
      <c r="B1490" s="2">
        <v>637</v>
      </c>
      <c r="C1490" s="2">
        <v>2061</v>
      </c>
      <c r="D1490" s="2">
        <v>312</v>
      </c>
      <c r="E1490" s="4">
        <v>45560</v>
      </c>
      <c r="F1490" s="4">
        <v>45568</v>
      </c>
      <c r="G1490" s="2">
        <f t="shared" si="23"/>
        <v>8</v>
      </c>
      <c r="H1490" s="2">
        <v>8</v>
      </c>
      <c r="I1490" t="s">
        <v>36</v>
      </c>
      <c r="J1490" t="s">
        <v>13</v>
      </c>
      <c r="K1490" s="2">
        <v>46.64</v>
      </c>
      <c r="L1490" s="3">
        <v>620.16999999999996</v>
      </c>
      <c r="M1490" s="3">
        <f>orders_1[[#This Row],[products.Base_Price]]*orders_1[[#This Row],[Quantity]]</f>
        <v>4961.3599999999997</v>
      </c>
      <c r="N1490" t="s">
        <v>15</v>
      </c>
      <c r="O1490" t="s">
        <v>10</v>
      </c>
      <c r="P1490" t="s">
        <v>11</v>
      </c>
    </row>
    <row r="1491" spans="1:16" x14ac:dyDescent="0.3">
      <c r="A1491" s="2">
        <v>11490</v>
      </c>
      <c r="B1491" s="2">
        <v>670</v>
      </c>
      <c r="C1491" s="2">
        <v>2041</v>
      </c>
      <c r="D1491" s="2">
        <v>315</v>
      </c>
      <c r="E1491" s="4">
        <v>45404</v>
      </c>
      <c r="F1491" s="4">
        <v>45405</v>
      </c>
      <c r="G1491" s="2">
        <f t="shared" si="23"/>
        <v>1</v>
      </c>
      <c r="H1491" s="2">
        <v>53</v>
      </c>
      <c r="I1491" t="s">
        <v>78</v>
      </c>
      <c r="J1491" t="s">
        <v>22</v>
      </c>
      <c r="K1491" s="2">
        <v>48.2</v>
      </c>
      <c r="L1491" s="3">
        <v>792.77</v>
      </c>
      <c r="M1491" s="3">
        <f>orders_1[[#This Row],[products.Base_Price]]*orders_1[[#This Row],[Quantity]]</f>
        <v>42016.81</v>
      </c>
      <c r="N1491" t="s">
        <v>15</v>
      </c>
      <c r="O1491" t="s">
        <v>25</v>
      </c>
      <c r="P1491" t="s">
        <v>19</v>
      </c>
    </row>
    <row r="1492" spans="1:16" x14ac:dyDescent="0.3">
      <c r="A1492" s="2">
        <v>11491</v>
      </c>
      <c r="B1492" s="2">
        <v>513</v>
      </c>
      <c r="C1492" s="2">
        <v>2014</v>
      </c>
      <c r="D1492" s="2">
        <v>312</v>
      </c>
      <c r="E1492" s="4">
        <v>45459</v>
      </c>
      <c r="F1492" s="4">
        <v>45469</v>
      </c>
      <c r="G1492" s="2">
        <f t="shared" si="23"/>
        <v>10</v>
      </c>
      <c r="H1492" s="2">
        <v>71</v>
      </c>
      <c r="I1492" t="s">
        <v>36</v>
      </c>
      <c r="J1492" t="s">
        <v>27</v>
      </c>
      <c r="K1492" s="2">
        <v>12.2</v>
      </c>
      <c r="L1492" s="3">
        <v>652.53</v>
      </c>
      <c r="M1492" s="3">
        <f>orders_1[[#This Row],[products.Base_Price]]*orders_1[[#This Row],[Quantity]]</f>
        <v>46329.63</v>
      </c>
      <c r="N1492" t="s">
        <v>15</v>
      </c>
      <c r="O1492" t="s">
        <v>10</v>
      </c>
      <c r="P1492" t="s">
        <v>11</v>
      </c>
    </row>
    <row r="1493" spans="1:16" x14ac:dyDescent="0.3">
      <c r="A1493" s="2">
        <v>11492</v>
      </c>
      <c r="B1493" s="2">
        <v>714</v>
      </c>
      <c r="C1493" s="2">
        <v>2034</v>
      </c>
      <c r="D1493" s="2">
        <v>318</v>
      </c>
      <c r="E1493" s="4">
        <v>45507</v>
      </c>
      <c r="F1493" s="4">
        <v>45517</v>
      </c>
      <c r="G1493" s="2">
        <f t="shared" si="23"/>
        <v>10</v>
      </c>
      <c r="H1493" s="2">
        <v>96</v>
      </c>
      <c r="I1493" t="s">
        <v>39</v>
      </c>
      <c r="J1493" t="s">
        <v>27</v>
      </c>
      <c r="K1493" s="2">
        <v>26.17</v>
      </c>
      <c r="L1493" s="3">
        <v>540.23</v>
      </c>
      <c r="M1493" s="3">
        <f>orders_1[[#This Row],[products.Base_Price]]*orders_1[[#This Row],[Quantity]]</f>
        <v>51862.080000000002</v>
      </c>
      <c r="N1493" t="s">
        <v>17</v>
      </c>
      <c r="O1493" t="s">
        <v>10</v>
      </c>
      <c r="P1493" t="s">
        <v>19</v>
      </c>
    </row>
    <row r="1494" spans="1:16" x14ac:dyDescent="0.3">
      <c r="A1494" s="2">
        <v>11493</v>
      </c>
      <c r="B1494" s="2">
        <v>723</v>
      </c>
      <c r="C1494" s="2">
        <v>2021</v>
      </c>
      <c r="D1494" s="2">
        <v>313</v>
      </c>
      <c r="E1494" s="4">
        <v>45316</v>
      </c>
      <c r="F1494" s="4">
        <v>45325</v>
      </c>
      <c r="G1494" s="2">
        <f t="shared" si="23"/>
        <v>9</v>
      </c>
      <c r="H1494" s="2">
        <v>89</v>
      </c>
      <c r="I1494" t="s">
        <v>42</v>
      </c>
      <c r="J1494" t="s">
        <v>9</v>
      </c>
      <c r="K1494" s="2">
        <v>18.77</v>
      </c>
      <c r="L1494" s="3">
        <v>259.72000000000003</v>
      </c>
      <c r="M1494" s="3">
        <f>orders_1[[#This Row],[products.Base_Price]]*orders_1[[#This Row],[Quantity]]</f>
        <v>23115.08</v>
      </c>
      <c r="N1494" t="s">
        <v>15</v>
      </c>
      <c r="O1494" t="s">
        <v>25</v>
      </c>
      <c r="P1494" t="s">
        <v>16</v>
      </c>
    </row>
    <row r="1495" spans="1:16" x14ac:dyDescent="0.3">
      <c r="A1495" s="2">
        <v>11494</v>
      </c>
      <c r="B1495" s="2">
        <v>837</v>
      </c>
      <c r="C1495" s="2">
        <v>2036</v>
      </c>
      <c r="D1495" s="2">
        <v>315</v>
      </c>
      <c r="E1495" s="4">
        <v>45481</v>
      </c>
      <c r="F1495" s="4">
        <v>45486</v>
      </c>
      <c r="G1495" s="2">
        <f t="shared" si="23"/>
        <v>5</v>
      </c>
      <c r="H1495" s="2">
        <v>90</v>
      </c>
      <c r="I1495" t="s">
        <v>42</v>
      </c>
      <c r="J1495" t="s">
        <v>22</v>
      </c>
      <c r="K1495" s="2">
        <v>39.39</v>
      </c>
      <c r="L1495" s="3">
        <v>745.86</v>
      </c>
      <c r="M1495" s="3">
        <f>orders_1[[#This Row],[products.Base_Price]]*orders_1[[#This Row],[Quantity]]</f>
        <v>67127.399999999994</v>
      </c>
      <c r="N1495" t="s">
        <v>15</v>
      </c>
      <c r="O1495" t="s">
        <v>25</v>
      </c>
      <c r="P1495" t="s">
        <v>19</v>
      </c>
    </row>
    <row r="1496" spans="1:16" x14ac:dyDescent="0.3">
      <c r="A1496" s="2">
        <v>11495</v>
      </c>
      <c r="B1496" s="2">
        <v>689</v>
      </c>
      <c r="C1496" s="2">
        <v>2012</v>
      </c>
      <c r="D1496" s="2">
        <v>315</v>
      </c>
      <c r="E1496" s="4">
        <v>45587</v>
      </c>
      <c r="F1496" s="4">
        <v>45589</v>
      </c>
      <c r="G1496" s="2">
        <f t="shared" si="23"/>
        <v>2</v>
      </c>
      <c r="H1496" s="2">
        <v>72</v>
      </c>
      <c r="I1496" t="s">
        <v>42</v>
      </c>
      <c r="J1496" t="s">
        <v>21</v>
      </c>
      <c r="K1496" s="2">
        <v>34.93</v>
      </c>
      <c r="L1496" s="3">
        <v>327.92</v>
      </c>
      <c r="M1496" s="3">
        <f>orders_1[[#This Row],[products.Base_Price]]*orders_1[[#This Row],[Quantity]]</f>
        <v>23610.240000000002</v>
      </c>
      <c r="N1496" t="s">
        <v>15</v>
      </c>
      <c r="O1496" t="s">
        <v>25</v>
      </c>
      <c r="P1496" t="s">
        <v>19</v>
      </c>
    </row>
    <row r="1497" spans="1:16" x14ac:dyDescent="0.3">
      <c r="A1497" s="2">
        <v>11496</v>
      </c>
      <c r="B1497" s="2">
        <v>853</v>
      </c>
      <c r="C1497" s="2">
        <v>2022</v>
      </c>
      <c r="D1497" s="2">
        <v>302</v>
      </c>
      <c r="E1497" s="4">
        <v>45635</v>
      </c>
      <c r="F1497" s="4">
        <v>45636</v>
      </c>
      <c r="G1497" s="2">
        <f t="shared" si="23"/>
        <v>1</v>
      </c>
      <c r="H1497" s="2">
        <v>48</v>
      </c>
      <c r="I1497" t="s">
        <v>36</v>
      </c>
      <c r="J1497" t="s">
        <v>13</v>
      </c>
      <c r="K1497" s="2">
        <v>47.91</v>
      </c>
      <c r="L1497" s="3">
        <v>756.92</v>
      </c>
      <c r="M1497" s="3">
        <f>orders_1[[#This Row],[products.Base_Price]]*orders_1[[#This Row],[Quantity]]</f>
        <v>36332.159999999996</v>
      </c>
      <c r="N1497" t="s">
        <v>12</v>
      </c>
      <c r="O1497" t="s">
        <v>14</v>
      </c>
      <c r="P1497" t="s">
        <v>11</v>
      </c>
    </row>
    <row r="1498" spans="1:16" x14ac:dyDescent="0.3">
      <c r="A1498" s="2">
        <v>11497</v>
      </c>
      <c r="B1498" s="2">
        <v>695</v>
      </c>
      <c r="C1498" s="2">
        <v>2017</v>
      </c>
      <c r="D1498" s="2">
        <v>301</v>
      </c>
      <c r="E1498" s="4">
        <v>45540</v>
      </c>
      <c r="F1498" s="4">
        <v>45546</v>
      </c>
      <c r="G1498" s="2">
        <f t="shared" si="23"/>
        <v>6</v>
      </c>
      <c r="H1498" s="2">
        <v>8</v>
      </c>
      <c r="I1498" t="s">
        <v>36</v>
      </c>
      <c r="J1498" t="s">
        <v>22</v>
      </c>
      <c r="K1498" s="2">
        <v>38.24</v>
      </c>
      <c r="L1498" s="3">
        <v>788.08</v>
      </c>
      <c r="M1498" s="3">
        <f>orders_1[[#This Row],[products.Base_Price]]*orders_1[[#This Row],[Quantity]]</f>
        <v>6304.64</v>
      </c>
      <c r="N1498" t="s">
        <v>8</v>
      </c>
      <c r="O1498" t="s">
        <v>10</v>
      </c>
      <c r="P1498" t="s">
        <v>11</v>
      </c>
    </row>
    <row r="1499" spans="1:16" x14ac:dyDescent="0.3">
      <c r="A1499" s="2">
        <v>11498</v>
      </c>
      <c r="B1499" s="2">
        <v>781</v>
      </c>
      <c r="C1499" s="2">
        <v>2018</v>
      </c>
      <c r="D1499" s="2">
        <v>305</v>
      </c>
      <c r="E1499" s="4">
        <v>45514</v>
      </c>
      <c r="F1499" s="4">
        <v>45524</v>
      </c>
      <c r="G1499" s="2">
        <f t="shared" si="23"/>
        <v>10</v>
      </c>
      <c r="H1499" s="2">
        <v>70</v>
      </c>
      <c r="I1499" t="s">
        <v>78</v>
      </c>
      <c r="J1499" t="s">
        <v>21</v>
      </c>
      <c r="K1499" s="2">
        <v>16.739999999999998</v>
      </c>
      <c r="L1499" s="3">
        <v>103.05</v>
      </c>
      <c r="M1499" s="3">
        <f>orders_1[[#This Row],[products.Base_Price]]*orders_1[[#This Row],[Quantity]]</f>
        <v>7213.5</v>
      </c>
      <c r="N1499" t="s">
        <v>20</v>
      </c>
      <c r="O1499" t="s">
        <v>10</v>
      </c>
      <c r="P1499" t="s">
        <v>19</v>
      </c>
    </row>
    <row r="1500" spans="1:16" x14ac:dyDescent="0.3">
      <c r="A1500" s="2">
        <v>11499</v>
      </c>
      <c r="B1500" s="2">
        <v>841</v>
      </c>
      <c r="C1500" s="2">
        <v>2050</v>
      </c>
      <c r="D1500" s="2">
        <v>311</v>
      </c>
      <c r="E1500" s="4">
        <v>45562</v>
      </c>
      <c r="F1500" s="4">
        <v>45564</v>
      </c>
      <c r="G1500" s="2">
        <f t="shared" si="23"/>
        <v>2</v>
      </c>
      <c r="H1500" s="2">
        <v>23</v>
      </c>
      <c r="I1500" t="s">
        <v>42</v>
      </c>
      <c r="J1500" t="s">
        <v>21</v>
      </c>
      <c r="K1500" s="2">
        <v>36.43</v>
      </c>
      <c r="L1500" s="3">
        <v>507.16</v>
      </c>
      <c r="M1500" s="3">
        <f>orders_1[[#This Row],[products.Base_Price]]*orders_1[[#This Row],[Quantity]]</f>
        <v>11664.68</v>
      </c>
      <c r="N1500" t="s">
        <v>26</v>
      </c>
      <c r="O1500" t="s">
        <v>10</v>
      </c>
      <c r="P1500" t="s">
        <v>11</v>
      </c>
    </row>
    <row r="1501" spans="1:16" x14ac:dyDescent="0.3">
      <c r="A1501" s="2">
        <v>11500</v>
      </c>
      <c r="B1501" s="2">
        <v>885</v>
      </c>
      <c r="C1501" s="2">
        <v>2004</v>
      </c>
      <c r="D1501" s="2">
        <v>303</v>
      </c>
      <c r="E1501" s="4">
        <v>45642</v>
      </c>
      <c r="F1501" s="4">
        <v>45649</v>
      </c>
      <c r="G1501" s="2">
        <f t="shared" si="23"/>
        <v>7</v>
      </c>
      <c r="H1501" s="2">
        <v>75</v>
      </c>
      <c r="I1501" t="s">
        <v>78</v>
      </c>
      <c r="J1501" t="s">
        <v>9</v>
      </c>
      <c r="K1501" s="2">
        <v>4.34</v>
      </c>
      <c r="L1501" s="3">
        <v>52.14</v>
      </c>
      <c r="M1501" s="3">
        <f>orders_1[[#This Row],[products.Base_Price]]*orders_1[[#This Row],[Quantity]]</f>
        <v>3910.5</v>
      </c>
      <c r="N1501" t="s">
        <v>15</v>
      </c>
      <c r="O1501" t="s">
        <v>10</v>
      </c>
      <c r="P1501" t="s">
        <v>16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AB27-F26D-496B-8A59-A8AFCCFAE88E}">
  <dimension ref="A3:C14"/>
  <sheetViews>
    <sheetView topLeftCell="A2" workbookViewId="0">
      <selection activeCell="B14" sqref="B14"/>
    </sheetView>
  </sheetViews>
  <sheetFormatPr defaultRowHeight="14.4" x14ac:dyDescent="0.3"/>
  <cols>
    <col min="1" max="1" width="12.5546875" bestFit="1" customWidth="1"/>
    <col min="2" max="2" width="16.44140625" bestFit="1" customWidth="1"/>
    <col min="3" max="3" width="14.88671875" bestFit="1" customWidth="1"/>
    <col min="4" max="4" width="24.77734375" bestFit="1" customWidth="1"/>
    <col min="5" max="5" width="8.6640625" bestFit="1" customWidth="1"/>
    <col min="6" max="7" width="16.44140625" bestFit="1" customWidth="1"/>
    <col min="8" max="8" width="15.109375" bestFit="1" customWidth="1"/>
    <col min="9" max="9" width="5.21875" bestFit="1" customWidth="1"/>
    <col min="10" max="10" width="10.21875" bestFit="1" customWidth="1"/>
    <col min="11" max="11" width="6" bestFit="1" customWidth="1"/>
    <col min="12" max="12" width="8.5546875" bestFit="1" customWidth="1"/>
    <col min="13" max="13" width="8.109375" bestFit="1" customWidth="1"/>
    <col min="14" max="14" width="5.33203125" bestFit="1" customWidth="1"/>
    <col min="15" max="15" width="10.77734375" bestFit="1" customWidth="1"/>
  </cols>
  <sheetData>
    <row r="3" spans="1:3" x14ac:dyDescent="0.3">
      <c r="A3" s="5" t="s">
        <v>418</v>
      </c>
      <c r="B3" t="s">
        <v>423</v>
      </c>
      <c r="C3" t="s">
        <v>424</v>
      </c>
    </row>
    <row r="4" spans="1:3" x14ac:dyDescent="0.3">
      <c r="A4" s="6" t="s">
        <v>9</v>
      </c>
      <c r="B4" s="14">
        <v>277</v>
      </c>
      <c r="C4" s="14">
        <v>14784</v>
      </c>
    </row>
    <row r="5" spans="1:3" x14ac:dyDescent="0.3">
      <c r="A5" s="6" t="s">
        <v>21</v>
      </c>
      <c r="B5" s="14">
        <v>280</v>
      </c>
      <c r="C5" s="14">
        <v>13468</v>
      </c>
    </row>
    <row r="6" spans="1:3" x14ac:dyDescent="0.3">
      <c r="A6" s="6" t="s">
        <v>27</v>
      </c>
      <c r="B6" s="14">
        <v>336</v>
      </c>
      <c r="C6" s="14">
        <v>17406</v>
      </c>
    </row>
    <row r="7" spans="1:3" x14ac:dyDescent="0.3">
      <c r="A7" s="6" t="s">
        <v>22</v>
      </c>
      <c r="B7" s="14">
        <v>311</v>
      </c>
      <c r="C7" s="14">
        <v>15928</v>
      </c>
    </row>
    <row r="8" spans="1:3" x14ac:dyDescent="0.3">
      <c r="A8" s="6" t="s">
        <v>13</v>
      </c>
      <c r="B8" s="14">
        <v>296</v>
      </c>
      <c r="C8" s="14">
        <v>15345</v>
      </c>
    </row>
    <row r="9" spans="1:3" x14ac:dyDescent="0.3">
      <c r="A9" s="6" t="s">
        <v>419</v>
      </c>
      <c r="B9" s="14">
        <v>1500</v>
      </c>
      <c r="C9" s="14">
        <v>76931</v>
      </c>
    </row>
    <row r="12" spans="1:3" x14ac:dyDescent="0.3">
      <c r="B12" s="15">
        <f>1500</f>
        <v>1500</v>
      </c>
      <c r="C12" s="15">
        <f>GETPIVOTDATA("Sum of Quantity",$A$3)</f>
        <v>76931</v>
      </c>
    </row>
    <row r="14" spans="1:3" x14ac:dyDescent="0.3">
      <c r="B14" s="16">
        <f>12</f>
        <v>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D1A76-4CEB-4A47-812A-16B36286FF96}">
  <dimension ref="A3:C9"/>
  <sheetViews>
    <sheetView workbookViewId="0">
      <selection activeCell="G9" sqref="G9"/>
    </sheetView>
  </sheetViews>
  <sheetFormatPr defaultRowHeight="14.4" x14ac:dyDescent="0.3"/>
  <cols>
    <col min="1" max="1" width="12.5546875" bestFit="1" customWidth="1"/>
    <col min="2" max="2" width="28" bestFit="1" customWidth="1"/>
    <col min="3" max="3" width="29.6640625" bestFit="1" customWidth="1"/>
    <col min="5" max="5" width="12.5546875" bestFit="1" customWidth="1"/>
    <col min="6" max="6" width="29.6640625" bestFit="1" customWidth="1"/>
    <col min="7" max="7" width="26.44140625" bestFit="1" customWidth="1"/>
  </cols>
  <sheetData>
    <row r="3" spans="1:3" x14ac:dyDescent="0.3">
      <c r="A3" s="5" t="s">
        <v>418</v>
      </c>
      <c r="B3" t="s">
        <v>421</v>
      </c>
      <c r="C3" t="s">
        <v>438</v>
      </c>
    </row>
    <row r="4" spans="1:3" x14ac:dyDescent="0.3">
      <c r="A4" s="6" t="s">
        <v>9</v>
      </c>
      <c r="B4" s="7">
        <v>397.70238267148079</v>
      </c>
      <c r="C4" s="8">
        <v>23.968844765342997</v>
      </c>
    </row>
    <row r="5" spans="1:3" x14ac:dyDescent="0.3">
      <c r="A5" s="6" t="s">
        <v>21</v>
      </c>
      <c r="B5" s="7">
        <v>501.1121785714285</v>
      </c>
      <c r="C5" s="8">
        <v>19.810357142857114</v>
      </c>
    </row>
    <row r="6" spans="1:3" x14ac:dyDescent="0.3">
      <c r="A6" s="6" t="s">
        <v>27</v>
      </c>
      <c r="B6" s="7">
        <v>459.75181547619019</v>
      </c>
      <c r="C6" s="8">
        <v>26.529940476190447</v>
      </c>
    </row>
    <row r="7" spans="1:3" x14ac:dyDescent="0.3">
      <c r="A7" s="6" t="s">
        <v>22</v>
      </c>
      <c r="B7" s="7">
        <v>489.69864951768608</v>
      </c>
      <c r="C7" s="8">
        <v>27.44655948553055</v>
      </c>
    </row>
    <row r="8" spans="1:3" x14ac:dyDescent="0.3">
      <c r="A8" s="6" t="s">
        <v>13</v>
      </c>
      <c r="B8" s="7">
        <v>577.57422297297205</v>
      </c>
      <c r="C8" s="8">
        <v>28.146013513513555</v>
      </c>
    </row>
    <row r="9" spans="1:3" x14ac:dyDescent="0.3">
      <c r="A9" s="6" t="s">
        <v>419</v>
      </c>
      <c r="B9" s="7">
        <v>485.47322000000082</v>
      </c>
      <c r="C9" s="8">
        <v>25.311619999999927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EE14A-6E72-40AE-B66E-6420D051201B}">
  <dimension ref="B3:L9"/>
  <sheetViews>
    <sheetView showGridLines="0" workbookViewId="0">
      <selection activeCell="L9" sqref="L9"/>
    </sheetView>
  </sheetViews>
  <sheetFormatPr defaultRowHeight="14.4" x14ac:dyDescent="0.3"/>
  <cols>
    <col min="1" max="2" width="12.5546875" bestFit="1" customWidth="1"/>
    <col min="3" max="3" width="22.44140625" bestFit="1" customWidth="1"/>
    <col min="4" max="4" width="10" bestFit="1" customWidth="1"/>
    <col min="5" max="5" width="8.6640625" bestFit="1" customWidth="1"/>
    <col min="7" max="7" width="24.77734375" bestFit="1" customWidth="1"/>
    <col min="8" max="8" width="12.5546875" bestFit="1" customWidth="1"/>
    <col min="9" max="9" width="22.5546875" bestFit="1" customWidth="1"/>
    <col min="10" max="10" width="16.33203125" bestFit="1" customWidth="1"/>
    <col min="12" max="12" width="12.109375" bestFit="1" customWidth="1"/>
    <col min="13" max="13" width="12" bestFit="1" customWidth="1"/>
  </cols>
  <sheetData>
    <row r="3" spans="2:12" x14ac:dyDescent="0.3">
      <c r="B3" s="5" t="s">
        <v>418</v>
      </c>
      <c r="C3" t="s">
        <v>441</v>
      </c>
      <c r="H3" s="5" t="s">
        <v>418</v>
      </c>
      <c r="I3" t="s">
        <v>425</v>
      </c>
    </row>
    <row r="4" spans="2:12" x14ac:dyDescent="0.3">
      <c r="B4" s="6" t="s">
        <v>9</v>
      </c>
      <c r="C4" s="7">
        <v>5802918.4399999995</v>
      </c>
      <c r="H4" s="6" t="s">
        <v>9</v>
      </c>
      <c r="I4" s="9">
        <v>5.3393501805054155</v>
      </c>
    </row>
    <row r="5" spans="2:12" x14ac:dyDescent="0.3">
      <c r="B5" s="6" t="s">
        <v>21</v>
      </c>
      <c r="C5" s="7">
        <v>6689777.2199999951</v>
      </c>
      <c r="H5" s="6" t="s">
        <v>21</v>
      </c>
      <c r="I5" s="9">
        <v>5.5250000000000004</v>
      </c>
    </row>
    <row r="6" spans="2:12" x14ac:dyDescent="0.3">
      <c r="B6" s="6" t="s">
        <v>27</v>
      </c>
      <c r="C6" s="7">
        <v>8076223.2399999965</v>
      </c>
      <c r="H6" s="6" t="s">
        <v>27</v>
      </c>
      <c r="I6" s="9">
        <v>5.8571428571428568</v>
      </c>
    </row>
    <row r="7" spans="2:12" x14ac:dyDescent="0.3">
      <c r="B7" s="6" t="s">
        <v>22</v>
      </c>
      <c r="C7" s="7">
        <v>7742383.1899999985</v>
      </c>
      <c r="H7" s="6" t="s">
        <v>22</v>
      </c>
      <c r="I7" s="9">
        <v>5.559485530546624</v>
      </c>
    </row>
    <row r="8" spans="2:12" x14ac:dyDescent="0.3">
      <c r="B8" s="6" t="s">
        <v>13</v>
      </c>
      <c r="C8" s="7">
        <v>8932840.910000002</v>
      </c>
      <c r="H8" s="6" t="s">
        <v>13</v>
      </c>
      <c r="I8" s="9">
        <v>5.3310810810810807</v>
      </c>
    </row>
    <row r="9" spans="2:12" x14ac:dyDescent="0.3">
      <c r="B9" s="6" t="s">
        <v>419</v>
      </c>
      <c r="C9" s="7">
        <v>37244142.999999993</v>
      </c>
      <c r="H9" s="6" t="s">
        <v>419</v>
      </c>
      <c r="I9" s="9">
        <v>5.5339999999999998</v>
      </c>
      <c r="K9" s="17">
        <f>5.5</f>
        <v>5.5</v>
      </c>
      <c r="L9" s="18">
        <f>GETPIVOTDATA("Total Order Value",$B$3)</f>
        <v>37244142.999999993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AE93-DD75-4EFB-8E7F-3BF06ADD11CF}">
  <dimension ref="A3:G9"/>
  <sheetViews>
    <sheetView workbookViewId="0">
      <selection activeCell="I18" sqref="I18"/>
    </sheetView>
  </sheetViews>
  <sheetFormatPr defaultRowHeight="14.4" x14ac:dyDescent="0.3"/>
  <cols>
    <col min="1" max="1" width="16.44140625" bestFit="1" customWidth="1"/>
    <col min="2" max="2" width="15.5546875" bestFit="1" customWidth="1"/>
    <col min="3" max="3" width="11" bestFit="1" customWidth="1"/>
    <col min="4" max="4" width="10" bestFit="1" customWidth="1"/>
    <col min="5" max="5" width="8.6640625" bestFit="1" customWidth="1"/>
    <col min="6" max="6" width="8.88671875" bestFit="1" customWidth="1"/>
    <col min="7" max="7" width="10.77734375" bestFit="1" customWidth="1"/>
    <col min="8" max="8" width="12.5546875" bestFit="1" customWidth="1"/>
    <col min="9" max="9" width="22.5546875" bestFit="1" customWidth="1"/>
    <col min="10" max="10" width="7.88671875" bestFit="1" customWidth="1"/>
    <col min="11" max="11" width="8.77734375" bestFit="1" customWidth="1"/>
    <col min="12" max="12" width="7.88671875" bestFit="1" customWidth="1"/>
    <col min="13" max="13" width="10.77734375" bestFit="1" customWidth="1"/>
  </cols>
  <sheetData>
    <row r="3" spans="1:7" x14ac:dyDescent="0.3">
      <c r="A3" s="5" t="s">
        <v>423</v>
      </c>
      <c r="B3" s="5" t="s">
        <v>420</v>
      </c>
    </row>
    <row r="4" spans="1:7" x14ac:dyDescent="0.3">
      <c r="A4" s="5" t="s">
        <v>418</v>
      </c>
      <c r="B4" t="s">
        <v>9</v>
      </c>
      <c r="C4" t="s">
        <v>21</v>
      </c>
      <c r="D4" t="s">
        <v>27</v>
      </c>
      <c r="E4" t="s">
        <v>22</v>
      </c>
      <c r="F4" t="s">
        <v>13</v>
      </c>
      <c r="G4" t="s">
        <v>419</v>
      </c>
    </row>
    <row r="5" spans="1:7" x14ac:dyDescent="0.3">
      <c r="A5" s="6" t="s">
        <v>78</v>
      </c>
      <c r="B5" s="14">
        <v>70</v>
      </c>
      <c r="C5" s="14">
        <v>69</v>
      </c>
      <c r="D5" s="14">
        <v>84</v>
      </c>
      <c r="E5" s="14">
        <v>72</v>
      </c>
      <c r="F5" s="14">
        <v>62</v>
      </c>
      <c r="G5" s="14">
        <v>357</v>
      </c>
    </row>
    <row r="6" spans="1:7" x14ac:dyDescent="0.3">
      <c r="A6" s="6" t="s">
        <v>36</v>
      </c>
      <c r="B6" s="14">
        <v>63</v>
      </c>
      <c r="C6" s="14">
        <v>70</v>
      </c>
      <c r="D6" s="14">
        <v>87</v>
      </c>
      <c r="E6" s="14">
        <v>87</v>
      </c>
      <c r="F6" s="14">
        <v>85</v>
      </c>
      <c r="G6" s="14">
        <v>392</v>
      </c>
    </row>
    <row r="7" spans="1:7" x14ac:dyDescent="0.3">
      <c r="A7" s="6" t="s">
        <v>42</v>
      </c>
      <c r="B7" s="14">
        <v>71</v>
      </c>
      <c r="C7" s="14">
        <v>73</v>
      </c>
      <c r="D7" s="14">
        <v>74</v>
      </c>
      <c r="E7" s="14">
        <v>72</v>
      </c>
      <c r="F7" s="14">
        <v>80</v>
      </c>
      <c r="G7" s="14">
        <v>370</v>
      </c>
    </row>
    <row r="8" spans="1:7" x14ac:dyDescent="0.3">
      <c r="A8" s="6" t="s">
        <v>39</v>
      </c>
      <c r="B8" s="14">
        <v>73</v>
      </c>
      <c r="C8" s="14">
        <v>68</v>
      </c>
      <c r="D8" s="14">
        <v>91</v>
      </c>
      <c r="E8" s="14">
        <v>80</v>
      </c>
      <c r="F8" s="14">
        <v>69</v>
      </c>
      <c r="G8" s="14">
        <v>381</v>
      </c>
    </row>
    <row r="9" spans="1:7" x14ac:dyDescent="0.3">
      <c r="A9" s="6" t="s">
        <v>419</v>
      </c>
      <c r="B9" s="14">
        <v>277</v>
      </c>
      <c r="C9" s="14">
        <v>280</v>
      </c>
      <c r="D9" s="14">
        <v>336</v>
      </c>
      <c r="E9" s="14">
        <v>311</v>
      </c>
      <c r="F9" s="14">
        <v>296</v>
      </c>
      <c r="G9" s="14">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0B91-4F4B-4A83-A515-E0A23EFDA56B}">
  <dimension ref="A3:B32"/>
  <sheetViews>
    <sheetView workbookViewId="0">
      <selection activeCell="B4" sqref="B4"/>
    </sheetView>
  </sheetViews>
  <sheetFormatPr defaultRowHeight="14.4" x14ac:dyDescent="0.3"/>
  <cols>
    <col min="1" max="1" width="12.5546875" bestFit="1" customWidth="1"/>
    <col min="2" max="2" width="16.44140625" bestFit="1" customWidth="1"/>
    <col min="7" max="7" width="12.5546875" bestFit="1" customWidth="1"/>
    <col min="8" max="8" width="16.44140625" bestFit="1" customWidth="1"/>
    <col min="9" max="9" width="15.109375" bestFit="1" customWidth="1"/>
    <col min="10" max="10" width="10" bestFit="1" customWidth="1"/>
    <col min="11" max="11" width="8.6640625" bestFit="1" customWidth="1"/>
    <col min="13" max="13" width="10.77734375" bestFit="1" customWidth="1"/>
  </cols>
  <sheetData>
    <row r="3" spans="1:2" x14ac:dyDescent="0.3">
      <c r="A3" s="5" t="s">
        <v>418</v>
      </c>
      <c r="B3" t="s">
        <v>423</v>
      </c>
    </row>
    <row r="4" spans="1:2" x14ac:dyDescent="0.3">
      <c r="A4" s="6" t="s">
        <v>426</v>
      </c>
      <c r="B4" s="14">
        <v>135</v>
      </c>
    </row>
    <row r="5" spans="1:2" x14ac:dyDescent="0.3">
      <c r="A5" s="6" t="s">
        <v>427</v>
      </c>
      <c r="B5" s="14">
        <v>116</v>
      </c>
    </row>
    <row r="6" spans="1:2" x14ac:dyDescent="0.3">
      <c r="A6" s="6" t="s">
        <v>428</v>
      </c>
      <c r="B6" s="14">
        <v>109</v>
      </c>
    </row>
    <row r="7" spans="1:2" x14ac:dyDescent="0.3">
      <c r="A7" s="6" t="s">
        <v>429</v>
      </c>
      <c r="B7" s="14">
        <v>101</v>
      </c>
    </row>
    <row r="8" spans="1:2" x14ac:dyDescent="0.3">
      <c r="A8" s="6" t="s">
        <v>430</v>
      </c>
      <c r="B8" s="14">
        <v>148</v>
      </c>
    </row>
    <row r="9" spans="1:2" x14ac:dyDescent="0.3">
      <c r="A9" s="6" t="s">
        <v>431</v>
      </c>
      <c r="B9" s="14">
        <v>135</v>
      </c>
    </row>
    <row r="10" spans="1:2" x14ac:dyDescent="0.3">
      <c r="A10" s="6" t="s">
        <v>432</v>
      </c>
      <c r="B10" s="14">
        <v>135</v>
      </c>
    </row>
    <row r="11" spans="1:2" x14ac:dyDescent="0.3">
      <c r="A11" s="6" t="s">
        <v>433</v>
      </c>
      <c r="B11" s="14">
        <v>106</v>
      </c>
    </row>
    <row r="12" spans="1:2" x14ac:dyDescent="0.3">
      <c r="A12" s="6" t="s">
        <v>434</v>
      </c>
      <c r="B12" s="14">
        <v>127</v>
      </c>
    </row>
    <row r="13" spans="1:2" x14ac:dyDescent="0.3">
      <c r="A13" s="6" t="s">
        <v>435</v>
      </c>
      <c r="B13" s="14">
        <v>136</v>
      </c>
    </row>
    <row r="14" spans="1:2" x14ac:dyDescent="0.3">
      <c r="A14" s="6" t="s">
        <v>436</v>
      </c>
      <c r="B14" s="14">
        <v>134</v>
      </c>
    </row>
    <row r="15" spans="1:2" x14ac:dyDescent="0.3">
      <c r="A15" s="6" t="s">
        <v>437</v>
      </c>
      <c r="B15" s="14">
        <v>118</v>
      </c>
    </row>
    <row r="16" spans="1:2" x14ac:dyDescent="0.3">
      <c r="A16" s="6" t="s">
        <v>419</v>
      </c>
      <c r="B16" s="14">
        <v>1500</v>
      </c>
    </row>
    <row r="19" spans="1:2" x14ac:dyDescent="0.3">
      <c r="A19" s="5" t="s">
        <v>418</v>
      </c>
      <c r="B19" t="s">
        <v>423</v>
      </c>
    </row>
    <row r="20" spans="1:2" x14ac:dyDescent="0.3">
      <c r="A20" s="6" t="s">
        <v>426</v>
      </c>
      <c r="B20" s="14">
        <v>134</v>
      </c>
    </row>
    <row r="21" spans="1:2" x14ac:dyDescent="0.3">
      <c r="A21" s="6" t="s">
        <v>427</v>
      </c>
      <c r="B21" s="14">
        <v>111</v>
      </c>
    </row>
    <row r="22" spans="1:2" x14ac:dyDescent="0.3">
      <c r="A22" s="6" t="s">
        <v>428</v>
      </c>
      <c r="B22" s="14">
        <v>119</v>
      </c>
    </row>
    <row r="23" spans="1:2" x14ac:dyDescent="0.3">
      <c r="A23" s="6" t="s">
        <v>429</v>
      </c>
      <c r="B23" s="14">
        <v>100</v>
      </c>
    </row>
    <row r="24" spans="1:2" x14ac:dyDescent="0.3">
      <c r="A24" s="6" t="s">
        <v>430</v>
      </c>
      <c r="B24" s="14">
        <v>134</v>
      </c>
    </row>
    <row r="25" spans="1:2" x14ac:dyDescent="0.3">
      <c r="A25" s="6" t="s">
        <v>431</v>
      </c>
      <c r="B25" s="14">
        <v>138</v>
      </c>
    </row>
    <row r="26" spans="1:2" x14ac:dyDescent="0.3">
      <c r="A26" s="6" t="s">
        <v>432</v>
      </c>
      <c r="B26" s="14">
        <v>135</v>
      </c>
    </row>
    <row r="27" spans="1:2" x14ac:dyDescent="0.3">
      <c r="A27" s="6" t="s">
        <v>433</v>
      </c>
      <c r="B27" s="14">
        <v>112</v>
      </c>
    </row>
    <row r="28" spans="1:2" x14ac:dyDescent="0.3">
      <c r="A28" s="6" t="s">
        <v>434</v>
      </c>
      <c r="B28" s="14">
        <v>126</v>
      </c>
    </row>
    <row r="29" spans="1:2" x14ac:dyDescent="0.3">
      <c r="A29" s="6" t="s">
        <v>435</v>
      </c>
      <c r="B29" s="14">
        <v>131</v>
      </c>
    </row>
    <row r="30" spans="1:2" x14ac:dyDescent="0.3">
      <c r="A30" s="6" t="s">
        <v>436</v>
      </c>
      <c r="B30" s="14">
        <v>140</v>
      </c>
    </row>
    <row r="31" spans="1:2" x14ac:dyDescent="0.3">
      <c r="A31" s="6" t="s">
        <v>437</v>
      </c>
      <c r="B31" s="14">
        <v>120</v>
      </c>
    </row>
    <row r="32" spans="1:2" x14ac:dyDescent="0.3">
      <c r="A32" s="6" t="s">
        <v>419</v>
      </c>
      <c r="B32" s="14">
        <v>1500</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ADB1-6AE5-4427-B142-98FF7E1050E1}">
  <dimension ref="A3:B32"/>
  <sheetViews>
    <sheetView workbookViewId="0">
      <selection activeCell="V24" sqref="V24"/>
    </sheetView>
  </sheetViews>
  <sheetFormatPr defaultRowHeight="14.4" x14ac:dyDescent="0.3"/>
  <cols>
    <col min="1" max="1" width="13.33203125" bestFit="1" customWidth="1"/>
    <col min="2" max="2" width="16.44140625" bestFit="1" customWidth="1"/>
    <col min="3" max="8" width="4" bestFit="1" customWidth="1"/>
    <col min="9" max="9" width="6.44140625" customWidth="1"/>
    <col min="10" max="21" width="4" bestFit="1" customWidth="1"/>
    <col min="22" max="22" width="10.77734375" bestFit="1" customWidth="1"/>
  </cols>
  <sheetData>
    <row r="3" spans="1:2" x14ac:dyDescent="0.3">
      <c r="A3" s="5" t="s">
        <v>418</v>
      </c>
      <c r="B3" t="s">
        <v>423</v>
      </c>
    </row>
    <row r="4" spans="1:2" x14ac:dyDescent="0.3">
      <c r="A4" s="6" t="s">
        <v>12</v>
      </c>
      <c r="B4" s="14">
        <v>88</v>
      </c>
    </row>
    <row r="5" spans="1:2" x14ac:dyDescent="0.3">
      <c r="A5" s="11">
        <v>302</v>
      </c>
      <c r="B5" s="14">
        <v>88</v>
      </c>
    </row>
    <row r="6" spans="1:2" x14ac:dyDescent="0.3">
      <c r="A6" s="6" t="s">
        <v>24</v>
      </c>
      <c r="B6" s="14">
        <v>156</v>
      </c>
    </row>
    <row r="7" spans="1:2" x14ac:dyDescent="0.3">
      <c r="A7" s="11">
        <v>309</v>
      </c>
      <c r="B7" s="14">
        <v>73</v>
      </c>
    </row>
    <row r="8" spans="1:2" x14ac:dyDescent="0.3">
      <c r="A8" s="11">
        <v>316</v>
      </c>
      <c r="B8" s="14">
        <v>83</v>
      </c>
    </row>
    <row r="9" spans="1:2" x14ac:dyDescent="0.3">
      <c r="A9" s="6" t="s">
        <v>15</v>
      </c>
      <c r="B9" s="14">
        <v>330</v>
      </c>
    </row>
    <row r="10" spans="1:2" x14ac:dyDescent="0.3">
      <c r="A10" s="11">
        <v>303</v>
      </c>
      <c r="B10" s="14">
        <v>57</v>
      </c>
    </row>
    <row r="11" spans="1:2" x14ac:dyDescent="0.3">
      <c r="A11" s="11">
        <v>312</v>
      </c>
      <c r="B11" s="14">
        <v>69</v>
      </c>
    </row>
    <row r="12" spans="1:2" x14ac:dyDescent="0.3">
      <c r="A12" s="11">
        <v>313</v>
      </c>
      <c r="B12" s="14">
        <v>58</v>
      </c>
    </row>
    <row r="13" spans="1:2" x14ac:dyDescent="0.3">
      <c r="A13" s="11">
        <v>315</v>
      </c>
      <c r="B13" s="14">
        <v>78</v>
      </c>
    </row>
    <row r="14" spans="1:2" x14ac:dyDescent="0.3">
      <c r="A14" s="11">
        <v>320</v>
      </c>
      <c r="B14" s="14">
        <v>68</v>
      </c>
    </row>
    <row r="15" spans="1:2" x14ac:dyDescent="0.3">
      <c r="A15" s="6" t="s">
        <v>8</v>
      </c>
      <c r="B15" s="14">
        <v>162</v>
      </c>
    </row>
    <row r="16" spans="1:2" x14ac:dyDescent="0.3">
      <c r="A16" s="11">
        <v>301</v>
      </c>
      <c r="B16" s="14">
        <v>70</v>
      </c>
    </row>
    <row r="17" spans="1:2" x14ac:dyDescent="0.3">
      <c r="A17" s="11">
        <v>306</v>
      </c>
      <c r="B17" s="14">
        <v>92</v>
      </c>
    </row>
    <row r="18" spans="1:2" x14ac:dyDescent="0.3">
      <c r="A18" s="6" t="s">
        <v>20</v>
      </c>
      <c r="B18" s="14">
        <v>219</v>
      </c>
    </row>
    <row r="19" spans="1:2" x14ac:dyDescent="0.3">
      <c r="A19" s="11">
        <v>305</v>
      </c>
      <c r="B19" s="14">
        <v>74</v>
      </c>
    </row>
    <row r="20" spans="1:2" x14ac:dyDescent="0.3">
      <c r="A20" s="11">
        <v>317</v>
      </c>
      <c r="B20" s="14">
        <v>73</v>
      </c>
    </row>
    <row r="21" spans="1:2" x14ac:dyDescent="0.3">
      <c r="A21" s="11">
        <v>319</v>
      </c>
      <c r="B21" s="14">
        <v>72</v>
      </c>
    </row>
    <row r="22" spans="1:2" x14ac:dyDescent="0.3">
      <c r="A22" s="6" t="s">
        <v>17</v>
      </c>
      <c r="B22" s="14">
        <v>318</v>
      </c>
    </row>
    <row r="23" spans="1:2" x14ac:dyDescent="0.3">
      <c r="A23" s="11">
        <v>304</v>
      </c>
      <c r="B23" s="14">
        <v>77</v>
      </c>
    </row>
    <row r="24" spans="1:2" x14ac:dyDescent="0.3">
      <c r="A24" s="11">
        <v>307</v>
      </c>
      <c r="B24" s="14">
        <v>88</v>
      </c>
    </row>
    <row r="25" spans="1:2" x14ac:dyDescent="0.3">
      <c r="A25" s="11">
        <v>314</v>
      </c>
      <c r="B25" s="14">
        <v>75</v>
      </c>
    </row>
    <row r="26" spans="1:2" x14ac:dyDescent="0.3">
      <c r="A26" s="11">
        <v>318</v>
      </c>
      <c r="B26" s="14">
        <v>78</v>
      </c>
    </row>
    <row r="27" spans="1:2" x14ac:dyDescent="0.3">
      <c r="A27" s="6" t="s">
        <v>26</v>
      </c>
      <c r="B27" s="14">
        <v>145</v>
      </c>
    </row>
    <row r="28" spans="1:2" x14ac:dyDescent="0.3">
      <c r="A28" s="11">
        <v>310</v>
      </c>
      <c r="B28" s="14">
        <v>64</v>
      </c>
    </row>
    <row r="29" spans="1:2" x14ac:dyDescent="0.3">
      <c r="A29" s="11">
        <v>311</v>
      </c>
      <c r="B29" s="14">
        <v>81</v>
      </c>
    </row>
    <row r="30" spans="1:2" x14ac:dyDescent="0.3">
      <c r="A30" s="6" t="s">
        <v>23</v>
      </c>
      <c r="B30" s="14">
        <v>82</v>
      </c>
    </row>
    <row r="31" spans="1:2" x14ac:dyDescent="0.3">
      <c r="A31" s="11">
        <v>308</v>
      </c>
      <c r="B31" s="14">
        <v>82</v>
      </c>
    </row>
    <row r="32" spans="1:2" x14ac:dyDescent="0.3">
      <c r="A32" s="6" t="s">
        <v>419</v>
      </c>
      <c r="B32" s="14">
        <v>1500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9E90-6F3E-49A0-982D-95C5ADB61857}">
  <dimension ref="A1:K12"/>
  <sheetViews>
    <sheetView workbookViewId="0">
      <selection activeCell="F25" sqref="F25"/>
    </sheetView>
  </sheetViews>
  <sheetFormatPr defaultRowHeight="14.4" x14ac:dyDescent="0.3"/>
  <cols>
    <col min="1" max="1" width="21.44140625" bestFit="1" customWidth="1"/>
    <col min="2" max="2" width="15.5546875" bestFit="1" customWidth="1"/>
    <col min="3" max="3" width="12.6640625" bestFit="1" customWidth="1"/>
    <col min="4" max="4" width="14" bestFit="1" customWidth="1"/>
    <col min="5" max="5" width="10.77734375" bestFit="1" customWidth="1"/>
    <col min="6" max="6" width="16.44140625" bestFit="1" customWidth="1"/>
    <col min="7" max="7" width="21.44140625" bestFit="1" customWidth="1"/>
    <col min="8" max="8" width="15.5546875" bestFit="1" customWidth="1"/>
    <col min="9" max="9" width="12.6640625" bestFit="1" customWidth="1"/>
    <col min="10" max="10" width="14" bestFit="1" customWidth="1"/>
    <col min="11" max="11" width="10.77734375" bestFit="1" customWidth="1"/>
  </cols>
  <sheetData>
    <row r="1" spans="1:11" x14ac:dyDescent="0.3">
      <c r="A1" s="5" t="s">
        <v>439</v>
      </c>
      <c r="B1" s="5" t="s">
        <v>420</v>
      </c>
    </row>
    <row r="2" spans="1:11" x14ac:dyDescent="0.3">
      <c r="A2" s="5" t="s">
        <v>418</v>
      </c>
      <c r="B2" t="s">
        <v>11</v>
      </c>
      <c r="C2" t="s">
        <v>19</v>
      </c>
      <c r="D2" t="s">
        <v>16</v>
      </c>
      <c r="E2" t="s">
        <v>419</v>
      </c>
      <c r="G2" s="5" t="s">
        <v>439</v>
      </c>
      <c r="H2" s="5" t="s">
        <v>420</v>
      </c>
    </row>
    <row r="3" spans="1:11" x14ac:dyDescent="0.3">
      <c r="A3" s="6" t="s">
        <v>14</v>
      </c>
      <c r="B3" s="14">
        <v>88</v>
      </c>
      <c r="C3" s="14">
        <v>157</v>
      </c>
      <c r="D3" s="14"/>
      <c r="E3" s="14">
        <v>245</v>
      </c>
      <c r="G3" s="5" t="s">
        <v>418</v>
      </c>
      <c r="H3" t="s">
        <v>11</v>
      </c>
      <c r="I3" t="s">
        <v>19</v>
      </c>
      <c r="J3" t="s">
        <v>16</v>
      </c>
      <c r="K3" t="s">
        <v>419</v>
      </c>
    </row>
    <row r="4" spans="1:11" x14ac:dyDescent="0.3">
      <c r="A4" s="6" t="s">
        <v>18</v>
      </c>
      <c r="B4" s="14">
        <v>72</v>
      </c>
      <c r="C4" s="14">
        <v>77</v>
      </c>
      <c r="D4" s="14"/>
      <c r="E4" s="14">
        <v>149</v>
      </c>
      <c r="G4" s="6" t="s">
        <v>12</v>
      </c>
      <c r="H4" s="14">
        <v>88</v>
      </c>
      <c r="I4" s="14"/>
      <c r="J4" s="14"/>
      <c r="K4" s="14">
        <v>88</v>
      </c>
    </row>
    <row r="5" spans="1:11" x14ac:dyDescent="0.3">
      <c r="A5" s="6" t="s">
        <v>10</v>
      </c>
      <c r="B5" s="14">
        <v>308</v>
      </c>
      <c r="C5" s="14">
        <v>152</v>
      </c>
      <c r="D5" s="14">
        <v>149</v>
      </c>
      <c r="E5" s="14">
        <v>609</v>
      </c>
      <c r="G5" s="6" t="s">
        <v>24</v>
      </c>
      <c r="H5" s="14"/>
      <c r="I5" s="14">
        <v>83</v>
      </c>
      <c r="J5" s="14">
        <v>73</v>
      </c>
      <c r="K5" s="14">
        <v>156</v>
      </c>
    </row>
    <row r="6" spans="1:11" x14ac:dyDescent="0.3">
      <c r="A6" s="6" t="s">
        <v>25</v>
      </c>
      <c r="B6" s="14">
        <v>132</v>
      </c>
      <c r="C6" s="14">
        <v>234</v>
      </c>
      <c r="D6" s="14">
        <v>131</v>
      </c>
      <c r="E6" s="14">
        <v>497</v>
      </c>
      <c r="G6" s="6" t="s">
        <v>15</v>
      </c>
      <c r="H6" s="14">
        <v>137</v>
      </c>
      <c r="I6" s="14">
        <v>78</v>
      </c>
      <c r="J6" s="14">
        <v>115</v>
      </c>
      <c r="K6" s="14">
        <v>330</v>
      </c>
    </row>
    <row r="7" spans="1:11" x14ac:dyDescent="0.3">
      <c r="A7" s="6" t="s">
        <v>419</v>
      </c>
      <c r="B7" s="14">
        <v>600</v>
      </c>
      <c r="C7" s="14">
        <v>620</v>
      </c>
      <c r="D7" s="14">
        <v>280</v>
      </c>
      <c r="E7" s="14">
        <v>1500</v>
      </c>
      <c r="G7" s="6" t="s">
        <v>8</v>
      </c>
      <c r="H7" s="14">
        <v>70</v>
      </c>
      <c r="I7" s="14"/>
      <c r="J7" s="14">
        <v>92</v>
      </c>
      <c r="K7" s="14">
        <v>162</v>
      </c>
    </row>
    <row r="8" spans="1:11" x14ac:dyDescent="0.3">
      <c r="G8" s="6" t="s">
        <v>20</v>
      </c>
      <c r="H8" s="14">
        <v>72</v>
      </c>
      <c r="I8" s="14">
        <v>147</v>
      </c>
      <c r="J8" s="14"/>
      <c r="K8" s="14">
        <v>219</v>
      </c>
    </row>
    <row r="9" spans="1:11" x14ac:dyDescent="0.3">
      <c r="G9" s="6" t="s">
        <v>17</v>
      </c>
      <c r="H9" s="14">
        <v>88</v>
      </c>
      <c r="I9" s="14">
        <v>230</v>
      </c>
      <c r="J9" s="14"/>
      <c r="K9" s="14">
        <v>318</v>
      </c>
    </row>
    <row r="10" spans="1:11" x14ac:dyDescent="0.3">
      <c r="G10" s="6" t="s">
        <v>26</v>
      </c>
      <c r="H10" s="14">
        <v>145</v>
      </c>
      <c r="I10" s="14"/>
      <c r="J10" s="14"/>
      <c r="K10" s="14">
        <v>145</v>
      </c>
    </row>
    <row r="11" spans="1:11" x14ac:dyDescent="0.3">
      <c r="G11" s="6" t="s">
        <v>23</v>
      </c>
      <c r="H11" s="14"/>
      <c r="I11" s="14">
        <v>82</v>
      </c>
      <c r="J11" s="14"/>
      <c r="K11" s="14">
        <v>82</v>
      </c>
    </row>
    <row r="12" spans="1:11" x14ac:dyDescent="0.3">
      <c r="G12" s="6" t="s">
        <v>419</v>
      </c>
      <c r="H12" s="14">
        <v>600</v>
      </c>
      <c r="I12" s="14">
        <v>620</v>
      </c>
      <c r="J12" s="14">
        <v>280</v>
      </c>
      <c r="K12" s="14">
        <v>1500</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72F6-1989-455C-8569-2BE5BDD55DBB}">
  <dimension ref="A1"/>
  <sheetViews>
    <sheetView showGridLines="0" workbookViewId="0">
      <selection activeCell="U21" sqref="U21"/>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8925-F030-405E-9C90-222D4E8AAF8D}">
  <dimension ref="E37"/>
  <sheetViews>
    <sheetView tabSelected="1" workbookViewId="0">
      <selection activeCell="Q54" sqref="Q54"/>
    </sheetView>
  </sheetViews>
  <sheetFormatPr defaultRowHeight="14.4" x14ac:dyDescent="0.3"/>
  <cols>
    <col min="1" max="16384" width="8.88671875" style="12"/>
  </cols>
  <sheetData>
    <row r="37" spans="5:5" x14ac:dyDescent="0.3">
      <c r="E37"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4E96AB-5A20-4512-9238-8576466DDC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Orders_Logs</vt:lpstr>
      <vt:lpstr>products</vt:lpstr>
      <vt:lpstr>centers</vt:lpstr>
      <vt:lpstr>orders</vt:lpstr>
      <vt:lpstr>catagory wise orders</vt:lpstr>
      <vt:lpstr>catagory wise average price</vt:lpstr>
      <vt:lpstr>catagory wise total order value</vt:lpstr>
      <vt:lpstr>order status by catagory</vt:lpstr>
      <vt:lpstr>month wise orders</vt:lpstr>
      <vt:lpstr>warehouse wise orders</vt:lpstr>
      <vt:lpstr>zone wise warehousing capacity</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balkrishna tripathi</cp:lastModifiedBy>
  <dcterms:modified xsi:type="dcterms:W3CDTF">2026-10-06T09:18:11Z</dcterms:modified>
</cp:coreProperties>
</file>